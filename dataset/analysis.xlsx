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hyy/Library/CloudStorage/GoogleDrive-yeoh.yuyong@gmail.com/My Drive/School/NTU/FYP/Data/"/>
    </mc:Choice>
  </mc:AlternateContent>
  <xr:revisionPtr revIDLastSave="0" documentId="13_ncr:1_{DF709BC7-955D-5B4E-B594-33D9F4C0DB30}" xr6:coauthVersionLast="47" xr6:coauthVersionMax="47" xr10:uidLastSave="{00000000-0000-0000-0000-000000000000}"/>
  <bookViews>
    <workbookView xWindow="0" yWindow="600" windowWidth="51200" windowHeight="21000" activeTab="4" xr2:uid="{AB6319B4-88FF-6048-A398-9D64497E529A}"/>
  </bookViews>
  <sheets>
    <sheet name="sectors" sheetId="2" r:id="rId1"/>
    <sheet name="lockdown" sheetId="1" r:id="rId2"/>
    <sheet name="rank" sheetId="3" r:id="rId3"/>
    <sheet name="inoperability" sheetId="4" r:id="rId4"/>
    <sheet name="PCA vs Traditional Linkages" sheetId="5" r:id="rId5"/>
  </sheets>
  <definedNames>
    <definedName name="_xlnm._FilterDatabase" localSheetId="3" hidden="1">inoperability!$A$1:$C$16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B2" i="3"/>
</calcChain>
</file>

<file path=xl/sharedStrings.xml><?xml version="1.0" encoding="utf-8"?>
<sst xmlns="http://schemas.openxmlformats.org/spreadsheetml/2006/main" count="78" uniqueCount="36">
  <si>
    <t>Sector</t>
  </si>
  <si>
    <t>Lockdown (55)</t>
  </si>
  <si>
    <t>Lockdown (40)</t>
  </si>
  <si>
    <t>Lockdown (70)</t>
  </si>
  <si>
    <t>Agriculture, Fishing, Quarrying, Utilities and Sewerage &amp; Waste Management</t>
  </si>
  <si>
    <t>Manufacturing</t>
  </si>
  <si>
    <t>Construction</t>
  </si>
  <si>
    <t>Wholesale  &amp;  Retail  Trade</t>
  </si>
  <si>
    <t>Transportation  &amp;  Storage</t>
  </si>
  <si>
    <t>Accommodation  &amp;  Food  Services</t>
  </si>
  <si>
    <t>Information  &amp;  Communications</t>
  </si>
  <si>
    <t>Financial  &amp;  Insurance  Services</t>
  </si>
  <si>
    <t>Real  Estate  Services</t>
  </si>
  <si>
    <t>Professional  Services</t>
  </si>
  <si>
    <t>Administrative  &amp;  Support  Services</t>
  </si>
  <si>
    <t>Public  Administration  &amp;  Education</t>
  </si>
  <si>
    <t>Health  &amp;  Social  Services</t>
  </si>
  <si>
    <t>Arts,  Entertainment  &amp;  Recreation</t>
  </si>
  <si>
    <t>Other  Community,  Social  &amp;  Personal  Services</t>
  </si>
  <si>
    <t>#</t>
  </si>
  <si>
    <t>Inoperability</t>
  </si>
  <si>
    <t>Top 5 Zone</t>
  </si>
  <si>
    <t>Top 7 Zone</t>
  </si>
  <si>
    <t>Top 10 Zone</t>
  </si>
  <si>
    <t>Sector_ID</t>
  </si>
  <si>
    <t>BL</t>
  </si>
  <si>
    <t>BL_normalized</t>
  </si>
  <si>
    <t>FL</t>
  </si>
  <si>
    <t>FL_normalized</t>
  </si>
  <si>
    <t>Total_Linkage</t>
  </si>
  <si>
    <t>Traditional Linkages</t>
  </si>
  <si>
    <t>PCA</t>
  </si>
  <si>
    <t>PC1</t>
  </si>
  <si>
    <t>PC2</t>
  </si>
  <si>
    <t>Eigenvalue_1</t>
  </si>
  <si>
    <t>Eigenvalue_2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</si>
</sst>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rgb="FFFF0000"/>
      <name val="Lucida Grande"/>
      <family val="2"/>
    </font>
    <font>
      <sz val="11"/>
      <color theme="1"/>
      <name val="Lucida Grande"/>
      <family val="2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Lucida Grande"/>
      <family val="2"/>
    </font>
    <font>
      <b/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0" fontId="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strike val="0"/>
        <outline val="0"/>
        <shadow val="0"/>
        <u val="none"/>
        <vertAlign val="baseline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14</xdr:row>
      <xdr:rowOff>101600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BDDB03FD-0D80-96A6-FB3C-04A06C2ECA69}"/>
            </a:ext>
          </a:extLst>
        </xdr:cNvPr>
        <xdr:cNvSpPr>
          <a:spLocks noChangeAspect="1" noChangeArrowheads="1"/>
        </xdr:cNvSpPr>
      </xdr:nvSpPr>
      <xdr:spPr bwMode="auto">
        <a:xfrm>
          <a:off x="12280900" y="27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660400</xdr:colOff>
      <xdr:row>19</xdr:row>
      <xdr:rowOff>50799</xdr:rowOff>
    </xdr:from>
    <xdr:to>
      <xdr:col>13</xdr:col>
      <xdr:colOff>571500</xdr:colOff>
      <xdr:row>51</xdr:row>
      <xdr:rowOff>54322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DDD06-8BEE-A9C7-2B78-F65FBB1D27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990" r="27136"/>
        <a:stretch>
          <a:fillRect/>
        </a:stretch>
      </xdr:blipFill>
      <xdr:spPr>
        <a:xfrm>
          <a:off x="7099300" y="3987799"/>
          <a:ext cx="6654800" cy="65059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BBAA8-1407-7F4D-ACD1-C8BA382A13CD}" name="Table1" displayName="Table1" ref="A1:D16" totalsRowShown="0" headerRowDxfId="5" dataDxfId="4">
  <autoFilter ref="A1:D16" xr:uid="{535BBAA8-1407-7F4D-ACD1-C8BA382A13CD}"/>
  <sortState xmlns:xlrd2="http://schemas.microsoft.com/office/spreadsheetml/2017/richdata2" ref="A2:D16">
    <sortCondition descending="1" ref="C1:C16"/>
  </sortState>
  <tableColumns count="4">
    <tableColumn id="1" xr3:uid="{6DBE2C6D-C9B0-1547-99B1-00B31BCD9BC4}" name="Sector" dataDxfId="3"/>
    <tableColumn id="2" xr3:uid="{FA5E0C5F-7A4B-984C-9757-6A4DC9D64FA2}" name="Lockdown (40)" dataDxfId="2"/>
    <tableColumn id="3" xr3:uid="{0D68C9DD-5E87-CE4F-8488-E989A7B009AF}" name="Lockdown (55)" dataDxfId="1"/>
    <tableColumn id="4" xr3:uid="{F9B7E23E-C989-1D40-BBF9-3E064D989522}" name="Lockdown (70)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4FF7-6745-BE4C-B9D4-2D543211B8B0}">
  <dimension ref="A1:B16"/>
  <sheetViews>
    <sheetView workbookViewId="0">
      <selection activeCell="B11" sqref="B11"/>
    </sheetView>
  </sheetViews>
  <sheetFormatPr baseColWidth="10" defaultRowHeight="16" x14ac:dyDescent="0.2"/>
  <cols>
    <col min="1" max="1" width="10.83203125" style="5"/>
    <col min="2" max="2" width="69.83203125" style="7" customWidth="1"/>
    <col min="3" max="16384" width="10.83203125" style="5"/>
  </cols>
  <sheetData>
    <row r="1" spans="1:2" x14ac:dyDescent="0.2">
      <c r="A1" s="4" t="s">
        <v>19</v>
      </c>
      <c r="B1" s="6" t="s">
        <v>0</v>
      </c>
    </row>
    <row r="2" spans="1:2" x14ac:dyDescent="0.2">
      <c r="A2" s="4">
        <v>1</v>
      </c>
      <c r="B2" s="6" t="s">
        <v>4</v>
      </c>
    </row>
    <row r="3" spans="1:2" x14ac:dyDescent="0.2">
      <c r="A3" s="4">
        <v>2</v>
      </c>
      <c r="B3" s="6" t="s">
        <v>5</v>
      </c>
    </row>
    <row r="4" spans="1:2" x14ac:dyDescent="0.2">
      <c r="A4" s="4">
        <v>3</v>
      </c>
      <c r="B4" s="6" t="s">
        <v>6</v>
      </c>
    </row>
    <row r="5" spans="1:2" x14ac:dyDescent="0.2">
      <c r="A5" s="4">
        <v>4</v>
      </c>
      <c r="B5" s="6" t="s">
        <v>7</v>
      </c>
    </row>
    <row r="6" spans="1:2" x14ac:dyDescent="0.2">
      <c r="A6" s="4">
        <v>5</v>
      </c>
      <c r="B6" s="6" t="s">
        <v>8</v>
      </c>
    </row>
    <row r="7" spans="1:2" x14ac:dyDescent="0.2">
      <c r="A7" s="4">
        <v>6</v>
      </c>
      <c r="B7" s="6" t="s">
        <v>9</v>
      </c>
    </row>
    <row r="8" spans="1:2" x14ac:dyDescent="0.2">
      <c r="A8" s="4">
        <v>7</v>
      </c>
      <c r="B8" s="6" t="s">
        <v>10</v>
      </c>
    </row>
    <row r="9" spans="1:2" x14ac:dyDescent="0.2">
      <c r="A9" s="4">
        <v>8</v>
      </c>
      <c r="B9" s="6" t="s">
        <v>11</v>
      </c>
    </row>
    <row r="10" spans="1:2" x14ac:dyDescent="0.2">
      <c r="A10" s="4">
        <v>9</v>
      </c>
      <c r="B10" s="6" t="s">
        <v>12</v>
      </c>
    </row>
    <row r="11" spans="1:2" x14ac:dyDescent="0.2">
      <c r="A11" s="4">
        <v>10</v>
      </c>
      <c r="B11" s="6" t="s">
        <v>13</v>
      </c>
    </row>
    <row r="12" spans="1:2" x14ac:dyDescent="0.2">
      <c r="A12" s="4">
        <v>11</v>
      </c>
      <c r="B12" s="6" t="s">
        <v>14</v>
      </c>
    </row>
    <row r="13" spans="1:2" x14ac:dyDescent="0.2">
      <c r="A13" s="4">
        <v>12</v>
      </c>
      <c r="B13" s="6" t="s">
        <v>15</v>
      </c>
    </row>
    <row r="14" spans="1:2" x14ac:dyDescent="0.2">
      <c r="A14" s="4">
        <v>13</v>
      </c>
      <c r="B14" s="6" t="s">
        <v>16</v>
      </c>
    </row>
    <row r="15" spans="1:2" x14ac:dyDescent="0.2">
      <c r="A15" s="4">
        <v>14</v>
      </c>
      <c r="B15" s="6" t="s">
        <v>17</v>
      </c>
    </row>
    <row r="16" spans="1:2" x14ac:dyDescent="0.2">
      <c r="A16" s="4">
        <v>15</v>
      </c>
      <c r="B16" s="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65E7-AFF6-6347-8262-0BF5FC888D2C}">
  <dimension ref="A1:G18"/>
  <sheetViews>
    <sheetView workbookViewId="0">
      <selection activeCell="D19" sqref="D19"/>
    </sheetView>
  </sheetViews>
  <sheetFormatPr baseColWidth="10" defaultRowHeight="16" x14ac:dyDescent="0.2"/>
  <cols>
    <col min="1" max="1" width="64.1640625" customWidth="1"/>
    <col min="2" max="2" width="17.5" style="1" customWidth="1"/>
    <col min="3" max="4" width="15.5" style="1" customWidth="1"/>
    <col min="6" max="7" width="10.83203125" style="1"/>
  </cols>
  <sheetData>
    <row r="1" spans="1:7" x14ac:dyDescent="0.2">
      <c r="A1" t="s">
        <v>0</v>
      </c>
      <c r="B1" t="s">
        <v>2</v>
      </c>
      <c r="C1" t="s">
        <v>1</v>
      </c>
      <c r="D1" t="s">
        <v>3</v>
      </c>
    </row>
    <row r="2" spans="1:7" x14ac:dyDescent="0.2">
      <c r="A2" t="s">
        <v>5</v>
      </c>
      <c r="B2" s="3">
        <v>4466.6788999999999</v>
      </c>
      <c r="C2" s="3">
        <v>6104.0653000000002</v>
      </c>
      <c r="D2" s="3">
        <v>7737.3923999999997</v>
      </c>
      <c r="E2" s="2"/>
      <c r="F2" s="2"/>
      <c r="G2" s="2"/>
    </row>
    <row r="3" spans="1:7" x14ac:dyDescent="0.2">
      <c r="A3" t="s">
        <v>6</v>
      </c>
      <c r="B3" s="3">
        <v>4095.42</v>
      </c>
      <c r="C3" s="3">
        <v>5590.9996000000001</v>
      </c>
      <c r="D3" s="3">
        <v>7084.2975999999999</v>
      </c>
      <c r="E3" s="2"/>
      <c r="F3" s="2"/>
      <c r="G3" s="2"/>
    </row>
    <row r="4" spans="1:7" x14ac:dyDescent="0.2">
      <c r="A4" t="s">
        <v>8</v>
      </c>
      <c r="B4" s="3">
        <v>1727.6397999999999</v>
      </c>
      <c r="C4" s="3">
        <v>2342.1307000000002</v>
      </c>
      <c r="D4" s="3">
        <v>2955.0823999999998</v>
      </c>
      <c r="E4" s="2"/>
      <c r="F4" s="2"/>
      <c r="G4" s="2"/>
    </row>
    <row r="5" spans="1:7" x14ac:dyDescent="0.2">
      <c r="A5" t="s">
        <v>15</v>
      </c>
      <c r="B5" s="3">
        <v>1710.1235999999999</v>
      </c>
      <c r="C5" s="3">
        <v>2335.5708</v>
      </c>
      <c r="D5" s="3">
        <v>2960.0436</v>
      </c>
      <c r="E5" s="2"/>
      <c r="F5" s="2"/>
      <c r="G5" s="2"/>
    </row>
    <row r="6" spans="1:7" x14ac:dyDescent="0.2">
      <c r="A6" t="s">
        <v>11</v>
      </c>
      <c r="B6" s="3">
        <v>1500.8801000000001</v>
      </c>
      <c r="C6" s="3">
        <v>2035.3974000000001</v>
      </c>
      <c r="D6" s="3">
        <v>2568.0578999999998</v>
      </c>
      <c r="E6" s="2"/>
      <c r="F6" s="2"/>
      <c r="G6" s="2"/>
    </row>
    <row r="7" spans="1:7" x14ac:dyDescent="0.2">
      <c r="A7" t="s">
        <v>12</v>
      </c>
      <c r="B7" s="3">
        <v>1292.8023000000001</v>
      </c>
      <c r="C7" s="3">
        <v>1770.7443000000001</v>
      </c>
      <c r="D7" s="3">
        <v>2247.4897000000001</v>
      </c>
      <c r="E7" s="2"/>
      <c r="F7" s="2"/>
      <c r="G7" s="2"/>
    </row>
    <row r="8" spans="1:7" x14ac:dyDescent="0.2">
      <c r="A8" t="s">
        <v>13</v>
      </c>
      <c r="B8" s="3">
        <v>987.01030000000003</v>
      </c>
      <c r="C8" s="3">
        <v>1319.7348</v>
      </c>
      <c r="D8" s="3">
        <v>1651.0002999999999</v>
      </c>
      <c r="E8" s="2"/>
      <c r="F8" s="2"/>
      <c r="G8" s="2"/>
    </row>
    <row r="9" spans="1:7" x14ac:dyDescent="0.2">
      <c r="A9" t="s">
        <v>17</v>
      </c>
      <c r="B9" s="3">
        <v>913.68240000000003</v>
      </c>
      <c r="C9" s="3">
        <v>1256.1031</v>
      </c>
      <c r="D9" s="3">
        <v>1598.047</v>
      </c>
      <c r="E9" s="2"/>
      <c r="F9" s="2"/>
      <c r="G9" s="2"/>
    </row>
    <row r="10" spans="1:7" x14ac:dyDescent="0.2">
      <c r="A10" t="s">
        <v>9</v>
      </c>
      <c r="B10" s="3">
        <v>888.61519999999996</v>
      </c>
      <c r="C10" s="3">
        <v>1194.0344</v>
      </c>
      <c r="D10" s="3">
        <v>1498.9063000000001</v>
      </c>
      <c r="E10" s="2"/>
      <c r="F10" s="2"/>
      <c r="G10" s="2"/>
    </row>
    <row r="11" spans="1:7" x14ac:dyDescent="0.2">
      <c r="A11" t="s">
        <v>14</v>
      </c>
      <c r="B11" s="3">
        <v>629.43140000000005</v>
      </c>
      <c r="C11" s="3">
        <v>832.1182</v>
      </c>
      <c r="D11" s="3">
        <v>1033.8340000000001</v>
      </c>
      <c r="E11" s="2"/>
      <c r="F11" s="2"/>
      <c r="G11" s="2"/>
    </row>
    <row r="12" spans="1:7" x14ac:dyDescent="0.2">
      <c r="A12" t="s">
        <v>10</v>
      </c>
      <c r="B12" s="3">
        <v>463.37270000000001</v>
      </c>
      <c r="C12" s="3">
        <v>596.98429999999996</v>
      </c>
      <c r="D12" s="3">
        <v>729.68050000000005</v>
      </c>
      <c r="E12" s="2"/>
      <c r="F12" s="2"/>
      <c r="G12" s="2"/>
    </row>
    <row r="13" spans="1:7" x14ac:dyDescent="0.2">
      <c r="A13" t="s">
        <v>16</v>
      </c>
      <c r="B13" s="3">
        <v>318.24799999999999</v>
      </c>
      <c r="C13" s="3">
        <v>426.45949999999999</v>
      </c>
      <c r="D13" s="3">
        <v>534.48979999999995</v>
      </c>
      <c r="E13" s="2"/>
      <c r="F13" s="2"/>
      <c r="G13" s="2"/>
    </row>
    <row r="14" spans="1:7" x14ac:dyDescent="0.2">
      <c r="A14" t="s">
        <v>18</v>
      </c>
      <c r="B14" s="3">
        <v>322.5104</v>
      </c>
      <c r="C14" s="3">
        <v>419.12869999999998</v>
      </c>
      <c r="D14" s="3">
        <v>515.51350000000002</v>
      </c>
      <c r="E14" s="2"/>
      <c r="F14" s="2"/>
      <c r="G14" s="2"/>
    </row>
    <row r="15" spans="1:7" x14ac:dyDescent="0.2">
      <c r="A15" t="s">
        <v>7</v>
      </c>
      <c r="B15" s="3">
        <v>345.75369999999998</v>
      </c>
      <c r="C15" s="3">
        <v>404.21640000000002</v>
      </c>
      <c r="D15" s="3">
        <v>461.5437</v>
      </c>
      <c r="E15" s="2"/>
      <c r="F15" s="2"/>
      <c r="G15" s="2"/>
    </row>
    <row r="16" spans="1:7" x14ac:dyDescent="0.2">
      <c r="A16" t="s">
        <v>4</v>
      </c>
      <c r="B16" s="3">
        <v>256.30759999999998</v>
      </c>
      <c r="C16" s="3">
        <v>339.61599999999999</v>
      </c>
      <c r="D16" s="3">
        <v>422.30270000000002</v>
      </c>
      <c r="E16" s="2"/>
      <c r="F16" s="2"/>
      <c r="G16" s="2"/>
    </row>
    <row r="17" spans="7:7" x14ac:dyDescent="0.2">
      <c r="G17" s="2"/>
    </row>
    <row r="18" spans="7:7" x14ac:dyDescent="0.2">
      <c r="G18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6E3A-DEF1-4740-B57C-63109A8A95D1}">
  <dimension ref="A1:S16"/>
  <sheetViews>
    <sheetView showGridLines="0" workbookViewId="0">
      <selection activeCell="V6" sqref="V6"/>
    </sheetView>
  </sheetViews>
  <sheetFormatPr baseColWidth="10" defaultRowHeight="14" x14ac:dyDescent="0.2"/>
  <cols>
    <col min="1" max="16" width="5.83203125" style="10" customWidth="1"/>
    <col min="17" max="17" width="6.83203125" style="10" customWidth="1"/>
    <col min="18" max="18" width="10.83203125" style="15"/>
    <col min="19" max="19" width="24.6640625" style="15" bestFit="1" customWidth="1"/>
    <col min="20" max="16384" width="10.83203125" style="10"/>
  </cols>
  <sheetData>
    <row r="1" spans="1:19" s="9" customFormat="1" ht="25" customHeight="1" x14ac:dyDescent="0.2">
      <c r="A1" s="8"/>
      <c r="B1" s="8">
        <v>2</v>
      </c>
      <c r="C1" s="8">
        <v>3</v>
      </c>
      <c r="D1" s="8">
        <v>5</v>
      </c>
      <c r="E1" s="8">
        <v>12</v>
      </c>
      <c r="F1" s="8">
        <v>8</v>
      </c>
      <c r="G1" s="8">
        <v>9</v>
      </c>
      <c r="H1" s="8">
        <v>10</v>
      </c>
      <c r="I1" s="8">
        <v>14</v>
      </c>
      <c r="J1" s="8">
        <v>6</v>
      </c>
      <c r="K1" s="8">
        <v>11</v>
      </c>
      <c r="L1" s="8">
        <v>7</v>
      </c>
      <c r="M1" s="8">
        <v>13</v>
      </c>
      <c r="N1" s="8">
        <v>15</v>
      </c>
      <c r="O1" s="8">
        <v>4</v>
      </c>
      <c r="P1" s="8">
        <v>1</v>
      </c>
      <c r="R1" s="14"/>
      <c r="S1" s="14"/>
    </row>
    <row r="2" spans="1:19" ht="25" customHeight="1" x14ac:dyDescent="0.2">
      <c r="A2" s="8">
        <v>14</v>
      </c>
      <c r="B2" s="13" t="str">
        <f>IF(B$1=$A2,"X","")</f>
        <v/>
      </c>
      <c r="C2" s="13" t="str">
        <f t="shared" ref="C2:P16" si="0">IF(C$1=$A2,"X","")</f>
        <v/>
      </c>
      <c r="D2" s="13" t="str">
        <f t="shared" si="0"/>
        <v/>
      </c>
      <c r="E2" s="13" t="str">
        <f t="shared" si="0"/>
        <v/>
      </c>
      <c r="F2" s="13" t="str">
        <f t="shared" si="0"/>
        <v/>
      </c>
      <c r="G2" s="12" t="str">
        <f t="shared" si="0"/>
        <v/>
      </c>
      <c r="H2" s="12" t="str">
        <f t="shared" si="0"/>
        <v/>
      </c>
      <c r="I2" s="11" t="str">
        <f t="shared" si="0"/>
        <v>X</v>
      </c>
      <c r="J2" s="11" t="str">
        <f t="shared" si="0"/>
        <v/>
      </c>
      <c r="K2" s="11" t="str">
        <f t="shared" si="0"/>
        <v/>
      </c>
      <c r="L2" s="8" t="str">
        <f t="shared" si="0"/>
        <v/>
      </c>
      <c r="M2" s="8" t="str">
        <f t="shared" si="0"/>
        <v/>
      </c>
      <c r="N2" s="8" t="str">
        <f t="shared" si="0"/>
        <v/>
      </c>
      <c r="O2" s="8" t="str">
        <f t="shared" si="0"/>
        <v/>
      </c>
      <c r="P2" s="8" t="str">
        <f t="shared" si="0"/>
        <v/>
      </c>
      <c r="R2" s="19" t="s">
        <v>21</v>
      </c>
      <c r="S2" s="19"/>
    </row>
    <row r="3" spans="1:19" ht="27" customHeight="1" x14ac:dyDescent="0.2">
      <c r="A3" s="8">
        <v>3</v>
      </c>
      <c r="B3" s="13" t="str">
        <f t="shared" ref="B3:B16" si="1">IF(B$1=$A3,"X","")</f>
        <v/>
      </c>
      <c r="C3" s="13" t="str">
        <f t="shared" si="0"/>
        <v>X</v>
      </c>
      <c r="D3" s="13" t="str">
        <f t="shared" si="0"/>
        <v/>
      </c>
      <c r="E3" s="13" t="str">
        <f t="shared" si="0"/>
        <v/>
      </c>
      <c r="F3" s="13" t="str">
        <f t="shared" si="0"/>
        <v/>
      </c>
      <c r="G3" s="12" t="str">
        <f t="shared" si="0"/>
        <v/>
      </c>
      <c r="H3" s="12" t="str">
        <f t="shared" si="0"/>
        <v/>
      </c>
      <c r="I3" s="11" t="str">
        <f t="shared" si="0"/>
        <v/>
      </c>
      <c r="J3" s="11" t="str">
        <f t="shared" si="0"/>
        <v/>
      </c>
      <c r="K3" s="11" t="str">
        <f t="shared" si="0"/>
        <v/>
      </c>
      <c r="L3" s="8" t="str">
        <f t="shared" si="0"/>
        <v/>
      </c>
      <c r="M3" s="8" t="str">
        <f t="shared" si="0"/>
        <v/>
      </c>
      <c r="N3" s="8" t="str">
        <f t="shared" si="0"/>
        <v/>
      </c>
      <c r="O3" s="8" t="str">
        <f t="shared" si="0"/>
        <v/>
      </c>
      <c r="P3" s="8" t="str">
        <f t="shared" si="0"/>
        <v/>
      </c>
      <c r="R3" s="17">
        <v>3</v>
      </c>
      <c r="S3" s="18" t="s">
        <v>6</v>
      </c>
    </row>
    <row r="4" spans="1:19" ht="25" customHeight="1" x14ac:dyDescent="0.2">
      <c r="A4" s="8">
        <v>6</v>
      </c>
      <c r="B4" s="13" t="str">
        <f t="shared" si="1"/>
        <v/>
      </c>
      <c r="C4" s="13" t="str">
        <f t="shared" si="0"/>
        <v/>
      </c>
      <c r="D4" s="13" t="str">
        <f t="shared" si="0"/>
        <v/>
      </c>
      <c r="E4" s="13" t="str">
        <f t="shared" si="0"/>
        <v/>
      </c>
      <c r="F4" s="13" t="str">
        <f t="shared" si="0"/>
        <v/>
      </c>
      <c r="G4" s="12" t="str">
        <f t="shared" si="0"/>
        <v/>
      </c>
      <c r="H4" s="12" t="str">
        <f t="shared" si="0"/>
        <v/>
      </c>
      <c r="I4" s="11" t="str">
        <f t="shared" si="0"/>
        <v/>
      </c>
      <c r="J4" s="11" t="str">
        <f t="shared" si="0"/>
        <v>X</v>
      </c>
      <c r="K4" s="11" t="str">
        <f t="shared" si="0"/>
        <v/>
      </c>
      <c r="L4" s="8" t="str">
        <f t="shared" si="0"/>
        <v/>
      </c>
      <c r="M4" s="8" t="str">
        <f t="shared" si="0"/>
        <v/>
      </c>
      <c r="N4" s="8" t="str">
        <f t="shared" si="0"/>
        <v/>
      </c>
      <c r="O4" s="8" t="str">
        <f t="shared" si="0"/>
        <v/>
      </c>
      <c r="P4" s="8" t="str">
        <f t="shared" si="0"/>
        <v/>
      </c>
      <c r="R4" s="17">
        <v>12</v>
      </c>
      <c r="S4" s="18" t="s">
        <v>15</v>
      </c>
    </row>
    <row r="5" spans="1:19" ht="25" customHeight="1" x14ac:dyDescent="0.2">
      <c r="A5" s="8">
        <v>12</v>
      </c>
      <c r="B5" s="13" t="str">
        <f t="shared" si="1"/>
        <v/>
      </c>
      <c r="C5" s="13" t="str">
        <f t="shared" si="0"/>
        <v/>
      </c>
      <c r="D5" s="13" t="str">
        <f t="shared" si="0"/>
        <v/>
      </c>
      <c r="E5" s="13" t="str">
        <f t="shared" si="0"/>
        <v>X</v>
      </c>
      <c r="F5" s="13" t="str">
        <f t="shared" si="0"/>
        <v/>
      </c>
      <c r="G5" s="12" t="str">
        <f t="shared" si="0"/>
        <v/>
      </c>
      <c r="H5" s="12" t="str">
        <f t="shared" si="0"/>
        <v/>
      </c>
      <c r="I5" s="11" t="str">
        <f t="shared" si="0"/>
        <v/>
      </c>
      <c r="J5" s="11" t="str">
        <f t="shared" si="0"/>
        <v/>
      </c>
      <c r="K5" s="11" t="str">
        <f t="shared" si="0"/>
        <v/>
      </c>
      <c r="L5" s="8" t="str">
        <f t="shared" si="0"/>
        <v/>
      </c>
      <c r="M5" s="8" t="str">
        <f t="shared" si="0"/>
        <v/>
      </c>
      <c r="N5" s="8" t="str">
        <f t="shared" si="0"/>
        <v/>
      </c>
      <c r="O5" s="8" t="str">
        <f t="shared" si="0"/>
        <v/>
      </c>
      <c r="P5" s="8" t="str">
        <f t="shared" si="0"/>
        <v/>
      </c>
      <c r="R5" s="16"/>
      <c r="S5" s="16"/>
    </row>
    <row r="6" spans="1:19" ht="25" customHeight="1" x14ac:dyDescent="0.2">
      <c r="A6" s="8">
        <v>15</v>
      </c>
      <c r="B6" s="13" t="str">
        <f t="shared" si="1"/>
        <v/>
      </c>
      <c r="C6" s="13" t="str">
        <f t="shared" si="0"/>
        <v/>
      </c>
      <c r="D6" s="13" t="str">
        <f t="shared" si="0"/>
        <v/>
      </c>
      <c r="E6" s="13" t="str">
        <f t="shared" si="0"/>
        <v/>
      </c>
      <c r="F6" s="13" t="str">
        <f t="shared" si="0"/>
        <v/>
      </c>
      <c r="G6" s="12" t="str">
        <f t="shared" si="0"/>
        <v/>
      </c>
      <c r="H6" s="12" t="str">
        <f t="shared" si="0"/>
        <v/>
      </c>
      <c r="I6" s="11" t="str">
        <f t="shared" si="0"/>
        <v/>
      </c>
      <c r="J6" s="11" t="str">
        <f t="shared" si="0"/>
        <v/>
      </c>
      <c r="K6" s="11" t="str">
        <f t="shared" si="0"/>
        <v/>
      </c>
      <c r="L6" s="8" t="str">
        <f t="shared" si="0"/>
        <v/>
      </c>
      <c r="M6" s="8" t="str">
        <f t="shared" si="0"/>
        <v/>
      </c>
      <c r="N6" s="8" t="str">
        <f t="shared" si="0"/>
        <v>X</v>
      </c>
      <c r="O6" s="8" t="str">
        <f t="shared" si="0"/>
        <v/>
      </c>
      <c r="P6" s="8" t="str">
        <f t="shared" si="0"/>
        <v/>
      </c>
      <c r="R6" s="19" t="s">
        <v>22</v>
      </c>
      <c r="S6" s="19"/>
    </row>
    <row r="7" spans="1:19" ht="25" customHeight="1" x14ac:dyDescent="0.2">
      <c r="A7" s="8">
        <v>9</v>
      </c>
      <c r="B7" s="12" t="str">
        <f t="shared" si="1"/>
        <v/>
      </c>
      <c r="C7" s="12" t="str">
        <f t="shared" si="0"/>
        <v/>
      </c>
      <c r="D7" s="12" t="str">
        <f t="shared" si="0"/>
        <v/>
      </c>
      <c r="E7" s="12" t="str">
        <f t="shared" si="0"/>
        <v/>
      </c>
      <c r="F7" s="12" t="str">
        <f t="shared" si="0"/>
        <v/>
      </c>
      <c r="G7" s="12" t="str">
        <f t="shared" si="0"/>
        <v>X</v>
      </c>
      <c r="H7" s="12" t="str">
        <f t="shared" si="0"/>
        <v/>
      </c>
      <c r="I7" s="11" t="str">
        <f t="shared" si="0"/>
        <v/>
      </c>
      <c r="J7" s="11" t="str">
        <f t="shared" si="0"/>
        <v/>
      </c>
      <c r="K7" s="11" t="str">
        <f t="shared" si="0"/>
        <v/>
      </c>
      <c r="L7" s="8" t="str">
        <f t="shared" si="0"/>
        <v/>
      </c>
      <c r="M7" s="8" t="str">
        <f t="shared" si="0"/>
        <v/>
      </c>
      <c r="N7" s="8" t="str">
        <f t="shared" si="0"/>
        <v/>
      </c>
      <c r="O7" s="8" t="str">
        <f t="shared" si="0"/>
        <v/>
      </c>
      <c r="P7" s="8" t="str">
        <f t="shared" si="0"/>
        <v/>
      </c>
      <c r="R7" s="17">
        <v>9</v>
      </c>
      <c r="S7" s="18" t="s">
        <v>12</v>
      </c>
    </row>
    <row r="8" spans="1:19" ht="25" customHeight="1" x14ac:dyDescent="0.2">
      <c r="A8" s="8">
        <v>13</v>
      </c>
      <c r="B8" s="12" t="str">
        <f t="shared" si="1"/>
        <v/>
      </c>
      <c r="C8" s="12" t="str">
        <f t="shared" si="0"/>
        <v/>
      </c>
      <c r="D8" s="12" t="str">
        <f t="shared" si="0"/>
        <v/>
      </c>
      <c r="E8" s="12" t="str">
        <f t="shared" si="0"/>
        <v/>
      </c>
      <c r="F8" s="12" t="str">
        <f t="shared" si="0"/>
        <v/>
      </c>
      <c r="G8" s="12" t="str">
        <f t="shared" si="0"/>
        <v/>
      </c>
      <c r="H8" s="12" t="str">
        <f t="shared" si="0"/>
        <v/>
      </c>
      <c r="I8" s="11" t="str">
        <f t="shared" si="0"/>
        <v/>
      </c>
      <c r="J8" s="11" t="str">
        <f t="shared" si="0"/>
        <v/>
      </c>
      <c r="K8" s="11" t="str">
        <f t="shared" si="0"/>
        <v/>
      </c>
      <c r="L8" s="8" t="str">
        <f t="shared" si="0"/>
        <v/>
      </c>
      <c r="M8" s="8" t="str">
        <f t="shared" si="0"/>
        <v>X</v>
      </c>
      <c r="N8" s="8" t="str">
        <f t="shared" si="0"/>
        <v/>
      </c>
      <c r="O8" s="8" t="str">
        <f t="shared" si="0"/>
        <v/>
      </c>
      <c r="P8" s="8" t="str">
        <f t="shared" si="0"/>
        <v/>
      </c>
      <c r="R8" s="16"/>
      <c r="S8" s="16"/>
    </row>
    <row r="9" spans="1:19" ht="25" customHeight="1" x14ac:dyDescent="0.2">
      <c r="A9" s="8">
        <v>11</v>
      </c>
      <c r="B9" s="11" t="str">
        <f t="shared" si="1"/>
        <v/>
      </c>
      <c r="C9" s="11" t="str">
        <f t="shared" si="0"/>
        <v/>
      </c>
      <c r="D9" s="11" t="str">
        <f t="shared" si="0"/>
        <v/>
      </c>
      <c r="E9" s="11" t="str">
        <f t="shared" si="0"/>
        <v/>
      </c>
      <c r="F9" s="11" t="str">
        <f t="shared" si="0"/>
        <v/>
      </c>
      <c r="G9" s="11" t="str">
        <f t="shared" si="0"/>
        <v/>
      </c>
      <c r="H9" s="11" t="str">
        <f t="shared" si="0"/>
        <v/>
      </c>
      <c r="I9" s="11" t="str">
        <f t="shared" si="0"/>
        <v/>
      </c>
      <c r="J9" s="11" t="str">
        <f t="shared" si="0"/>
        <v/>
      </c>
      <c r="K9" s="11" t="str">
        <f t="shared" si="0"/>
        <v>X</v>
      </c>
      <c r="L9" s="8" t="str">
        <f t="shared" si="0"/>
        <v/>
      </c>
      <c r="M9" s="8" t="str">
        <f t="shared" si="0"/>
        <v/>
      </c>
      <c r="N9" s="8" t="str">
        <f t="shared" si="0"/>
        <v/>
      </c>
      <c r="O9" s="8" t="str">
        <f t="shared" si="0"/>
        <v/>
      </c>
      <c r="P9" s="8" t="str">
        <f t="shared" si="0"/>
        <v/>
      </c>
      <c r="R9" s="19" t="s">
        <v>23</v>
      </c>
      <c r="S9" s="19"/>
    </row>
    <row r="10" spans="1:19" ht="25" customHeight="1" x14ac:dyDescent="0.2">
      <c r="A10" s="8">
        <v>2</v>
      </c>
      <c r="B10" s="11" t="str">
        <f t="shared" si="1"/>
        <v>X</v>
      </c>
      <c r="C10" s="11" t="str">
        <f t="shared" si="0"/>
        <v/>
      </c>
      <c r="D10" s="11" t="str">
        <f t="shared" si="0"/>
        <v/>
      </c>
      <c r="E10" s="11" t="str">
        <f t="shared" si="0"/>
        <v/>
      </c>
      <c r="F10" s="11" t="str">
        <f t="shared" si="0"/>
        <v/>
      </c>
      <c r="G10" s="11" t="str">
        <f t="shared" si="0"/>
        <v/>
      </c>
      <c r="H10" s="11" t="str">
        <f t="shared" si="0"/>
        <v/>
      </c>
      <c r="I10" s="11" t="str">
        <f t="shared" si="0"/>
        <v/>
      </c>
      <c r="J10" s="11" t="str">
        <f t="shared" si="0"/>
        <v/>
      </c>
      <c r="K10" s="11" t="str">
        <f t="shared" si="0"/>
        <v/>
      </c>
      <c r="L10" s="8" t="str">
        <f t="shared" si="0"/>
        <v/>
      </c>
      <c r="M10" s="8" t="str">
        <f t="shared" si="0"/>
        <v/>
      </c>
      <c r="N10" s="8" t="str">
        <f t="shared" si="0"/>
        <v/>
      </c>
      <c r="O10" s="8" t="str">
        <f t="shared" si="0"/>
        <v/>
      </c>
      <c r="P10" s="8" t="str">
        <f t="shared" si="0"/>
        <v/>
      </c>
      <c r="R10" s="17">
        <v>14</v>
      </c>
      <c r="S10" s="18" t="s">
        <v>17</v>
      </c>
    </row>
    <row r="11" spans="1:19" ht="25" customHeight="1" x14ac:dyDescent="0.2">
      <c r="A11" s="8">
        <v>10</v>
      </c>
      <c r="B11" s="11" t="str">
        <f t="shared" si="1"/>
        <v/>
      </c>
      <c r="C11" s="11" t="str">
        <f t="shared" si="0"/>
        <v/>
      </c>
      <c r="D11" s="11" t="str">
        <f t="shared" si="0"/>
        <v/>
      </c>
      <c r="E11" s="11" t="str">
        <f t="shared" si="0"/>
        <v/>
      </c>
      <c r="F11" s="11" t="str">
        <f t="shared" si="0"/>
        <v/>
      </c>
      <c r="G11" s="11" t="str">
        <f t="shared" si="0"/>
        <v/>
      </c>
      <c r="H11" s="11" t="str">
        <f t="shared" si="0"/>
        <v>X</v>
      </c>
      <c r="I11" s="11" t="str">
        <f t="shared" si="0"/>
        <v/>
      </c>
      <c r="J11" s="11" t="str">
        <f t="shared" si="0"/>
        <v/>
      </c>
      <c r="K11" s="11" t="str">
        <f t="shared" si="0"/>
        <v/>
      </c>
      <c r="L11" s="8" t="str">
        <f t="shared" si="0"/>
        <v/>
      </c>
      <c r="M11" s="8" t="str">
        <f t="shared" si="0"/>
        <v/>
      </c>
      <c r="N11" s="8" t="str">
        <f t="shared" si="0"/>
        <v/>
      </c>
      <c r="O11" s="8" t="str">
        <f t="shared" si="0"/>
        <v/>
      </c>
      <c r="P11" s="8" t="str">
        <f t="shared" si="0"/>
        <v/>
      </c>
      <c r="R11" s="17">
        <v>6</v>
      </c>
      <c r="S11" s="18" t="s">
        <v>9</v>
      </c>
    </row>
    <row r="12" spans="1:19" ht="25" customHeight="1" x14ac:dyDescent="0.2">
      <c r="A12" s="8">
        <v>5</v>
      </c>
      <c r="B12" s="8" t="str">
        <f t="shared" si="1"/>
        <v/>
      </c>
      <c r="C12" s="8" t="str">
        <f t="shared" si="0"/>
        <v/>
      </c>
      <c r="D12" s="8" t="str">
        <f t="shared" si="0"/>
        <v>X</v>
      </c>
      <c r="E12" s="8" t="str">
        <f t="shared" si="0"/>
        <v/>
      </c>
      <c r="F12" s="8" t="str">
        <f t="shared" si="0"/>
        <v/>
      </c>
      <c r="G12" s="8" t="str">
        <f t="shared" si="0"/>
        <v/>
      </c>
      <c r="H12" s="8" t="str">
        <f t="shared" si="0"/>
        <v/>
      </c>
      <c r="I12" s="8" t="str">
        <f t="shared" si="0"/>
        <v/>
      </c>
      <c r="J12" s="8" t="str">
        <f t="shared" si="0"/>
        <v/>
      </c>
      <c r="K12" s="8" t="str">
        <f t="shared" si="0"/>
        <v/>
      </c>
      <c r="L12" s="8" t="str">
        <f t="shared" si="0"/>
        <v/>
      </c>
      <c r="M12" s="8" t="str">
        <f t="shared" si="0"/>
        <v/>
      </c>
      <c r="N12" s="8" t="str">
        <f t="shared" si="0"/>
        <v/>
      </c>
      <c r="O12" s="8" t="str">
        <f t="shared" si="0"/>
        <v/>
      </c>
      <c r="P12" s="8" t="str">
        <f t="shared" si="0"/>
        <v/>
      </c>
      <c r="R12" s="17">
        <v>11</v>
      </c>
      <c r="S12" s="18" t="s">
        <v>14</v>
      </c>
    </row>
    <row r="13" spans="1:19" ht="25" customHeight="1" x14ac:dyDescent="0.2">
      <c r="A13" s="8">
        <v>8</v>
      </c>
      <c r="B13" s="8" t="str">
        <f t="shared" si="1"/>
        <v/>
      </c>
      <c r="C13" s="8" t="str">
        <f t="shared" si="0"/>
        <v/>
      </c>
      <c r="D13" s="8" t="str">
        <f t="shared" si="0"/>
        <v/>
      </c>
      <c r="E13" s="8" t="str">
        <f t="shared" si="0"/>
        <v/>
      </c>
      <c r="F13" s="8" t="str">
        <f t="shared" si="0"/>
        <v>X</v>
      </c>
      <c r="G13" s="8" t="str">
        <f t="shared" si="0"/>
        <v/>
      </c>
      <c r="H13" s="8" t="str">
        <f t="shared" si="0"/>
        <v/>
      </c>
      <c r="I13" s="8" t="str">
        <f t="shared" si="0"/>
        <v/>
      </c>
      <c r="J13" s="8" t="str">
        <f t="shared" si="0"/>
        <v/>
      </c>
      <c r="K13" s="8" t="str">
        <f t="shared" si="0"/>
        <v/>
      </c>
      <c r="L13" s="8" t="str">
        <f t="shared" si="0"/>
        <v/>
      </c>
      <c r="M13" s="8" t="str">
        <f t="shared" si="0"/>
        <v/>
      </c>
      <c r="N13" s="8" t="str">
        <f t="shared" si="0"/>
        <v/>
      </c>
      <c r="O13" s="8" t="str">
        <f t="shared" si="0"/>
        <v/>
      </c>
      <c r="P13" s="8" t="str">
        <f t="shared" si="0"/>
        <v/>
      </c>
      <c r="R13" s="17">
        <v>2</v>
      </c>
      <c r="S13" s="18" t="s">
        <v>5</v>
      </c>
    </row>
    <row r="14" spans="1:19" ht="25" customHeight="1" x14ac:dyDescent="0.2">
      <c r="A14" s="8">
        <v>1</v>
      </c>
      <c r="B14" s="8" t="str">
        <f t="shared" si="1"/>
        <v/>
      </c>
      <c r="C14" s="8" t="str">
        <f t="shared" si="0"/>
        <v/>
      </c>
      <c r="D14" s="8" t="str">
        <f t="shared" si="0"/>
        <v/>
      </c>
      <c r="E14" s="8" t="str">
        <f t="shared" si="0"/>
        <v/>
      </c>
      <c r="F14" s="8" t="str">
        <f t="shared" si="0"/>
        <v/>
      </c>
      <c r="G14" s="8" t="str">
        <f t="shared" si="0"/>
        <v/>
      </c>
      <c r="H14" s="8" t="str">
        <f t="shared" si="0"/>
        <v/>
      </c>
      <c r="I14" s="8" t="str">
        <f t="shared" si="0"/>
        <v/>
      </c>
      <c r="J14" s="8" t="str">
        <f t="shared" si="0"/>
        <v/>
      </c>
      <c r="K14" s="8" t="str">
        <f t="shared" si="0"/>
        <v/>
      </c>
      <c r="L14" s="8" t="str">
        <f t="shared" si="0"/>
        <v/>
      </c>
      <c r="M14" s="8" t="str">
        <f t="shared" si="0"/>
        <v/>
      </c>
      <c r="N14" s="8" t="str">
        <f t="shared" si="0"/>
        <v/>
      </c>
      <c r="O14" s="8" t="str">
        <f t="shared" si="0"/>
        <v/>
      </c>
      <c r="P14" s="8" t="str">
        <f t="shared" si="0"/>
        <v>X</v>
      </c>
      <c r="R14" s="17">
        <v>10</v>
      </c>
      <c r="S14" s="18" t="s">
        <v>13</v>
      </c>
    </row>
    <row r="15" spans="1:19" ht="25" customHeight="1" x14ac:dyDescent="0.2">
      <c r="A15" s="8">
        <v>7</v>
      </c>
      <c r="B15" s="8" t="str">
        <f t="shared" si="1"/>
        <v/>
      </c>
      <c r="C15" s="8" t="str">
        <f t="shared" si="0"/>
        <v/>
      </c>
      <c r="D15" s="8" t="str">
        <f t="shared" si="0"/>
        <v/>
      </c>
      <c r="E15" s="8" t="str">
        <f t="shared" si="0"/>
        <v/>
      </c>
      <c r="F15" s="8" t="str">
        <f t="shared" si="0"/>
        <v/>
      </c>
      <c r="G15" s="8" t="str">
        <f t="shared" si="0"/>
        <v/>
      </c>
      <c r="H15" s="8" t="str">
        <f t="shared" si="0"/>
        <v/>
      </c>
      <c r="I15" s="8" t="str">
        <f t="shared" si="0"/>
        <v/>
      </c>
      <c r="J15" s="8" t="str">
        <f t="shared" si="0"/>
        <v/>
      </c>
      <c r="K15" s="8" t="str">
        <f t="shared" si="0"/>
        <v/>
      </c>
      <c r="L15" s="8" t="str">
        <f t="shared" si="0"/>
        <v>X</v>
      </c>
      <c r="M15" s="8" t="str">
        <f t="shared" si="0"/>
        <v/>
      </c>
      <c r="N15" s="8" t="str">
        <f t="shared" si="0"/>
        <v/>
      </c>
      <c r="O15" s="8" t="str">
        <f t="shared" si="0"/>
        <v/>
      </c>
      <c r="P15" s="8" t="str">
        <f t="shared" si="0"/>
        <v/>
      </c>
    </row>
    <row r="16" spans="1:19" ht="25" customHeight="1" x14ac:dyDescent="0.2">
      <c r="A16" s="8">
        <v>4</v>
      </c>
      <c r="B16" s="8" t="str">
        <f t="shared" si="1"/>
        <v/>
      </c>
      <c r="C16" s="8" t="str">
        <f t="shared" si="0"/>
        <v/>
      </c>
      <c r="D16" s="8" t="str">
        <f t="shared" si="0"/>
        <v/>
      </c>
      <c r="E16" s="8" t="str">
        <f t="shared" si="0"/>
        <v/>
      </c>
      <c r="F16" s="8" t="str">
        <f t="shared" si="0"/>
        <v/>
      </c>
      <c r="G16" s="8" t="str">
        <f t="shared" si="0"/>
        <v/>
      </c>
      <c r="H16" s="8" t="str">
        <f t="shared" si="0"/>
        <v/>
      </c>
      <c r="I16" s="8" t="str">
        <f t="shared" si="0"/>
        <v/>
      </c>
      <c r="J16" s="8" t="str">
        <f t="shared" si="0"/>
        <v/>
      </c>
      <c r="K16" s="8" t="str">
        <f t="shared" si="0"/>
        <v/>
      </c>
      <c r="L16" s="8" t="str">
        <f t="shared" si="0"/>
        <v/>
      </c>
      <c r="M16" s="8" t="str">
        <f t="shared" si="0"/>
        <v/>
      </c>
      <c r="N16" s="8" t="str">
        <f t="shared" si="0"/>
        <v/>
      </c>
      <c r="O16" s="8" t="str">
        <f t="shared" si="0"/>
        <v>X</v>
      </c>
      <c r="P16" s="8" t="str">
        <f t="shared" si="0"/>
        <v/>
      </c>
    </row>
  </sheetData>
  <mergeCells count="3">
    <mergeCell ref="R2:S2"/>
    <mergeCell ref="R6:S6"/>
    <mergeCell ref="R9:S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5B5A-791F-7344-AC88-3F200A9803E5}">
  <dimension ref="A1:C16"/>
  <sheetViews>
    <sheetView workbookViewId="0">
      <selection activeCell="B4" sqref="B4"/>
    </sheetView>
  </sheetViews>
  <sheetFormatPr baseColWidth="10" defaultRowHeight="16" x14ac:dyDescent="0.2"/>
  <cols>
    <col min="2" max="2" width="63.33203125" style="7" bestFit="1" customWidth="1"/>
    <col min="3" max="3" width="14.1640625" customWidth="1"/>
  </cols>
  <sheetData>
    <row r="1" spans="1:3" x14ac:dyDescent="0.2">
      <c r="A1" s="4" t="s">
        <v>19</v>
      </c>
      <c r="B1" s="6" t="s">
        <v>0</v>
      </c>
      <c r="C1" s="4" t="s">
        <v>20</v>
      </c>
    </row>
    <row r="2" spans="1:3" x14ac:dyDescent="0.2">
      <c r="A2" s="4">
        <v>14</v>
      </c>
      <c r="B2" s="6" t="s">
        <v>17</v>
      </c>
      <c r="C2" s="4">
        <v>0.23995325200000001</v>
      </c>
    </row>
    <row r="3" spans="1:3" x14ac:dyDescent="0.2">
      <c r="A3" s="4">
        <v>3</v>
      </c>
      <c r="B3" s="6" t="s">
        <v>6</v>
      </c>
      <c r="C3" s="4">
        <v>0.16707233199999999</v>
      </c>
    </row>
    <row r="4" spans="1:3" x14ac:dyDescent="0.2">
      <c r="A4" s="4">
        <v>6</v>
      </c>
      <c r="B4" s="6" t="s">
        <v>9</v>
      </c>
      <c r="C4" s="4">
        <v>9.2811530000000003E-2</v>
      </c>
    </row>
    <row r="5" spans="1:3" x14ac:dyDescent="0.2">
      <c r="A5" s="4">
        <v>12</v>
      </c>
      <c r="B5" s="6" t="s">
        <v>15</v>
      </c>
      <c r="C5" s="4">
        <v>7.6148203999999997E-2</v>
      </c>
    </row>
    <row r="6" spans="1:3" x14ac:dyDescent="0.2">
      <c r="A6" s="4">
        <v>15</v>
      </c>
      <c r="B6" s="6" t="s">
        <v>18</v>
      </c>
      <c r="C6" s="4">
        <v>7.0334730999999998E-2</v>
      </c>
    </row>
    <row r="7" spans="1:3" x14ac:dyDescent="0.2">
      <c r="A7" s="4">
        <v>9</v>
      </c>
      <c r="B7" s="6" t="s">
        <v>12</v>
      </c>
      <c r="C7" s="4">
        <v>5.2372293E-2</v>
      </c>
    </row>
    <row r="8" spans="1:3" x14ac:dyDescent="0.2">
      <c r="A8" s="4">
        <v>13</v>
      </c>
      <c r="B8" s="6" t="s">
        <v>16</v>
      </c>
      <c r="C8" s="4">
        <v>3.3259327999999998E-2</v>
      </c>
    </row>
    <row r="9" spans="1:3" x14ac:dyDescent="0.2">
      <c r="A9" s="4">
        <v>11</v>
      </c>
      <c r="B9" s="6" t="s">
        <v>14</v>
      </c>
      <c r="C9" s="4">
        <v>2.8180604000000001E-2</v>
      </c>
    </row>
    <row r="10" spans="1:3" x14ac:dyDescent="0.2">
      <c r="A10" s="4">
        <v>2</v>
      </c>
      <c r="B10" s="6" t="s">
        <v>5</v>
      </c>
      <c r="C10" s="4">
        <v>2.7342674000000001E-2</v>
      </c>
    </row>
    <row r="11" spans="1:3" x14ac:dyDescent="0.2">
      <c r="A11" s="4">
        <v>10</v>
      </c>
      <c r="B11" s="6" t="s">
        <v>13</v>
      </c>
      <c r="C11" s="4">
        <v>2.4470951000000001E-2</v>
      </c>
    </row>
    <row r="12" spans="1:3" x14ac:dyDescent="0.2">
      <c r="A12" s="4">
        <v>5</v>
      </c>
      <c r="B12" s="6" t="s">
        <v>8</v>
      </c>
      <c r="C12" s="4">
        <v>2.2724693000000001E-2</v>
      </c>
    </row>
    <row r="13" spans="1:3" x14ac:dyDescent="0.2">
      <c r="A13" s="4">
        <v>8</v>
      </c>
      <c r="B13" s="6" t="s">
        <v>11</v>
      </c>
      <c r="C13" s="4">
        <v>2.0172669000000001E-2</v>
      </c>
    </row>
    <row r="14" spans="1:3" x14ac:dyDescent="0.2">
      <c r="A14" s="4">
        <v>1</v>
      </c>
      <c r="B14" s="6" t="s">
        <v>4</v>
      </c>
      <c r="C14" s="4">
        <v>1.5432265000000001E-2</v>
      </c>
    </row>
    <row r="15" spans="1:3" x14ac:dyDescent="0.2">
      <c r="A15" s="4">
        <v>7</v>
      </c>
      <c r="B15" s="6" t="s">
        <v>10</v>
      </c>
      <c r="C15" s="4">
        <v>4.7745729999999998E-3</v>
      </c>
    </row>
    <row r="16" spans="1:3" x14ac:dyDescent="0.2">
      <c r="A16" s="4">
        <v>4</v>
      </c>
      <c r="B16" s="6" t="s">
        <v>7</v>
      </c>
      <c r="C16" s="4">
        <v>1.6993150000000001E-3</v>
      </c>
    </row>
  </sheetData>
  <autoFilter ref="A1:C16" xr:uid="{C5885B5A-791F-7344-AC88-3F200A9803E5}">
    <sortState xmlns:xlrd2="http://schemas.microsoft.com/office/spreadsheetml/2017/richdata2" ref="A2:C16">
      <sortCondition descending="1" ref="C1:C1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550E-180F-7545-BA57-FC9156ED4858}">
  <dimension ref="A1:R17"/>
  <sheetViews>
    <sheetView tabSelected="1" workbookViewId="0">
      <selection activeCell="R15" sqref="R15"/>
    </sheetView>
  </sheetViews>
  <sheetFormatPr baseColWidth="10" defaultRowHeight="16" x14ac:dyDescent="0.2"/>
  <cols>
    <col min="1" max="1" width="13.6640625" style="22" customWidth="1"/>
    <col min="2" max="2" width="13.33203125" style="22" customWidth="1"/>
    <col min="3" max="3" width="14.83203125" style="22" bestFit="1" customWidth="1"/>
    <col min="4" max="4" width="11.6640625" style="22" bestFit="1" customWidth="1"/>
    <col min="5" max="5" width="14.6640625" style="22" bestFit="1" customWidth="1"/>
    <col min="6" max="6" width="16.33203125" style="22" customWidth="1"/>
    <col min="7" max="7" width="11.6640625" style="22" bestFit="1" customWidth="1"/>
    <col min="8" max="8" width="10" style="22" bestFit="1" customWidth="1"/>
    <col min="9" max="9" width="14" style="22" bestFit="1" customWidth="1"/>
    <col min="10" max="10" width="15" style="22" bestFit="1" customWidth="1"/>
    <col min="11" max="12" width="13.5" style="22" bestFit="1" customWidth="1"/>
    <col min="13" max="16384" width="10.83203125" style="22"/>
  </cols>
  <sheetData>
    <row r="1" spans="1:18" ht="22" x14ac:dyDescent="0.2">
      <c r="A1" s="23" t="s">
        <v>30</v>
      </c>
      <c r="B1" s="23"/>
      <c r="C1" s="23"/>
      <c r="D1" s="23"/>
      <c r="E1" s="23"/>
      <c r="F1" s="23"/>
      <c r="H1" s="23" t="s">
        <v>31</v>
      </c>
      <c r="I1" s="23"/>
      <c r="J1" s="23"/>
      <c r="K1" s="23"/>
      <c r="L1" s="23"/>
      <c r="R1" s="20"/>
    </row>
    <row r="2" spans="1:18" x14ac:dyDescent="0.15">
      <c r="A2" s="24" t="s">
        <v>24</v>
      </c>
      <c r="B2" s="24" t="s">
        <v>25</v>
      </c>
      <c r="C2" s="24" t="s">
        <v>26</v>
      </c>
      <c r="D2" s="24" t="s">
        <v>27</v>
      </c>
      <c r="E2" s="24" t="s">
        <v>28</v>
      </c>
      <c r="F2" s="24" t="s">
        <v>29</v>
      </c>
      <c r="H2" s="24" t="s">
        <v>24</v>
      </c>
      <c r="I2" s="24" t="s">
        <v>32</v>
      </c>
      <c r="J2" s="24" t="s">
        <v>33</v>
      </c>
      <c r="K2" s="24" t="s">
        <v>34</v>
      </c>
      <c r="L2" s="24" t="s">
        <v>35</v>
      </c>
      <c r="R2" s="21"/>
    </row>
    <row r="3" spans="1:18" x14ac:dyDescent="0.2">
      <c r="A3" s="25">
        <v>3</v>
      </c>
      <c r="B3" s="25">
        <v>1.9991399999999999</v>
      </c>
      <c r="C3" s="25">
        <v>1.3353756000000001</v>
      </c>
      <c r="D3" s="25">
        <v>1.808629</v>
      </c>
      <c r="E3" s="25">
        <v>1.2081192000000001</v>
      </c>
      <c r="F3" s="25">
        <v>1.2717474</v>
      </c>
      <c r="H3" s="25">
        <v>3</v>
      </c>
      <c r="I3" s="25">
        <v>0.77297637399999997</v>
      </c>
      <c r="J3" s="25">
        <v>-0.15854090400000001</v>
      </c>
      <c r="K3" s="25">
        <v>0.62739219999999996</v>
      </c>
      <c r="L3" s="25">
        <v>0.44582929999999998</v>
      </c>
    </row>
    <row r="4" spans="1:18" x14ac:dyDescent="0.2">
      <c r="A4" s="25">
        <v>2</v>
      </c>
      <c r="B4" s="25">
        <v>1.3631409999999999</v>
      </c>
      <c r="C4" s="25">
        <v>0.91054429999999997</v>
      </c>
      <c r="D4" s="25">
        <v>2.3007749999999998</v>
      </c>
      <c r="E4" s="25">
        <v>1.5368609</v>
      </c>
      <c r="F4" s="25">
        <v>1.2237026</v>
      </c>
      <c r="H4" s="25">
        <v>2</v>
      </c>
      <c r="I4" s="25">
        <v>0.48857548699999997</v>
      </c>
      <c r="J4" s="25">
        <v>0.54756400100000002</v>
      </c>
      <c r="K4" s="25">
        <v>0.62739219999999996</v>
      </c>
      <c r="L4" s="25">
        <v>0.44582929999999998</v>
      </c>
    </row>
    <row r="5" spans="1:18" x14ac:dyDescent="0.2">
      <c r="A5" s="25">
        <v>5</v>
      </c>
      <c r="B5" s="25">
        <v>1.618468</v>
      </c>
      <c r="C5" s="25">
        <v>1.0810966</v>
      </c>
      <c r="D5" s="25">
        <v>1.791858</v>
      </c>
      <c r="E5" s="25">
        <v>1.196917</v>
      </c>
      <c r="F5" s="25">
        <v>1.1390068</v>
      </c>
      <c r="H5" s="25">
        <v>5</v>
      </c>
      <c r="I5" s="25">
        <v>0.23063160399999999</v>
      </c>
      <c r="J5" s="25">
        <v>0.60242555099999995</v>
      </c>
      <c r="K5" s="25">
        <v>0.62739219999999996</v>
      </c>
      <c r="L5" s="25">
        <v>0.44582929999999998</v>
      </c>
    </row>
    <row r="6" spans="1:18" x14ac:dyDescent="0.2">
      <c r="A6" s="25">
        <v>8</v>
      </c>
      <c r="B6" s="25">
        <v>1.456976</v>
      </c>
      <c r="C6" s="25">
        <v>0.97322370000000002</v>
      </c>
      <c r="D6" s="25">
        <v>1.834746</v>
      </c>
      <c r="E6" s="25">
        <v>1.2255644999999999</v>
      </c>
      <c r="F6" s="25">
        <v>1.0993941</v>
      </c>
      <c r="H6" s="25">
        <v>8</v>
      </c>
      <c r="I6" s="25">
        <v>0.173952844</v>
      </c>
      <c r="J6" s="25">
        <v>0.31984954999999998</v>
      </c>
      <c r="K6" s="25">
        <v>0.62739219999999996</v>
      </c>
      <c r="L6" s="25">
        <v>0.44582929999999998</v>
      </c>
    </row>
    <row r="7" spans="1:18" x14ac:dyDescent="0.2">
      <c r="A7" s="25">
        <v>7</v>
      </c>
      <c r="B7" s="25">
        <v>1.538089</v>
      </c>
      <c r="C7" s="25">
        <v>1.0274053000000001</v>
      </c>
      <c r="D7" s="25">
        <v>1.6156140000000001</v>
      </c>
      <c r="E7" s="25">
        <v>1.0791898</v>
      </c>
      <c r="F7" s="25">
        <v>1.0532976000000001</v>
      </c>
      <c r="H7" s="25">
        <v>4</v>
      </c>
      <c r="I7" s="25">
        <v>0.16376151</v>
      </c>
      <c r="J7" s="25">
        <v>0.19754849099999999</v>
      </c>
      <c r="K7" s="25">
        <v>0.62739219999999996</v>
      </c>
      <c r="L7" s="25">
        <v>0.44582929999999998</v>
      </c>
    </row>
    <row r="8" spans="1:18" x14ac:dyDescent="0.2">
      <c r="A8" s="25">
        <v>1</v>
      </c>
      <c r="B8" s="25">
        <v>1.560235</v>
      </c>
      <c r="C8" s="25">
        <v>1.0421984</v>
      </c>
      <c r="D8" s="25">
        <v>1.585531</v>
      </c>
      <c r="E8" s="25">
        <v>1.0590953000000001</v>
      </c>
      <c r="F8" s="25">
        <v>1.0506469000000001</v>
      </c>
      <c r="H8" s="25">
        <v>10</v>
      </c>
      <c r="I8" s="25">
        <v>0.14114866500000001</v>
      </c>
      <c r="J8" s="25">
        <v>0.18547791399999999</v>
      </c>
      <c r="K8" s="25">
        <v>0.62739219999999996</v>
      </c>
      <c r="L8" s="25">
        <v>0.44582929999999998</v>
      </c>
    </row>
    <row r="9" spans="1:18" x14ac:dyDescent="0.2">
      <c r="A9" s="25">
        <v>10</v>
      </c>
      <c r="B9" s="25">
        <v>1.389014</v>
      </c>
      <c r="C9" s="25">
        <v>0.92782699999999996</v>
      </c>
      <c r="D9" s="25">
        <v>1.5965469999999999</v>
      </c>
      <c r="E9" s="25">
        <v>1.0664541000000001</v>
      </c>
      <c r="F9" s="25">
        <v>0.99714060000000004</v>
      </c>
      <c r="H9" s="25">
        <v>7</v>
      </c>
      <c r="I9" s="25">
        <v>0.107051197</v>
      </c>
      <c r="J9" s="25">
        <v>0.232037887</v>
      </c>
      <c r="K9" s="25">
        <v>0.62739219999999996</v>
      </c>
      <c r="L9" s="25">
        <v>0.44582929999999998</v>
      </c>
    </row>
    <row r="10" spans="1:18" x14ac:dyDescent="0.2">
      <c r="A10" s="25">
        <v>4</v>
      </c>
      <c r="B10" s="25">
        <v>1.4400280000000001</v>
      </c>
      <c r="C10" s="25">
        <v>0.96190319999999996</v>
      </c>
      <c r="D10" s="25">
        <v>1.5437019999999999</v>
      </c>
      <c r="E10" s="25">
        <v>1.0311547000000001</v>
      </c>
      <c r="F10" s="25">
        <v>0.996529</v>
      </c>
      <c r="H10" s="25">
        <v>11</v>
      </c>
      <c r="I10" s="25">
        <v>0.10044578799999999</v>
      </c>
      <c r="J10" s="25">
        <v>0.15405416499999999</v>
      </c>
      <c r="K10" s="25">
        <v>0.62739219999999996</v>
      </c>
      <c r="L10" s="25">
        <v>0.44582929999999998</v>
      </c>
    </row>
    <row r="11" spans="1:18" x14ac:dyDescent="0.2">
      <c r="A11" s="25">
        <v>9</v>
      </c>
      <c r="B11" s="25">
        <v>1.521379</v>
      </c>
      <c r="C11" s="25">
        <v>1.0162437</v>
      </c>
      <c r="D11" s="25">
        <v>1.4488430000000001</v>
      </c>
      <c r="E11" s="25">
        <v>0.96779119999999996</v>
      </c>
      <c r="F11" s="25">
        <v>0.9920175</v>
      </c>
      <c r="H11" s="25">
        <v>1</v>
      </c>
      <c r="I11" s="25">
        <v>8.2357583999999998E-2</v>
      </c>
      <c r="J11" s="25">
        <v>0.20320445200000001</v>
      </c>
      <c r="K11" s="25">
        <v>0.62739219999999996</v>
      </c>
      <c r="L11" s="25">
        <v>0.44582929999999998</v>
      </c>
    </row>
    <row r="12" spans="1:18" x14ac:dyDescent="0.2">
      <c r="A12" s="25">
        <v>11</v>
      </c>
      <c r="B12" s="25">
        <v>1.3100229999999999</v>
      </c>
      <c r="C12" s="25">
        <v>0.87506289999999998</v>
      </c>
      <c r="D12" s="25">
        <v>1.469179</v>
      </c>
      <c r="E12" s="25">
        <v>0.98137529999999995</v>
      </c>
      <c r="F12" s="25">
        <v>0.92821909999999996</v>
      </c>
      <c r="H12" s="25">
        <v>9</v>
      </c>
      <c r="I12" s="25">
        <v>6.5932369000000005E-2</v>
      </c>
      <c r="J12" s="25">
        <v>0.120308858</v>
      </c>
      <c r="K12" s="25">
        <v>0.62739219999999996</v>
      </c>
      <c r="L12" s="25">
        <v>0.44582929999999998</v>
      </c>
    </row>
    <row r="13" spans="1:18" x14ac:dyDescent="0.2">
      <c r="A13" s="25">
        <v>12</v>
      </c>
      <c r="B13" s="25">
        <v>1.5336000000000001</v>
      </c>
      <c r="C13" s="25">
        <v>1.0244066000000001</v>
      </c>
      <c r="D13" s="25">
        <v>1.125035</v>
      </c>
      <c r="E13" s="25">
        <v>0.75149529999999998</v>
      </c>
      <c r="F13" s="25">
        <v>0.88795100000000005</v>
      </c>
      <c r="H13" s="25">
        <v>12</v>
      </c>
      <c r="I13" s="25">
        <v>2.0978170000000001E-2</v>
      </c>
      <c r="J13" s="25">
        <v>3.3819003E-2</v>
      </c>
      <c r="K13" s="25">
        <v>0.62739219999999996</v>
      </c>
      <c r="L13" s="25">
        <v>0.44582929999999998</v>
      </c>
    </row>
    <row r="14" spans="1:18" x14ac:dyDescent="0.2">
      <c r="A14" s="25">
        <v>6</v>
      </c>
      <c r="B14" s="25">
        <v>1.537185</v>
      </c>
      <c r="C14" s="25">
        <v>1.0268014999999999</v>
      </c>
      <c r="D14" s="25">
        <v>1.1071139999999999</v>
      </c>
      <c r="E14" s="25">
        <v>0.73952439999999997</v>
      </c>
      <c r="F14" s="25">
        <v>0.88316289999999997</v>
      </c>
      <c r="H14" s="25">
        <v>6</v>
      </c>
      <c r="I14" s="25">
        <v>1.9049420000000001E-2</v>
      </c>
      <c r="J14" s="25">
        <v>4.0090439999999998E-2</v>
      </c>
      <c r="K14" s="25">
        <v>0.62739219999999996</v>
      </c>
      <c r="L14" s="25">
        <v>0.44582929999999998</v>
      </c>
      <c r="M14"/>
    </row>
    <row r="15" spans="1:18" x14ac:dyDescent="0.2">
      <c r="A15" s="25">
        <v>14</v>
      </c>
      <c r="B15" s="25">
        <v>1.4597020000000001</v>
      </c>
      <c r="C15" s="25">
        <v>0.97504480000000004</v>
      </c>
      <c r="D15" s="25">
        <v>1.06691</v>
      </c>
      <c r="E15" s="25">
        <v>0.7126692</v>
      </c>
      <c r="F15" s="25">
        <v>0.84385699999999997</v>
      </c>
      <c r="H15" s="25">
        <v>15</v>
      </c>
      <c r="I15" s="25">
        <v>1.0160651E-2</v>
      </c>
      <c r="J15" s="25">
        <v>1.5616708999999999E-2</v>
      </c>
      <c r="K15" s="25">
        <v>0.62739219999999996</v>
      </c>
      <c r="L15" s="25">
        <v>0.44582929999999998</v>
      </c>
    </row>
    <row r="16" spans="1:18" x14ac:dyDescent="0.2">
      <c r="A16" s="25">
        <v>13</v>
      </c>
      <c r="B16" s="25">
        <v>1.435805</v>
      </c>
      <c r="C16" s="25">
        <v>0.95908199999999999</v>
      </c>
      <c r="D16" s="25">
        <v>1.0900270000000001</v>
      </c>
      <c r="E16" s="25">
        <v>0.72811079999999995</v>
      </c>
      <c r="F16" s="25">
        <v>0.84359640000000002</v>
      </c>
      <c r="H16" s="25">
        <v>14</v>
      </c>
      <c r="I16" s="25">
        <v>4.4718680000000004E-3</v>
      </c>
      <c r="J16" s="25">
        <v>6.2566269999999998E-3</v>
      </c>
      <c r="K16" s="25">
        <v>0.62739219999999996</v>
      </c>
      <c r="L16" s="25">
        <v>0.44582929999999998</v>
      </c>
    </row>
    <row r="17" spans="1:12" x14ac:dyDescent="0.2">
      <c r="A17" s="25">
        <v>15</v>
      </c>
      <c r="B17" s="25">
        <v>1.2931379999999999</v>
      </c>
      <c r="C17" s="25">
        <v>0.86378429999999995</v>
      </c>
      <c r="D17" s="25">
        <v>1.0714140000000001</v>
      </c>
      <c r="E17" s="25">
        <v>0.71567820000000004</v>
      </c>
      <c r="F17" s="25">
        <v>0.78973130000000002</v>
      </c>
      <c r="H17" s="25">
        <v>13</v>
      </c>
      <c r="I17" s="25">
        <v>2.2016330000000001E-3</v>
      </c>
      <c r="J17" s="25">
        <v>4.0214600000000001E-3</v>
      </c>
      <c r="K17" s="25">
        <v>0.62739219999999996</v>
      </c>
      <c r="L17" s="25">
        <v>0.44582929999999998</v>
      </c>
    </row>
  </sheetData>
  <mergeCells count="2">
    <mergeCell ref="H1:L1"/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sectors</vt:lpstr>
      <vt:lpstr>lockdown</vt:lpstr>
      <vt:lpstr>rank</vt:lpstr>
      <vt:lpstr>inoperability</vt:lpstr>
      <vt:lpstr>PCA vs Traditional Linkages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#YEOH YU YONG#</dc:creator>
  <cp:lastModifiedBy>#YEOH YU YONG#</cp:lastModifiedBy>
  <dcterms:created xsi:type="dcterms:W3CDTF">2025-11-04T02:38:35Z</dcterms:created>
  <dcterms:modified xsi:type="dcterms:W3CDTF">2025-12-09T05:46:09Z</dcterms:modified>
</cp:coreProperties>
</file>