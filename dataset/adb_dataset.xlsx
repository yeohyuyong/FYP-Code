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yeohyy/Library/CloudStorage/GoogleDrive-yeoh.yuyong@gmail.com/My Drive/School/NTU/FYP/FYP Code/"/>
    </mc:Choice>
  </mc:AlternateContent>
  <xr:revisionPtr revIDLastSave="0" documentId="13_ncr:1_{F917B63C-43BA-3445-8B85-3CB4575F46C4}" xr6:coauthVersionLast="47" xr6:coauthVersionMax="47" xr10:uidLastSave="{00000000-0000-0000-0000-000000000000}"/>
  <bookViews>
    <workbookView xWindow="0" yWindow="600" windowWidth="25600" windowHeight="15400" tabRatio="902" activeTab="2" xr2:uid="{9031F9F6-16FE-4C0A-88F7-72337636CDDF}"/>
  </bookViews>
  <sheets>
    <sheet name="2019" sheetId="18" r:id="rId1"/>
    <sheet name="2020" sheetId="17" r:id="rId2"/>
    <sheet name="Sheet1" sheetId="21" r:id="rId3"/>
  </sheets>
  <definedNames>
    <definedName name="CAP_CT">#REF!</definedName>
    <definedName name="CAP_GFCF">#REF!</definedName>
    <definedName name="CAP_IT">#REF!</definedName>
    <definedName name="CAP_OCon">#REF!</definedName>
    <definedName name="CAP_OMach">#REF!</definedName>
    <definedName name="CAP_Other">#REF!</definedName>
    <definedName name="CAP_QI">#REF!</definedName>
    <definedName name="CAP_RStruc">#REF!</definedName>
    <definedName name="CAP_Soft">#REF!</definedName>
    <definedName name="CAP_TraEq">#REF!</definedName>
    <definedName name="CAPIT">#REF!</definedName>
    <definedName name="CAPIT_QI">#REF!</definedName>
    <definedName name="capit_qph">#REF!</definedName>
    <definedName name="CAPNIT">#REF!</definedName>
    <definedName name="CAPNIT_QI">#REF!</definedName>
    <definedName name="capnit_qph">#REF!</definedName>
    <definedName name="da">#REF!</definedName>
    <definedName name="FLAPPIE">#REF!</definedName>
    <definedName name="New">#REF!</definedName>
    <definedName name="VACon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8" i="17" l="1"/>
  <c r="AR9" i="17"/>
  <c r="AR10" i="17"/>
  <c r="AR11" i="17"/>
  <c r="AR12" i="17"/>
  <c r="AR13" i="17"/>
  <c r="AR14" i="17"/>
  <c r="AR15" i="17"/>
  <c r="AR16" i="17"/>
  <c r="AR17" i="17"/>
  <c r="AR18" i="17"/>
  <c r="AR19" i="17"/>
  <c r="AR20" i="17"/>
  <c r="AR21" i="17"/>
  <c r="AR22" i="17"/>
  <c r="AR23" i="17"/>
  <c r="AR24" i="17"/>
  <c r="AR25" i="17"/>
  <c r="AR26" i="17"/>
  <c r="AR27" i="17"/>
  <c r="AR28" i="17"/>
  <c r="AR29" i="17"/>
  <c r="AR30" i="17"/>
  <c r="AR31" i="17"/>
  <c r="AR32" i="17"/>
  <c r="AR33" i="17"/>
  <c r="AR34" i="17"/>
  <c r="AR35" i="17"/>
  <c r="AR36" i="17"/>
  <c r="AR37" i="17"/>
  <c r="AR38" i="17"/>
  <c r="AR39" i="17"/>
  <c r="AR40" i="17"/>
  <c r="AR41" i="17"/>
  <c r="AR7" i="17"/>
  <c r="AR8" i="18"/>
  <c r="AR9" i="18"/>
  <c r="AR10" i="18"/>
  <c r="AR11" i="18"/>
  <c r="AR12" i="18"/>
  <c r="AR13" i="18"/>
  <c r="AR14" i="18"/>
  <c r="AR15" i="18"/>
  <c r="AR16" i="18"/>
  <c r="AR17" i="18"/>
  <c r="AR18" i="18"/>
  <c r="AR19" i="18"/>
  <c r="AR20" i="18"/>
  <c r="AR21" i="18"/>
  <c r="AR22" i="18"/>
  <c r="AR23" i="18"/>
  <c r="AR24" i="18"/>
  <c r="AR25" i="18"/>
  <c r="AR26" i="18"/>
  <c r="AR27" i="18"/>
  <c r="AR28" i="18"/>
  <c r="AR29" i="18"/>
  <c r="AR30" i="18"/>
  <c r="AR31" i="18"/>
  <c r="AR32" i="18"/>
  <c r="AR33" i="18"/>
  <c r="AR34" i="18"/>
  <c r="AR35" i="18"/>
  <c r="AR36" i="18"/>
  <c r="AR37" i="18"/>
  <c r="AR38" i="18"/>
  <c r="AR39" i="18"/>
  <c r="AR40" i="18"/>
  <c r="AR41" i="18"/>
  <c r="AR7" i="18"/>
  <c r="AS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AS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AS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AS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3" i="18"/>
  <c r="C53" i="17"/>
  <c r="C52" i="18"/>
  <c r="C52" i="17"/>
</calcChain>
</file>

<file path=xl/sharedStrings.xml><?xml version="1.0" encoding="utf-8"?>
<sst xmlns="http://schemas.openxmlformats.org/spreadsheetml/2006/main" count="425" uniqueCount="122">
  <si>
    <t>(at current prices, $ million)</t>
  </si>
  <si>
    <r>
      <rPr>
        <vertAlign val="subscript"/>
        <sz val="20"/>
        <rFont val="Arial"/>
        <family val="2"/>
      </rPr>
      <t>Industry</t>
    </r>
    <r>
      <rPr>
        <sz val="20"/>
        <rFont val="Arial"/>
        <family val="2"/>
      </rPr>
      <t xml:space="preserve"> </t>
    </r>
    <r>
      <rPr>
        <vertAlign val="superscript"/>
        <sz val="20"/>
        <rFont val="Arial"/>
        <family val="2"/>
      </rPr>
      <t>Industry</t>
    </r>
  </si>
  <si>
    <t>Agriculture, hunting, forestry, and fishing</t>
  </si>
  <si>
    <t>Mining and quarrying</t>
  </si>
  <si>
    <t>Food, beverages, and tobacco</t>
  </si>
  <si>
    <t>Textiles and textile products</t>
  </si>
  <si>
    <t>Leather, leather products, and footwear</t>
  </si>
  <si>
    <t>Wood and products of wood and cork</t>
  </si>
  <si>
    <t>Pulp, paper, paper products, printing, and publishing</t>
  </si>
  <si>
    <t>Coke, refined petroleum, and nuclear fuel</t>
  </si>
  <si>
    <t>Chemicals and chemical products</t>
  </si>
  <si>
    <t>Rubber and plastics</t>
  </si>
  <si>
    <t>Other nonmetallic minerals</t>
  </si>
  <si>
    <t>Basic metals and fabricated metal</t>
  </si>
  <si>
    <t>Machinery, nec</t>
  </si>
  <si>
    <t>Electrical and optical equipment</t>
  </si>
  <si>
    <t>Transport equipment</t>
  </si>
  <si>
    <t>Manufacturing, nec; recycling</t>
  </si>
  <si>
    <t>Electricity, gas, and water supply</t>
  </si>
  <si>
    <t>Construction</t>
  </si>
  <si>
    <t>Sale, maintenance, and repair of motor vehicles and motorcycles; retail sale of fuel</t>
  </si>
  <si>
    <t>Wholesale trade and commission trade, except of motor vehicles and motorcycles</t>
  </si>
  <si>
    <t>Retail trade, except of motor vehicles and motorcycles; repair of household goods</t>
  </si>
  <si>
    <t>Hotels and restaurants</t>
  </si>
  <si>
    <t>Inland transport</t>
  </si>
  <si>
    <t>Water transport</t>
  </si>
  <si>
    <t>Air transport</t>
  </si>
  <si>
    <t>Other supporting and auxiliary transport activities; activities of travel agencies</t>
  </si>
  <si>
    <t>Post and telecommunications</t>
  </si>
  <si>
    <t>Financial intermediation</t>
  </si>
  <si>
    <t>Real estate activities</t>
  </si>
  <si>
    <t>Renting of M&amp;Eq and other business activities</t>
  </si>
  <si>
    <t>Public administration and defense; compulsory social security</t>
  </si>
  <si>
    <t>Education</t>
  </si>
  <si>
    <t>Health and social work</t>
  </si>
  <si>
    <t>Other community, social, and personal services</t>
  </si>
  <si>
    <t>Private households with employed persons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</si>
  <si>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</si>
  <si>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</si>
  <si>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</si>
  <si>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</si>
  <si>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 and valuables</t>
  </si>
  <si>
    <t>Exports</t>
  </si>
  <si>
    <t>TOTAL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</si>
  <si>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</si>
  <si>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</si>
  <si>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</si>
  <si>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</si>
  <si>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</si>
  <si>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</si>
  <si>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</si>
  <si>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</si>
  <si>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</si>
  <si>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</si>
  <si>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</si>
  <si>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</si>
  <si>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</si>
  <si>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</si>
  <si>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</si>
  <si>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</si>
  <si>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</si>
  <si>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</si>
  <si>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</si>
  <si>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</si>
  <si>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</si>
  <si>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</si>
  <si>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</si>
  <si>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</si>
  <si>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</si>
  <si>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</si>
  <si>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</si>
  <si>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</si>
  <si>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</si>
  <si>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</si>
  <si>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</si>
  <si>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</si>
  <si>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</si>
  <si>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</si>
  <si>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</si>
  <si>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F1</t>
  </si>
  <si>
    <t>F2</t>
  </si>
  <si>
    <t>F3</t>
  </si>
  <si>
    <t>F4</t>
  </si>
  <si>
    <t>F5</t>
  </si>
  <si>
    <t>F6</t>
  </si>
  <si>
    <t>Imports</t>
  </si>
  <si>
    <t>M</t>
  </si>
  <si>
    <t>Intermediate input total</t>
  </si>
  <si>
    <t>r60</t>
  </si>
  <si>
    <t>Taxes less subsidies on products</t>
  </si>
  <si>
    <t>r99</t>
  </si>
  <si>
    <t>CIF / FOB adjustments on exports</t>
  </si>
  <si>
    <t>r61</t>
  </si>
  <si>
    <t>Direct purchases abroad by residents</t>
  </si>
  <si>
    <t>r62</t>
  </si>
  <si>
    <t xml:space="preserve">Purchases on the domestic territory by non-residents </t>
  </si>
  <si>
    <t>r63</t>
  </si>
  <si>
    <t>Value added at basic prices</t>
  </si>
  <si>
    <t>r64</t>
  </si>
  <si>
    <t>International Transport Margins</t>
  </si>
  <si>
    <t>trs</t>
  </si>
  <si>
    <t>r69</t>
  </si>
  <si>
    <t>Table 1.14: Singapore Input-Output Table (35x35), 2019</t>
  </si>
  <si>
    <t>Table 1.15: Singapore Input-Output Table (35x35), 2020</t>
  </si>
  <si>
    <t>Industry</t>
  </si>
  <si>
    <t>Sum of F</t>
  </si>
  <si>
    <t>2019 (C)</t>
  </si>
  <si>
    <t>2020 (C_tilda)</t>
  </si>
  <si>
    <t>C-C_tilda</t>
  </si>
  <si>
    <t>Mapped</t>
  </si>
  <si>
    <t>Agriculture, Fishing, Quarrying, Utilities and Sewerage &amp; Waste Management</t>
  </si>
  <si>
    <t>Manufacturing</t>
  </si>
  <si>
    <t>Wholesale  &amp;  Retail  Trade</t>
  </si>
  <si>
    <t>Transportation  &amp;  Storage</t>
  </si>
  <si>
    <t>Accommodation  &amp;  Food  Services</t>
  </si>
  <si>
    <t>Information  &amp;  Communications</t>
  </si>
  <si>
    <t>Financial  &amp;  Insurance  Services</t>
  </si>
  <si>
    <t>Real  Estate  Services</t>
  </si>
  <si>
    <t>Professional  Services</t>
  </si>
  <si>
    <t>Public  Administration  &amp;  Education</t>
  </si>
  <si>
    <t>Health  &amp;  Social  Services</t>
  </si>
  <si>
    <t>Other  Community,  Social  &amp;  Personal 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</si>
</sst>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.5"/>
      <name val="Arial"/>
      <family val="2"/>
    </font>
    <font>
      <b/>
      <sz val="8.5"/>
      <name val="Arial"/>
      <family val="2"/>
    </font>
    <font>
      <sz val="20"/>
      <name val="Arial"/>
      <family val="2"/>
    </font>
    <font>
      <vertAlign val="subscript"/>
      <sz val="20"/>
      <name val="Arial"/>
      <family val="2"/>
    </font>
    <font>
      <vertAlign val="superscript"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 diagonalDown="1"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 style="thin">
        <color theme="1" tint="0.499984740745262"/>
      </diagonal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1" applyFont="1"/>
    <xf numFmtId="0" fontId="1" fillId="0" borderId="0" xfId="1"/>
    <xf numFmtId="0" fontId="3" fillId="2" borderId="2" xfId="1" applyFont="1" applyFill="1" applyBorder="1" applyAlignment="1">
      <alignment horizontal="center" vertical="top" wrapText="1"/>
    </xf>
    <xf numFmtId="0" fontId="3" fillId="3" borderId="2" xfId="1" applyFont="1" applyFill="1" applyBorder="1" applyAlignment="1">
      <alignment horizontal="center"/>
    </xf>
    <xf numFmtId="0" fontId="3" fillId="0" borderId="2" xfId="1" applyFont="1" applyBorder="1"/>
    <xf numFmtId="0" fontId="3" fillId="0" borderId="2" xfId="1" applyFont="1" applyBorder="1" applyAlignment="1">
      <alignment horizontal="center"/>
    </xf>
    <xf numFmtId="164" fontId="3" fillId="0" borderId="2" xfId="2" applyNumberFormat="1" applyFont="1" applyFill="1" applyBorder="1"/>
    <xf numFmtId="0" fontId="3" fillId="3" borderId="2" xfId="1" applyFont="1" applyFill="1" applyBorder="1"/>
    <xf numFmtId="164" fontId="3" fillId="3" borderId="2" xfId="2" applyNumberFormat="1" applyFont="1" applyFill="1" applyBorder="1"/>
    <xf numFmtId="0" fontId="3" fillId="2" borderId="2" xfId="1" applyFont="1" applyFill="1" applyBorder="1"/>
    <xf numFmtId="0" fontId="3" fillId="2" borderId="2" xfId="1" applyFont="1" applyFill="1" applyBorder="1" applyAlignment="1">
      <alignment horizontal="center"/>
    </xf>
    <xf numFmtId="164" fontId="4" fillId="3" borderId="2" xfId="2" applyNumberFormat="1" applyFont="1" applyFill="1" applyBorder="1"/>
    <xf numFmtId="0" fontId="5" fillId="0" borderId="1" xfId="1" applyFont="1" applyBorder="1" applyAlignment="1">
      <alignment horizontal="center" vertical="center"/>
    </xf>
    <xf numFmtId="164" fontId="1" fillId="0" borderId="0" xfId="1" applyNumberFormat="1"/>
    <xf numFmtId="0" fontId="0" fillId="0" borderId="0" xfId="0" applyAlignment="1">
      <alignment wrapText="1"/>
    </xf>
    <xf numFmtId="0" fontId="0" fillId="0" borderId="3" xfId="0" applyBorder="1" applyAlignment="1">
      <alignment horizontal="left" vertical="center" wrapText="1"/>
    </xf>
  </cellXfs>
  <cellStyles count="3">
    <cellStyle name="Comma 2 3 2" xfId="2" xr:uid="{2B1906BE-A4ED-4C78-97EA-3AD8F698EFFA}"/>
    <cellStyle name="Normal" xfId="0" builtinId="0"/>
    <cellStyle name="Normal 2 2" xfId="1" xr:uid="{EB38409B-7369-416A-B2C7-4A085F0E2E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81FF-37B2-410E-A79A-4B5F2BCEB5E4}">
  <sheetPr codeName="Sheet15">
    <tabColor rgb="FFFFC000"/>
  </sheetPr>
  <dimension ref="A1:AY56"/>
  <sheetViews>
    <sheetView zoomScale="78" zoomScaleNormal="78" workbookViewId="0">
      <pane xSplit="2" ySplit="6" topLeftCell="AB7" activePane="bottomRight" state="frozen"/>
      <selection pane="topRight" activeCell="C52" sqref="C52:AR53"/>
      <selection pane="bottomLeft" activeCell="C52" sqref="C52:AR53"/>
      <selection pane="bottomRight" activeCell="AR7" sqref="AR7:AR41"/>
    </sheetView>
  </sheetViews>
  <sheetFormatPr baseColWidth="10" defaultColWidth="0" defaultRowHeight="14.5" customHeight="1" zeroHeight="1" x14ac:dyDescent="0.2"/>
  <cols>
    <col min="1" max="1" width="26.1640625" style="2" customWidth="1"/>
    <col min="2" max="46" width="12.6640625" style="2" customWidth="1"/>
    <col min="47" max="51" width="0" style="2" hidden="1" customWidth="1"/>
    <col min="52" max="16384" width="12.6640625" style="2" hidden="1"/>
  </cols>
  <sheetData>
    <row r="1" spans="1:45" ht="15" x14ac:dyDescent="0.2">
      <c r="A1" s="1" t="s">
        <v>102</v>
      </c>
    </row>
    <row r="2" spans="1:45" ht="15" x14ac:dyDescent="0.2">
      <c r="A2" s="1" t="s">
        <v>0</v>
      </c>
    </row>
    <row r="3" spans="1:45" ht="15" x14ac:dyDescent="0.2"/>
    <row r="4" spans="1:45" ht="15" x14ac:dyDescent="0.2"/>
    <row r="5" spans="1:45" ht="80.5" customHeight="1" x14ac:dyDescent="0.2">
      <c r="A5" s="13" t="s">
        <v>1</v>
      </c>
      <c r="B5" s="3"/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24</v>
      </c>
      <c r="Z5" s="3" t="s">
        <v>25</v>
      </c>
      <c r="AA5" s="3" t="s">
        <v>26</v>
      </c>
      <c r="AB5" s="3" t="s">
        <v>27</v>
      </c>
      <c r="AC5" s="3" t="s">
        <v>28</v>
      </c>
      <c r="AD5" s="3" t="s">
        <v>29</v>
      </c>
      <c r="AE5" s="3" t="s">
        <v>30</v>
      </c>
      <c r="AF5" s="3" t="s">
        <v>31</v>
      </c>
      <c r="AG5" s="3" t="s">
        <v>32</v>
      </c>
      <c r="AH5" s="3" t="s">
        <v>33</v>
      </c>
      <c r="AI5" s="3" t="s">
        <v>34</v>
      </c>
      <c r="AJ5" s="3" t="s">
        <v>35</v>
      </c>
      <c r="AK5" s="3" t="s">
        <v>36</v>
      </c>
      <c r="AL5" s="3" t="s">
        <v>37</v>
      </c>
      <c r="AM5" s="3" t="s">
        <v>38</v>
      </c>
      <c r="AN5" s="3" t="s">
        <v>39</v>
      </c>
      <c r="AO5" s="3" t="s">
        <v>40</v>
      </c>
      <c r="AP5" s="3" t="s">
        <v>41</v>
      </c>
      <c r="AQ5" s="3" t="s">
        <v>42</v>
      </c>
      <c r="AR5" s="3" t="s">
        <v>105</v>
      </c>
      <c r="AS5" s="3" t="s">
        <v>43</v>
      </c>
    </row>
    <row r="6" spans="1:45" ht="15" x14ac:dyDescent="0.2">
      <c r="A6" s="4"/>
      <c r="B6" s="4"/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  <c r="I6" s="4" t="s">
        <v>50</v>
      </c>
      <c r="J6" s="4" t="s">
        <v>51</v>
      </c>
      <c r="K6" s="4" t="s">
        <v>52</v>
      </c>
      <c r="L6" s="4" t="s">
        <v>53</v>
      </c>
      <c r="M6" s="4" t="s">
        <v>54</v>
      </c>
      <c r="N6" s="4" t="s">
        <v>55</v>
      </c>
      <c r="O6" s="4" t="s">
        <v>56</v>
      </c>
      <c r="P6" s="4" t="s">
        <v>57</v>
      </c>
      <c r="Q6" s="4" t="s">
        <v>58</v>
      </c>
      <c r="R6" s="4" t="s">
        <v>59</v>
      </c>
      <c r="S6" s="4" t="s">
        <v>60</v>
      </c>
      <c r="T6" s="4" t="s">
        <v>61</v>
      </c>
      <c r="U6" s="4" t="s">
        <v>62</v>
      </c>
      <c r="V6" s="4" t="s">
        <v>63</v>
      </c>
      <c r="W6" s="4" t="s">
        <v>64</v>
      </c>
      <c r="X6" s="4" t="s">
        <v>65</v>
      </c>
      <c r="Y6" s="4" t="s">
        <v>66</v>
      </c>
      <c r="Z6" s="4" t="s">
        <v>67</v>
      </c>
      <c r="AA6" s="4" t="s">
        <v>68</v>
      </c>
      <c r="AB6" s="4" t="s">
        <v>69</v>
      </c>
      <c r="AC6" s="4" t="s">
        <v>70</v>
      </c>
      <c r="AD6" s="4" t="s">
        <v>71</v>
      </c>
      <c r="AE6" s="4" t="s">
        <v>72</v>
      </c>
      <c r="AF6" s="4" t="s">
        <v>73</v>
      </c>
      <c r="AG6" s="4" t="s">
        <v>74</v>
      </c>
      <c r="AH6" s="4" t="s">
        <v>75</v>
      </c>
      <c r="AI6" s="4" t="s">
        <v>76</v>
      </c>
      <c r="AJ6" s="4" t="s">
        <v>77</v>
      </c>
      <c r="AK6" s="4" t="s">
        <v>78</v>
      </c>
      <c r="AL6" s="4" t="s">
        <v>79</v>
      </c>
      <c r="AM6" s="4" t="s">
        <v>80</v>
      </c>
      <c r="AN6" s="4" t="s">
        <v>81</v>
      </c>
      <c r="AO6" s="4" t="s">
        <v>82</v>
      </c>
      <c r="AP6" s="4" t="s">
        <v>83</v>
      </c>
      <c r="AQ6" s="4" t="s">
        <v>84</v>
      </c>
      <c r="AR6" s="4"/>
      <c r="AS6" s="4"/>
    </row>
    <row r="7" spans="1:45" ht="15" x14ac:dyDescent="0.2">
      <c r="A7" s="5" t="s">
        <v>2</v>
      </c>
      <c r="B7" s="6" t="s">
        <v>44</v>
      </c>
      <c r="C7" s="7">
        <v>22.986215543582841</v>
      </c>
      <c r="D7" s="7">
        <v>0</v>
      </c>
      <c r="E7" s="7">
        <v>19.861072181632512</v>
      </c>
      <c r="F7" s="7">
        <v>5.148437328131323E-3</v>
      </c>
      <c r="G7" s="7">
        <v>9.5409292839173023</v>
      </c>
      <c r="H7" s="7">
        <v>2.8824205218196432E-3</v>
      </c>
      <c r="I7" s="7">
        <v>5.9665420378434031E-2</v>
      </c>
      <c r="J7" s="7">
        <v>0.17386831190194896</v>
      </c>
      <c r="K7" s="7">
        <v>0.48636053837435667</v>
      </c>
      <c r="L7" s="7">
        <v>7.9344615809054369E-3</v>
      </c>
      <c r="M7" s="7">
        <v>1.0428155937919905E-2</v>
      </c>
      <c r="N7" s="7">
        <v>7.6841772222361465E-2</v>
      </c>
      <c r="O7" s="7">
        <v>7.9336046602211066E-2</v>
      </c>
      <c r="P7" s="7">
        <v>0.94084551201644095</v>
      </c>
      <c r="Q7" s="7">
        <v>8.8414919493295149E-2</v>
      </c>
      <c r="R7" s="7">
        <v>2.278176777147254E-2</v>
      </c>
      <c r="S7" s="7">
        <v>0.186171080952406</v>
      </c>
      <c r="T7" s="7">
        <v>1.5127798307968567</v>
      </c>
      <c r="U7" s="7">
        <v>2.3692613836144159E-2</v>
      </c>
      <c r="V7" s="7">
        <v>0.53500554521426957</v>
      </c>
      <c r="W7" s="7">
        <v>8.1732386653035713E-2</v>
      </c>
      <c r="X7" s="7">
        <v>50.759916036807539</v>
      </c>
      <c r="Y7" s="7">
        <v>0.41006528025208189</v>
      </c>
      <c r="Z7" s="7">
        <v>1.3654794815645956</v>
      </c>
      <c r="AA7" s="7">
        <v>9.9616490034696137E-2</v>
      </c>
      <c r="AB7" s="7">
        <v>0.11687345767410956</v>
      </c>
      <c r="AC7" s="7">
        <v>0.16393914596364229</v>
      </c>
      <c r="AD7" s="7">
        <v>7.8799563169278511E-2</v>
      </c>
      <c r="AE7" s="7">
        <v>0.16859781436582935</v>
      </c>
      <c r="AF7" s="7">
        <v>1.5355766724715112</v>
      </c>
      <c r="AG7" s="7">
        <v>0.52797323580548094</v>
      </c>
      <c r="AH7" s="7">
        <v>6.0752045225513529E-2</v>
      </c>
      <c r="AI7" s="7">
        <v>0.17200197565046196</v>
      </c>
      <c r="AJ7" s="7">
        <v>0.59450970246908785</v>
      </c>
      <c r="AK7" s="7">
        <v>1.0575161291980898E-4</v>
      </c>
      <c r="AL7" s="7">
        <v>41.25383499906922</v>
      </c>
      <c r="AM7" s="7">
        <v>0</v>
      </c>
      <c r="AN7" s="7">
        <v>1.0113211153913023E-3</v>
      </c>
      <c r="AO7" s="7">
        <v>0.41888569291274791</v>
      </c>
      <c r="AP7" s="7">
        <v>39.127771922977601</v>
      </c>
      <c r="AQ7" s="7">
        <v>115.41349015208714</v>
      </c>
      <c r="AR7" s="7">
        <f>SUM(AL7:AQ7)</f>
        <v>196.21499408816209</v>
      </c>
      <c r="AS7" s="7">
        <v>308.95130697194344</v>
      </c>
    </row>
    <row r="8" spans="1:45" ht="15" x14ac:dyDescent="0.2">
      <c r="A8" s="5" t="s">
        <v>3</v>
      </c>
      <c r="B8" s="6" t="s">
        <v>45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f t="shared" ref="AR8:AR41" si="0">SUM(AL8:AQ8)</f>
        <v>0</v>
      </c>
      <c r="AS8" s="7">
        <v>0</v>
      </c>
    </row>
    <row r="9" spans="1:45" ht="15" x14ac:dyDescent="0.2">
      <c r="A9" s="5" t="s">
        <v>4</v>
      </c>
      <c r="B9" s="6" t="s">
        <v>46</v>
      </c>
      <c r="C9" s="7">
        <v>8.2784035007948233</v>
      </c>
      <c r="D9" s="7">
        <v>0</v>
      </c>
      <c r="E9" s="7">
        <v>1471.3492147342272</v>
      </c>
      <c r="F9" s="7">
        <v>9.8462085466817284E-2</v>
      </c>
      <c r="G9" s="7">
        <v>0.42906911312793122</v>
      </c>
      <c r="H9" s="7">
        <v>0.19198267701105329</v>
      </c>
      <c r="I9" s="7">
        <v>3.8419724791575467</v>
      </c>
      <c r="J9" s="7">
        <v>4.2778578404720502</v>
      </c>
      <c r="K9" s="7">
        <v>253.93054944505468</v>
      </c>
      <c r="L9" s="7">
        <v>0.31399806947061876</v>
      </c>
      <c r="M9" s="7">
        <v>0.21517168492339783</v>
      </c>
      <c r="N9" s="7">
        <v>2.3222309987684628</v>
      </c>
      <c r="O9" s="7">
        <v>2.3042881875528187</v>
      </c>
      <c r="P9" s="7">
        <v>255.89143225976383</v>
      </c>
      <c r="Q9" s="7">
        <v>1.7341094029338253</v>
      </c>
      <c r="R9" s="7">
        <v>0.63868697320209677</v>
      </c>
      <c r="S9" s="7">
        <v>2.463371024433008</v>
      </c>
      <c r="T9" s="7">
        <v>3.8710405671636043</v>
      </c>
      <c r="U9" s="7">
        <v>2.102632280892287</v>
      </c>
      <c r="V9" s="7">
        <v>48.371542887448015</v>
      </c>
      <c r="W9" s="7">
        <v>3.517815423155001</v>
      </c>
      <c r="X9" s="7">
        <v>1199.2386132084553</v>
      </c>
      <c r="Y9" s="7">
        <v>0.8115268316489872</v>
      </c>
      <c r="Z9" s="7">
        <v>76.255098840871128</v>
      </c>
      <c r="AA9" s="7">
        <v>2.1076882569938395</v>
      </c>
      <c r="AB9" s="7">
        <v>7.5407475740268302</v>
      </c>
      <c r="AC9" s="7">
        <v>4.1016682032811431</v>
      </c>
      <c r="AD9" s="7">
        <v>22.709555042699396</v>
      </c>
      <c r="AE9" s="7">
        <v>7.1974389089012236</v>
      </c>
      <c r="AF9" s="7">
        <v>44.4356287024941</v>
      </c>
      <c r="AG9" s="7">
        <v>31.450069417442354</v>
      </c>
      <c r="AH9" s="7">
        <v>2.4420376766727743</v>
      </c>
      <c r="AI9" s="7">
        <v>13.036097309770707</v>
      </c>
      <c r="AJ9" s="7">
        <v>40.103968393233259</v>
      </c>
      <c r="AK9" s="7">
        <v>0</v>
      </c>
      <c r="AL9" s="7">
        <v>870.9736069417952</v>
      </c>
      <c r="AM9" s="7">
        <v>0</v>
      </c>
      <c r="AN9" s="7">
        <v>0.13683785936462337</v>
      </c>
      <c r="AO9" s="7">
        <v>46.130332194557532</v>
      </c>
      <c r="AP9" s="7">
        <v>-83.194714276657919</v>
      </c>
      <c r="AQ9" s="7">
        <v>4934.3814456024647</v>
      </c>
      <c r="AR9" s="7">
        <f t="shared" si="0"/>
        <v>5768.4275083215243</v>
      </c>
      <c r="AS9" s="7">
        <v>9286.0014783230345</v>
      </c>
    </row>
    <row r="10" spans="1:45" ht="15" x14ac:dyDescent="0.2">
      <c r="A10" s="5" t="s">
        <v>5</v>
      </c>
      <c r="B10" s="6" t="s">
        <v>47</v>
      </c>
      <c r="C10" s="7">
        <v>2.2593096105983101E-2</v>
      </c>
      <c r="D10" s="7">
        <v>0</v>
      </c>
      <c r="E10" s="7">
        <v>2.1150393041383841</v>
      </c>
      <c r="F10" s="7">
        <v>29.471140986406667</v>
      </c>
      <c r="G10" s="7">
        <v>6.932884060328047E-2</v>
      </c>
      <c r="H10" s="7">
        <v>0.30425114813932835</v>
      </c>
      <c r="I10" s="7">
        <v>2.6517863780244344</v>
      </c>
      <c r="J10" s="7">
        <v>1.0511722370799956</v>
      </c>
      <c r="K10" s="7">
        <v>5.0475034868005757</v>
      </c>
      <c r="L10" s="7">
        <v>0.87210306169332286</v>
      </c>
      <c r="M10" s="7">
        <v>6.1010682507146877E-2</v>
      </c>
      <c r="N10" s="7">
        <v>2.5687506467915968</v>
      </c>
      <c r="O10" s="7">
        <v>4.8297599930339343</v>
      </c>
      <c r="P10" s="7">
        <v>5.6840048842284512</v>
      </c>
      <c r="Q10" s="7">
        <v>3.0706304448225366</v>
      </c>
      <c r="R10" s="7">
        <v>6.6117880228145527</v>
      </c>
      <c r="S10" s="7">
        <v>0.74465684340167748</v>
      </c>
      <c r="T10" s="7">
        <v>7.7212405758796345</v>
      </c>
      <c r="U10" s="7">
        <v>0.47451500147450043</v>
      </c>
      <c r="V10" s="7">
        <v>10.431293982173944</v>
      </c>
      <c r="W10" s="7">
        <v>3.3832337583627963</v>
      </c>
      <c r="X10" s="7">
        <v>8.8496089526076993</v>
      </c>
      <c r="Y10" s="7">
        <v>1.4518417827498658</v>
      </c>
      <c r="Z10" s="7">
        <v>0.83367967031244583</v>
      </c>
      <c r="AA10" s="7">
        <v>0.35841424482191575</v>
      </c>
      <c r="AB10" s="7">
        <v>3.9420243394173995</v>
      </c>
      <c r="AC10" s="7">
        <v>1.0119032503767986</v>
      </c>
      <c r="AD10" s="7">
        <v>0.55912838230962036</v>
      </c>
      <c r="AE10" s="7">
        <v>0.39692469606757241</v>
      </c>
      <c r="AF10" s="7">
        <v>4.2415315767560706</v>
      </c>
      <c r="AG10" s="7">
        <v>1.4470603398006232</v>
      </c>
      <c r="AH10" s="7">
        <v>1.7766850095347204</v>
      </c>
      <c r="AI10" s="7">
        <v>3.0572515142529717</v>
      </c>
      <c r="AJ10" s="7">
        <v>13.169150748022615</v>
      </c>
      <c r="AK10" s="7">
        <v>0</v>
      </c>
      <c r="AL10" s="7">
        <v>41.189089374180135</v>
      </c>
      <c r="AM10" s="7">
        <v>0</v>
      </c>
      <c r="AN10" s="7">
        <v>0</v>
      </c>
      <c r="AO10" s="7">
        <v>1.8290017354680588</v>
      </c>
      <c r="AP10" s="7">
        <v>26.917078268998594</v>
      </c>
      <c r="AQ10" s="7">
        <v>211.46170714964205</v>
      </c>
      <c r="AR10" s="7">
        <f t="shared" si="0"/>
        <v>281.39687652828883</v>
      </c>
      <c r="AS10" s="7">
        <v>409.67788440980189</v>
      </c>
    </row>
    <row r="11" spans="1:45" ht="15" x14ac:dyDescent="0.2">
      <c r="A11" s="5" t="s">
        <v>6</v>
      </c>
      <c r="B11" s="6" t="s">
        <v>48</v>
      </c>
      <c r="C11" s="7">
        <v>3.8654550445923904E-3</v>
      </c>
      <c r="D11" s="7">
        <v>0</v>
      </c>
      <c r="E11" s="7">
        <v>0.4543119876097097</v>
      </c>
      <c r="F11" s="7">
        <v>3.2354605870572879</v>
      </c>
      <c r="G11" s="7">
        <v>3.7609104148710382E-2</v>
      </c>
      <c r="H11" s="7">
        <v>7.1540284024206827E-2</v>
      </c>
      <c r="I11" s="7">
        <v>0.33385361803881375</v>
      </c>
      <c r="J11" s="7">
        <v>0.31204862089912105</v>
      </c>
      <c r="K11" s="7">
        <v>0.61517081068211854</v>
      </c>
      <c r="L11" s="7">
        <v>0.10785625956616283</v>
      </c>
      <c r="M11" s="7">
        <v>7.9033032820799692E-3</v>
      </c>
      <c r="N11" s="7">
        <v>0.31255153414760672</v>
      </c>
      <c r="O11" s="7">
        <v>0.58837206707446199</v>
      </c>
      <c r="P11" s="7">
        <v>0.84286280256658608</v>
      </c>
      <c r="Q11" s="7">
        <v>0.66472953824280512</v>
      </c>
      <c r="R11" s="7">
        <v>1.0523014164999129</v>
      </c>
      <c r="S11" s="7">
        <v>0.12228494484980816</v>
      </c>
      <c r="T11" s="7">
        <v>1.0298818773676865</v>
      </c>
      <c r="U11" s="7">
        <v>6.4223034730150411E-2</v>
      </c>
      <c r="V11" s="7">
        <v>1.4191519154218315</v>
      </c>
      <c r="W11" s="7">
        <v>0.43117524824422054</v>
      </c>
      <c r="X11" s="7">
        <v>1.0724235427794917</v>
      </c>
      <c r="Y11" s="7">
        <v>0.17546004450450353</v>
      </c>
      <c r="Z11" s="7">
        <v>0.11713716778015783</v>
      </c>
      <c r="AA11" s="7">
        <v>4.9827823260622121E-2</v>
      </c>
      <c r="AB11" s="7">
        <v>0.48645851290090097</v>
      </c>
      <c r="AC11" s="7">
        <v>0.14965240651603759</v>
      </c>
      <c r="AD11" s="7">
        <v>7.2279295801303128E-2</v>
      </c>
      <c r="AE11" s="7">
        <v>5.7989735321202808E-2</v>
      </c>
      <c r="AF11" s="7">
        <v>0.57013856491506909</v>
      </c>
      <c r="AG11" s="7">
        <v>0.23407315020124089</v>
      </c>
      <c r="AH11" s="7">
        <v>0.26309053177826558</v>
      </c>
      <c r="AI11" s="7">
        <v>0.43543262073698591</v>
      </c>
      <c r="AJ11" s="7">
        <v>1.6941109328643438</v>
      </c>
      <c r="AK11" s="7">
        <v>0</v>
      </c>
      <c r="AL11" s="7">
        <v>0.77508242810613837</v>
      </c>
      <c r="AM11" s="7">
        <v>0</v>
      </c>
      <c r="AN11" s="7">
        <v>3.3971955360526411E-4</v>
      </c>
      <c r="AO11" s="7">
        <v>0.10170704178724288</v>
      </c>
      <c r="AP11" s="7">
        <v>1.2347881531629386</v>
      </c>
      <c r="AQ11" s="7">
        <v>74.024217518798636</v>
      </c>
      <c r="AR11" s="7">
        <f t="shared" si="0"/>
        <v>76.136134861408564</v>
      </c>
      <c r="AS11" s="7">
        <v>93.221363600266557</v>
      </c>
    </row>
    <row r="12" spans="1:45" ht="15" x14ac:dyDescent="0.2">
      <c r="A12" s="5" t="s">
        <v>7</v>
      </c>
      <c r="B12" s="6" t="s">
        <v>49</v>
      </c>
      <c r="C12" s="7">
        <v>9.5711905550311116E-2</v>
      </c>
      <c r="D12" s="7">
        <v>0</v>
      </c>
      <c r="E12" s="7">
        <v>10.705045180786231</v>
      </c>
      <c r="F12" s="7">
        <v>0.10382572995728061</v>
      </c>
      <c r="G12" s="7">
        <v>9.4241664324015692E-2</v>
      </c>
      <c r="H12" s="7">
        <v>17.454063446472148</v>
      </c>
      <c r="I12" s="7">
        <v>2.77681098211418</v>
      </c>
      <c r="J12" s="7">
        <v>4.7235360246978759</v>
      </c>
      <c r="K12" s="7">
        <v>13.729513432820401</v>
      </c>
      <c r="L12" s="7">
        <v>0.60195078314991513</v>
      </c>
      <c r="M12" s="7">
        <v>0.97799251583159363</v>
      </c>
      <c r="N12" s="7">
        <v>13.37320296550285</v>
      </c>
      <c r="O12" s="7">
        <v>4.3456650552096914</v>
      </c>
      <c r="P12" s="7">
        <v>8.5113899655227794</v>
      </c>
      <c r="Q12" s="7">
        <v>2.4472141304188839</v>
      </c>
      <c r="R12" s="7">
        <v>61.683227452668845</v>
      </c>
      <c r="S12" s="7">
        <v>0.58833613297633824</v>
      </c>
      <c r="T12" s="7">
        <v>31.615633311961396</v>
      </c>
      <c r="U12" s="7">
        <v>3.7836673203353113E-2</v>
      </c>
      <c r="V12" s="7">
        <v>0.77636243585935205</v>
      </c>
      <c r="W12" s="7">
        <v>1.0245106863094386</v>
      </c>
      <c r="X12" s="7">
        <v>0.36332653705955748</v>
      </c>
      <c r="Y12" s="7">
        <v>0.17254808711262756</v>
      </c>
      <c r="Z12" s="7">
        <v>0.19818661091529033</v>
      </c>
      <c r="AA12" s="7">
        <v>1.3243025196210869E-2</v>
      </c>
      <c r="AB12" s="7">
        <v>5.1096925792130783</v>
      </c>
      <c r="AC12" s="7">
        <v>8.8437682935058839E-2</v>
      </c>
      <c r="AD12" s="7">
        <v>0.20020525252616367</v>
      </c>
      <c r="AE12" s="7">
        <v>1.9756116601546161</v>
      </c>
      <c r="AF12" s="7">
        <v>6.495970679004011</v>
      </c>
      <c r="AG12" s="7">
        <v>0.21868935814053403</v>
      </c>
      <c r="AH12" s="7">
        <v>2.8288162468436737</v>
      </c>
      <c r="AI12" s="7">
        <v>1.4920406899151006</v>
      </c>
      <c r="AJ12" s="7">
        <v>0.31776703669930939</v>
      </c>
      <c r="AK12" s="7">
        <v>0</v>
      </c>
      <c r="AL12" s="7">
        <v>2.0865113933086397</v>
      </c>
      <c r="AM12" s="7">
        <v>0</v>
      </c>
      <c r="AN12" s="7">
        <v>0</v>
      </c>
      <c r="AO12" s="7">
        <v>1.065715055363422</v>
      </c>
      <c r="AP12" s="7">
        <v>-1.2910385742287138</v>
      </c>
      <c r="AQ12" s="7">
        <v>21.08586709430897</v>
      </c>
      <c r="AR12" s="7">
        <f t="shared" si="0"/>
        <v>22.947054968752319</v>
      </c>
      <c r="AS12" s="7">
        <v>218.08766088980443</v>
      </c>
    </row>
    <row r="13" spans="1:45" ht="15" x14ac:dyDescent="0.2">
      <c r="A13" s="5" t="s">
        <v>8</v>
      </c>
      <c r="B13" s="6" t="s">
        <v>50</v>
      </c>
      <c r="C13" s="7">
        <v>0.38623914379515895</v>
      </c>
      <c r="D13" s="7">
        <v>0</v>
      </c>
      <c r="E13" s="7">
        <v>60.669455673565395</v>
      </c>
      <c r="F13" s="7">
        <v>0.66223053365161222</v>
      </c>
      <c r="G13" s="7">
        <v>0.22058798821831327</v>
      </c>
      <c r="H13" s="7">
        <v>0.58347846533056524</v>
      </c>
      <c r="I13" s="7">
        <v>129.22275049345234</v>
      </c>
      <c r="J13" s="7">
        <v>18.814102280104425</v>
      </c>
      <c r="K13" s="7">
        <v>93.57788443662011</v>
      </c>
      <c r="L13" s="7">
        <v>4.3628765544935852</v>
      </c>
      <c r="M13" s="7">
        <v>1.7436284119293959</v>
      </c>
      <c r="N13" s="7">
        <v>16.908644206246972</v>
      </c>
      <c r="O13" s="7">
        <v>14.584685770510243</v>
      </c>
      <c r="P13" s="7">
        <v>1445.3988463789833</v>
      </c>
      <c r="Q13" s="7">
        <v>25.75599279634676</v>
      </c>
      <c r="R13" s="7">
        <v>12.701802784207887</v>
      </c>
      <c r="S13" s="7">
        <v>9.0632901700589699</v>
      </c>
      <c r="T13" s="7">
        <v>11.719757177569054</v>
      </c>
      <c r="U13" s="7">
        <v>12.471164474291978</v>
      </c>
      <c r="V13" s="7">
        <v>287.59798828157705</v>
      </c>
      <c r="W13" s="7">
        <v>22.330025010480288</v>
      </c>
      <c r="X13" s="7">
        <v>31.301721406412014</v>
      </c>
      <c r="Y13" s="7">
        <v>5.3571426577094146</v>
      </c>
      <c r="Z13" s="7">
        <v>5.5480630065811969</v>
      </c>
      <c r="AA13" s="7">
        <v>4.0354060896897535</v>
      </c>
      <c r="AB13" s="7">
        <v>94.820060720708341</v>
      </c>
      <c r="AC13" s="7">
        <v>23.101505690625252</v>
      </c>
      <c r="AD13" s="7">
        <v>190.31568807515205</v>
      </c>
      <c r="AE13" s="7">
        <v>15.940689592935495</v>
      </c>
      <c r="AF13" s="7">
        <v>529.00314159751429</v>
      </c>
      <c r="AG13" s="7">
        <v>43.945364258357195</v>
      </c>
      <c r="AH13" s="7">
        <v>49.650321536650615</v>
      </c>
      <c r="AI13" s="7">
        <v>15.702176521838602</v>
      </c>
      <c r="AJ13" s="7">
        <v>79.599818036800087</v>
      </c>
      <c r="AK13" s="7">
        <v>0</v>
      </c>
      <c r="AL13" s="7">
        <v>84.226702983612242</v>
      </c>
      <c r="AM13" s="7">
        <v>0</v>
      </c>
      <c r="AN13" s="7">
        <v>24.971347227743188</v>
      </c>
      <c r="AO13" s="7">
        <v>61.873206133796138</v>
      </c>
      <c r="AP13" s="7">
        <v>-8.0049396002761526</v>
      </c>
      <c r="AQ13" s="7">
        <v>5114.4971814996006</v>
      </c>
      <c r="AR13" s="7">
        <f t="shared" si="0"/>
        <v>5277.5634982444762</v>
      </c>
      <c r="AS13" s="7">
        <v>8534.6600284668857</v>
      </c>
    </row>
    <row r="14" spans="1:45" ht="15" x14ac:dyDescent="0.2">
      <c r="A14" s="5" t="s">
        <v>9</v>
      </c>
      <c r="B14" s="6" t="s">
        <v>51</v>
      </c>
      <c r="C14" s="7">
        <v>0.6717215945569428</v>
      </c>
      <c r="D14" s="7">
        <v>0</v>
      </c>
      <c r="E14" s="7">
        <v>30.543820703001199</v>
      </c>
      <c r="F14" s="7">
        <v>0.40493992378342064</v>
      </c>
      <c r="G14" s="7">
        <v>9.0096411848292632E-2</v>
      </c>
      <c r="H14" s="7">
        <v>1.5281750377417207</v>
      </c>
      <c r="I14" s="7">
        <v>41.634176978119299</v>
      </c>
      <c r="J14" s="7">
        <v>6070.390393118696</v>
      </c>
      <c r="K14" s="7">
        <v>2077.9352075845659</v>
      </c>
      <c r="L14" s="7">
        <v>208.63634064295823</v>
      </c>
      <c r="M14" s="7">
        <v>23.964328147078504</v>
      </c>
      <c r="N14" s="7">
        <v>31.818490272805494</v>
      </c>
      <c r="O14" s="7">
        <v>28.488076936279032</v>
      </c>
      <c r="P14" s="7">
        <v>587.71835095239817</v>
      </c>
      <c r="Q14" s="7">
        <v>33.688657127249691</v>
      </c>
      <c r="R14" s="7">
        <v>53.577771275482682</v>
      </c>
      <c r="S14" s="7">
        <v>49.158027366383756</v>
      </c>
      <c r="T14" s="7">
        <v>144.71385760331998</v>
      </c>
      <c r="U14" s="7">
        <v>10.157173696902211</v>
      </c>
      <c r="V14" s="7">
        <v>235.79956634122738</v>
      </c>
      <c r="W14" s="7">
        <v>42.846557402371047</v>
      </c>
      <c r="X14" s="7">
        <v>64.538427767175037</v>
      </c>
      <c r="Y14" s="7">
        <v>140.94992286974164</v>
      </c>
      <c r="Z14" s="7">
        <v>1791.6505669055375</v>
      </c>
      <c r="AA14" s="7">
        <v>129.37409144951727</v>
      </c>
      <c r="AB14" s="7">
        <v>42.171370696775028</v>
      </c>
      <c r="AC14" s="7">
        <v>7.9859312053348361</v>
      </c>
      <c r="AD14" s="7">
        <v>9.4992610365399788</v>
      </c>
      <c r="AE14" s="7">
        <v>21.806993583229325</v>
      </c>
      <c r="AF14" s="7">
        <v>125.50567992137044</v>
      </c>
      <c r="AG14" s="7">
        <v>25.590821554059694</v>
      </c>
      <c r="AH14" s="7">
        <v>11.120768223619093</v>
      </c>
      <c r="AI14" s="7">
        <v>10.513592422884887</v>
      </c>
      <c r="AJ14" s="7">
        <v>13.976817792420043</v>
      </c>
      <c r="AK14" s="7">
        <v>0</v>
      </c>
      <c r="AL14" s="7">
        <v>102.19396407780123</v>
      </c>
      <c r="AM14" s="7">
        <v>0</v>
      </c>
      <c r="AN14" s="7">
        <v>0.38237080908804033</v>
      </c>
      <c r="AO14" s="7">
        <v>11.017000430354868</v>
      </c>
      <c r="AP14" s="7">
        <v>1136.4454656444859</v>
      </c>
      <c r="AQ14" s="7">
        <v>14795.194924454869</v>
      </c>
      <c r="AR14" s="7">
        <f t="shared" si="0"/>
        <v>16045.233725416598</v>
      </c>
      <c r="AS14" s="7">
        <v>28113.683699961577</v>
      </c>
    </row>
    <row r="15" spans="1:45" ht="15" x14ac:dyDescent="0.2">
      <c r="A15" s="5" t="s">
        <v>10</v>
      </c>
      <c r="B15" s="6" t="s">
        <v>52</v>
      </c>
      <c r="C15" s="7">
        <v>3.8517991615105562</v>
      </c>
      <c r="D15" s="7">
        <v>0</v>
      </c>
      <c r="E15" s="7">
        <v>73.273762040181296</v>
      </c>
      <c r="F15" s="7">
        <v>5.7181707943987572</v>
      </c>
      <c r="G15" s="7">
        <v>0.96633076199545953</v>
      </c>
      <c r="H15" s="7">
        <v>2.7816236912215757</v>
      </c>
      <c r="I15" s="7">
        <v>101.08042513851319</v>
      </c>
      <c r="J15" s="7">
        <v>1514.8651198466632</v>
      </c>
      <c r="K15" s="7">
        <v>9725.8332516106475</v>
      </c>
      <c r="L15" s="7">
        <v>133.94408082988735</v>
      </c>
      <c r="M15" s="7">
        <v>52.474269752609167</v>
      </c>
      <c r="N15" s="7">
        <v>142.03857855069418</v>
      </c>
      <c r="O15" s="7">
        <v>138.19348834670231</v>
      </c>
      <c r="P15" s="7">
        <v>1362.505431096389</v>
      </c>
      <c r="Q15" s="7">
        <v>32.249275736183741</v>
      </c>
      <c r="R15" s="7">
        <v>76.559074495063172</v>
      </c>
      <c r="S15" s="7">
        <v>54.050122135435458</v>
      </c>
      <c r="T15" s="7">
        <v>142.23236700227292</v>
      </c>
      <c r="U15" s="7">
        <v>9.8490012570143914</v>
      </c>
      <c r="V15" s="7">
        <v>228.24423402662109</v>
      </c>
      <c r="W15" s="7">
        <v>101.77858491241423</v>
      </c>
      <c r="X15" s="7">
        <v>69.964196403829362</v>
      </c>
      <c r="Y15" s="7">
        <v>85.572660961294275</v>
      </c>
      <c r="Z15" s="7">
        <v>1037.0554049708524</v>
      </c>
      <c r="AA15" s="7">
        <v>152.58975342745461</v>
      </c>
      <c r="AB15" s="7">
        <v>88.260452802971201</v>
      </c>
      <c r="AC15" s="7">
        <v>26.405634612409724</v>
      </c>
      <c r="AD15" s="7">
        <v>38.85539538663852</v>
      </c>
      <c r="AE15" s="7">
        <v>32.453501850088138</v>
      </c>
      <c r="AF15" s="7">
        <v>425.78871832661548</v>
      </c>
      <c r="AG15" s="7">
        <v>69.394754334150377</v>
      </c>
      <c r="AH15" s="7">
        <v>35.856356799047099</v>
      </c>
      <c r="AI15" s="7">
        <v>530.47678527291885</v>
      </c>
      <c r="AJ15" s="7">
        <v>121.16702687584711</v>
      </c>
      <c r="AK15" s="7">
        <v>0</v>
      </c>
      <c r="AL15" s="7">
        <v>377.28044223376531</v>
      </c>
      <c r="AM15" s="7">
        <v>0</v>
      </c>
      <c r="AN15" s="7">
        <v>1.4742825947316407</v>
      </c>
      <c r="AO15" s="7">
        <v>210.73588050153086</v>
      </c>
      <c r="AP15" s="7">
        <v>1075.6429322840977</v>
      </c>
      <c r="AQ15" s="7">
        <v>29102.667117081935</v>
      </c>
      <c r="AR15" s="7">
        <f t="shared" si="0"/>
        <v>30767.800654696061</v>
      </c>
      <c r="AS15" s="7">
        <v>47384.130287906592</v>
      </c>
    </row>
    <row r="16" spans="1:45" ht="15" x14ac:dyDescent="0.2">
      <c r="A16" s="5" t="s">
        <v>11</v>
      </c>
      <c r="B16" s="6" t="s">
        <v>53</v>
      </c>
      <c r="C16" s="7">
        <v>1.384684771083653</v>
      </c>
      <c r="D16" s="7">
        <v>0</v>
      </c>
      <c r="E16" s="7">
        <v>57.058772807110238</v>
      </c>
      <c r="F16" s="7">
        <v>0.66654168818921689</v>
      </c>
      <c r="G16" s="7">
        <v>6.1906175829429956E-2</v>
      </c>
      <c r="H16" s="7">
        <v>2.3718194616486388</v>
      </c>
      <c r="I16" s="7">
        <v>29.47896727265811</v>
      </c>
      <c r="J16" s="7">
        <v>23.051935867597816</v>
      </c>
      <c r="K16" s="7">
        <v>75.137102649540722</v>
      </c>
      <c r="L16" s="7">
        <v>83.50207130190546</v>
      </c>
      <c r="M16" s="7">
        <v>0.72716923309926151</v>
      </c>
      <c r="N16" s="7">
        <v>10.856621123535747</v>
      </c>
      <c r="O16" s="7">
        <v>55.053449130931526</v>
      </c>
      <c r="P16" s="7">
        <v>218.17079636783984</v>
      </c>
      <c r="Q16" s="7">
        <v>26.173526584922367</v>
      </c>
      <c r="R16" s="7">
        <v>32.999742552593631</v>
      </c>
      <c r="S16" s="7">
        <v>5.7055728952056306</v>
      </c>
      <c r="T16" s="7">
        <v>44.639094994991503</v>
      </c>
      <c r="U16" s="7">
        <v>1.3534893182243022</v>
      </c>
      <c r="V16" s="7">
        <v>30.528481603793178</v>
      </c>
      <c r="W16" s="7">
        <v>45.340584446044915</v>
      </c>
      <c r="X16" s="7">
        <v>13.020296024428157</v>
      </c>
      <c r="Y16" s="7">
        <v>2.6799763173840865</v>
      </c>
      <c r="Z16" s="7">
        <v>1.3033277625637749</v>
      </c>
      <c r="AA16" s="7">
        <v>0.49244926421838603</v>
      </c>
      <c r="AB16" s="7">
        <v>7.9070877000997477</v>
      </c>
      <c r="AC16" s="7">
        <v>6.0535390049947582</v>
      </c>
      <c r="AD16" s="7">
        <v>11.636144097981171</v>
      </c>
      <c r="AE16" s="7">
        <v>1.2061391364624068</v>
      </c>
      <c r="AF16" s="7">
        <v>26.170116442924179</v>
      </c>
      <c r="AG16" s="7">
        <v>5.3079086696599314</v>
      </c>
      <c r="AH16" s="7">
        <v>14.071418052239281</v>
      </c>
      <c r="AI16" s="7">
        <v>1.6651570640595827</v>
      </c>
      <c r="AJ16" s="7">
        <v>10.575735277950292</v>
      </c>
      <c r="AK16" s="7">
        <v>0</v>
      </c>
      <c r="AL16" s="7">
        <v>25.912143596184187</v>
      </c>
      <c r="AM16" s="7">
        <v>0</v>
      </c>
      <c r="AN16" s="7">
        <v>3.329654161435109E-2</v>
      </c>
      <c r="AO16" s="7">
        <v>24.403361840888294</v>
      </c>
      <c r="AP16" s="7">
        <v>12.809856669699785</v>
      </c>
      <c r="AQ16" s="7">
        <v>638.93489921710716</v>
      </c>
      <c r="AR16" s="7">
        <f t="shared" si="0"/>
        <v>702.09355786549372</v>
      </c>
      <c r="AS16" s="7">
        <v>1548.4451829272048</v>
      </c>
    </row>
    <row r="17" spans="1:45" ht="15" x14ac:dyDescent="0.2">
      <c r="A17" s="5" t="s">
        <v>12</v>
      </c>
      <c r="B17" s="6" t="s">
        <v>54</v>
      </c>
      <c r="C17" s="7">
        <v>4.2153810528621709E-2</v>
      </c>
      <c r="D17" s="7">
        <v>0</v>
      </c>
      <c r="E17" s="7">
        <v>1.5835642469696238</v>
      </c>
      <c r="F17" s="7">
        <v>2.2342152001582644E-3</v>
      </c>
      <c r="G17" s="7">
        <v>6.7297580661919117E-4</v>
      </c>
      <c r="H17" s="7">
        <v>4.385180729227083E-3</v>
      </c>
      <c r="I17" s="7">
        <v>0.17305329159244473</v>
      </c>
      <c r="J17" s="7">
        <v>3.9335323715675439</v>
      </c>
      <c r="K17" s="7">
        <v>16.098728406117708</v>
      </c>
      <c r="L17" s="7">
        <v>3.2277128939202114E-2</v>
      </c>
      <c r="M17" s="7">
        <v>91.858037417136984</v>
      </c>
      <c r="N17" s="7">
        <v>4.238434574430423</v>
      </c>
      <c r="O17" s="7">
        <v>3.2937644698104651</v>
      </c>
      <c r="P17" s="7">
        <v>72.071945319417637</v>
      </c>
      <c r="Q17" s="7">
        <v>4.3778842102831605</v>
      </c>
      <c r="R17" s="7">
        <v>1.0380784234947016</v>
      </c>
      <c r="S17" s="7">
        <v>2.3500153122214567</v>
      </c>
      <c r="T17" s="7">
        <v>693.18620460317777</v>
      </c>
      <c r="U17" s="7">
        <v>0.39961780310886419</v>
      </c>
      <c r="V17" s="7">
        <v>9.0903624086016492</v>
      </c>
      <c r="W17" s="7">
        <v>2.4130017102128649</v>
      </c>
      <c r="X17" s="7">
        <v>0.32878844806960122</v>
      </c>
      <c r="Y17" s="7">
        <v>0.10551837884592567</v>
      </c>
      <c r="Z17" s="7">
        <v>0.13025235659651246</v>
      </c>
      <c r="AA17" s="7">
        <v>4.3249481463792115E-2</v>
      </c>
      <c r="AB17" s="7">
        <v>0.1664646389289787</v>
      </c>
      <c r="AC17" s="7">
        <v>1.683991594240887</v>
      </c>
      <c r="AD17" s="7">
        <v>0.30119985143596928</v>
      </c>
      <c r="AE17" s="7">
        <v>0.63176322633939463</v>
      </c>
      <c r="AF17" s="7">
        <v>18.39065992324273</v>
      </c>
      <c r="AG17" s="7">
        <v>1.0417995126025741</v>
      </c>
      <c r="AH17" s="7">
        <v>0.11793798144874257</v>
      </c>
      <c r="AI17" s="7">
        <v>1.1374149260689022</v>
      </c>
      <c r="AJ17" s="7">
        <v>0.94070298880369307</v>
      </c>
      <c r="AK17" s="7">
        <v>0</v>
      </c>
      <c r="AL17" s="7">
        <v>3.9817798796262966</v>
      </c>
      <c r="AM17" s="7">
        <v>0</v>
      </c>
      <c r="AN17" s="7">
        <v>0.15755028291979092</v>
      </c>
      <c r="AO17" s="7">
        <v>8.8367844153334634</v>
      </c>
      <c r="AP17" s="7">
        <v>28.683146107383113</v>
      </c>
      <c r="AQ17" s="7">
        <v>337.7199912363028</v>
      </c>
      <c r="AR17" s="7">
        <f t="shared" si="0"/>
        <v>379.37925192156547</v>
      </c>
      <c r="AS17" s="7">
        <v>1310.5869431090005</v>
      </c>
    </row>
    <row r="18" spans="1:45" ht="15" x14ac:dyDescent="0.2">
      <c r="A18" s="5" t="s">
        <v>13</v>
      </c>
      <c r="B18" s="6" t="s">
        <v>55</v>
      </c>
      <c r="C18" s="7">
        <v>0.23396327262870814</v>
      </c>
      <c r="D18" s="7">
        <v>0</v>
      </c>
      <c r="E18" s="7">
        <v>73.957389297152829</v>
      </c>
      <c r="F18" s="7">
        <v>0.40275762866302039</v>
      </c>
      <c r="G18" s="7">
        <v>0.95034352944550471</v>
      </c>
      <c r="H18" s="7">
        <v>2.1534510582927449</v>
      </c>
      <c r="I18" s="7">
        <v>14.065960008908537</v>
      </c>
      <c r="J18" s="7">
        <v>64.010362707550499</v>
      </c>
      <c r="K18" s="7">
        <v>145.92206833837642</v>
      </c>
      <c r="L18" s="7">
        <v>8.4770061881406829</v>
      </c>
      <c r="M18" s="7">
        <v>3.5096814205272158</v>
      </c>
      <c r="N18" s="7">
        <v>673.3047977046491</v>
      </c>
      <c r="O18" s="7">
        <v>389.7060374873468</v>
      </c>
      <c r="P18" s="7">
        <v>621.42018823813112</v>
      </c>
      <c r="Q18" s="7">
        <v>193.71773309224159</v>
      </c>
      <c r="R18" s="7">
        <v>36.904889763398366</v>
      </c>
      <c r="S18" s="7">
        <v>30.808634476870203</v>
      </c>
      <c r="T18" s="7">
        <v>881.38370662982129</v>
      </c>
      <c r="U18" s="7">
        <v>2.3490932657289139</v>
      </c>
      <c r="V18" s="7">
        <v>54.409947920823463</v>
      </c>
      <c r="W18" s="7">
        <v>18.476400885962651</v>
      </c>
      <c r="X18" s="7">
        <v>4.1193458916650805</v>
      </c>
      <c r="Y18" s="7">
        <v>3.5435404929987033</v>
      </c>
      <c r="Z18" s="7">
        <v>2.8744928043289311</v>
      </c>
      <c r="AA18" s="7">
        <v>0.68685399093700539</v>
      </c>
      <c r="AB18" s="7">
        <v>24.800762658829164</v>
      </c>
      <c r="AC18" s="7">
        <v>6.4329352253300307</v>
      </c>
      <c r="AD18" s="7">
        <v>8.1859035649596503</v>
      </c>
      <c r="AE18" s="7">
        <v>5.0828117401961483</v>
      </c>
      <c r="AF18" s="7">
        <v>214.32230500631721</v>
      </c>
      <c r="AG18" s="7">
        <v>102.73770412894484</v>
      </c>
      <c r="AH18" s="7">
        <v>2.8033613465270348</v>
      </c>
      <c r="AI18" s="7">
        <v>3.6598187404933338</v>
      </c>
      <c r="AJ18" s="7">
        <v>14.903962017312542</v>
      </c>
      <c r="AK18" s="7">
        <v>0</v>
      </c>
      <c r="AL18" s="7">
        <v>47.989454832846071</v>
      </c>
      <c r="AM18" s="7">
        <v>0</v>
      </c>
      <c r="AN18" s="7">
        <v>0.68240667737180938</v>
      </c>
      <c r="AO18" s="7">
        <v>163.33309275798891</v>
      </c>
      <c r="AP18" s="7">
        <v>16.385694157546055</v>
      </c>
      <c r="AQ18" s="7">
        <v>3378.23682795172</v>
      </c>
      <c r="AR18" s="7">
        <f t="shared" si="0"/>
        <v>3606.6274763774727</v>
      </c>
      <c r="AS18" s="7">
        <v>7216.9456869009719</v>
      </c>
    </row>
    <row r="19" spans="1:45" ht="15" x14ac:dyDescent="0.2">
      <c r="A19" s="5" t="s">
        <v>14</v>
      </c>
      <c r="B19" s="6" t="s">
        <v>56</v>
      </c>
      <c r="C19" s="7">
        <v>0.12284670282471818</v>
      </c>
      <c r="D19" s="7">
        <v>0</v>
      </c>
      <c r="E19" s="7">
        <v>4.9479515428232048</v>
      </c>
      <c r="F19" s="7">
        <v>0.12858406739561026</v>
      </c>
      <c r="G19" s="7">
        <v>2.9106056959086059E-2</v>
      </c>
      <c r="H19" s="7">
        <v>0.46748952185523063</v>
      </c>
      <c r="I19" s="7">
        <v>21.439022967060062</v>
      </c>
      <c r="J19" s="7">
        <v>27.721302223904395</v>
      </c>
      <c r="K19" s="7">
        <v>62.192041652231921</v>
      </c>
      <c r="L19" s="7">
        <v>3.4244794148144559</v>
      </c>
      <c r="M19" s="7">
        <v>1.9271609096785081</v>
      </c>
      <c r="N19" s="7">
        <v>92.569395059375196</v>
      </c>
      <c r="O19" s="7">
        <v>1836.744321546267</v>
      </c>
      <c r="P19" s="7">
        <v>819.65968835929095</v>
      </c>
      <c r="Q19" s="7">
        <v>652.13720060988419</v>
      </c>
      <c r="R19" s="7">
        <v>1.8442002444067764</v>
      </c>
      <c r="S19" s="7">
        <v>18.899758737189778</v>
      </c>
      <c r="T19" s="7">
        <v>224.23168025682634</v>
      </c>
      <c r="U19" s="7">
        <v>1.3267771490443361</v>
      </c>
      <c r="V19" s="7">
        <v>29.674363122702431</v>
      </c>
      <c r="W19" s="7">
        <v>31.032570334571382</v>
      </c>
      <c r="X19" s="7">
        <v>4.8827401418546392</v>
      </c>
      <c r="Y19" s="7">
        <v>5.3610404951486297</v>
      </c>
      <c r="Z19" s="7">
        <v>82.538997095746524</v>
      </c>
      <c r="AA19" s="7">
        <v>2.1291576886323722</v>
      </c>
      <c r="AB19" s="7">
        <v>55.52606144239941</v>
      </c>
      <c r="AC19" s="7">
        <v>27.407937740209654</v>
      </c>
      <c r="AD19" s="7">
        <v>17.152521533044659</v>
      </c>
      <c r="AE19" s="7">
        <v>122.29810291428041</v>
      </c>
      <c r="AF19" s="7">
        <v>429.13883896527176</v>
      </c>
      <c r="AG19" s="7">
        <v>45.227903063662275</v>
      </c>
      <c r="AH19" s="7">
        <v>10.220944773641081</v>
      </c>
      <c r="AI19" s="7">
        <v>6.7341463174672107</v>
      </c>
      <c r="AJ19" s="7">
        <v>20.129456817977157</v>
      </c>
      <c r="AK19" s="7">
        <v>0</v>
      </c>
      <c r="AL19" s="7">
        <v>11.974340858836673</v>
      </c>
      <c r="AM19" s="7">
        <v>0</v>
      </c>
      <c r="AN19" s="7">
        <v>26.246749094214152</v>
      </c>
      <c r="AO19" s="7">
        <v>449.66229025581077</v>
      </c>
      <c r="AP19" s="7">
        <v>72.682524468382553</v>
      </c>
      <c r="AQ19" s="7">
        <v>6686.0215157212178</v>
      </c>
      <c r="AR19" s="7">
        <f t="shared" si="0"/>
        <v>7246.5874203984622</v>
      </c>
      <c r="AS19" s="7">
        <v>11905.855209866904</v>
      </c>
    </row>
    <row r="20" spans="1:45" ht="15" x14ac:dyDescent="0.2">
      <c r="A20" s="5" t="s">
        <v>15</v>
      </c>
      <c r="B20" s="6" t="s">
        <v>57</v>
      </c>
      <c r="C20" s="7">
        <v>1.807097329295031</v>
      </c>
      <c r="D20" s="7">
        <v>0</v>
      </c>
      <c r="E20" s="7">
        <v>110.86013295665967</v>
      </c>
      <c r="F20" s="7">
        <v>3.1853173896108586</v>
      </c>
      <c r="G20" s="7">
        <v>0.72290918067588972</v>
      </c>
      <c r="H20" s="7">
        <v>3.1114895184541025</v>
      </c>
      <c r="I20" s="7">
        <v>115.58570606885854</v>
      </c>
      <c r="J20" s="7">
        <v>199.84649797344616</v>
      </c>
      <c r="K20" s="7">
        <v>464.8254596813432</v>
      </c>
      <c r="L20" s="7">
        <v>31.10120673484743</v>
      </c>
      <c r="M20" s="7">
        <v>11.659297630941918</v>
      </c>
      <c r="N20" s="7">
        <v>247.62126102934624</v>
      </c>
      <c r="O20" s="7">
        <v>483.81612546656453</v>
      </c>
      <c r="P20" s="7">
        <v>23747.143416598123</v>
      </c>
      <c r="Q20" s="7">
        <v>285.94426458289132</v>
      </c>
      <c r="R20" s="7">
        <v>40.64456996990959</v>
      </c>
      <c r="S20" s="7">
        <v>129.11307726408594</v>
      </c>
      <c r="T20" s="7">
        <v>526.93904977113823</v>
      </c>
      <c r="U20" s="7">
        <v>41.945667066638975</v>
      </c>
      <c r="V20" s="7">
        <v>944.94360289735357</v>
      </c>
      <c r="W20" s="7">
        <v>258.17063965128813</v>
      </c>
      <c r="X20" s="7">
        <v>131.13549545289504</v>
      </c>
      <c r="Y20" s="7">
        <v>22.754216922112363</v>
      </c>
      <c r="Z20" s="7">
        <v>73.885918641137863</v>
      </c>
      <c r="AA20" s="7">
        <v>10.669655603974171</v>
      </c>
      <c r="AB20" s="7">
        <v>47.345378810493138</v>
      </c>
      <c r="AC20" s="7">
        <v>491.76223504712181</v>
      </c>
      <c r="AD20" s="7">
        <v>56.143472799161813</v>
      </c>
      <c r="AE20" s="7">
        <v>98.113232911177477</v>
      </c>
      <c r="AF20" s="7">
        <v>1565.3203432722119</v>
      </c>
      <c r="AG20" s="7">
        <v>184.05185181495526</v>
      </c>
      <c r="AH20" s="7">
        <v>140.15035801309179</v>
      </c>
      <c r="AI20" s="7">
        <v>310.46278809588119</v>
      </c>
      <c r="AJ20" s="7">
        <v>210.77456351397728</v>
      </c>
      <c r="AK20" s="7">
        <v>0</v>
      </c>
      <c r="AL20" s="7">
        <v>560.52476870938244</v>
      </c>
      <c r="AM20" s="7">
        <v>0</v>
      </c>
      <c r="AN20" s="7">
        <v>29.031344485971669</v>
      </c>
      <c r="AO20" s="7">
        <v>6791.6208274197288</v>
      </c>
      <c r="AP20" s="7">
        <v>2573.5270828159746</v>
      </c>
      <c r="AQ20" s="7">
        <v>91596.929849115855</v>
      </c>
      <c r="AR20" s="7">
        <f t="shared" si="0"/>
        <v>101551.63387254691</v>
      </c>
      <c r="AS20" s="7">
        <v>132543.19017220658</v>
      </c>
    </row>
    <row r="21" spans="1:45" ht="15" x14ac:dyDescent="0.2">
      <c r="A21" s="5" t="s">
        <v>16</v>
      </c>
      <c r="B21" s="6" t="s">
        <v>58</v>
      </c>
      <c r="C21" s="7">
        <v>0.18745033726111282</v>
      </c>
      <c r="D21" s="7">
        <v>0</v>
      </c>
      <c r="E21" s="7">
        <v>3.9893750434688795</v>
      </c>
      <c r="F21" s="7">
        <v>0.23715870764024169</v>
      </c>
      <c r="G21" s="7">
        <v>3.0545389480703702E-2</v>
      </c>
      <c r="H21" s="7">
        <v>0.13729136919861654</v>
      </c>
      <c r="I21" s="7">
        <v>2.0811033448313374</v>
      </c>
      <c r="J21" s="7">
        <v>7.3439661845828255</v>
      </c>
      <c r="K21" s="7">
        <v>11.771408280623096</v>
      </c>
      <c r="L21" s="7">
        <v>2.1634868074635425</v>
      </c>
      <c r="M21" s="7">
        <v>0.51566121882574578</v>
      </c>
      <c r="N21" s="7">
        <v>7.6116706608308142</v>
      </c>
      <c r="O21" s="7">
        <v>236.75061447090806</v>
      </c>
      <c r="P21" s="7">
        <v>69.969827366220514</v>
      </c>
      <c r="Q21" s="7">
        <v>2874.9122848940005</v>
      </c>
      <c r="R21" s="7">
        <v>0.9193010390418811</v>
      </c>
      <c r="S21" s="7">
        <v>4.1001778619336449</v>
      </c>
      <c r="T21" s="7">
        <v>10.828484353883443</v>
      </c>
      <c r="U21" s="7">
        <v>1.8730981951127958</v>
      </c>
      <c r="V21" s="7">
        <v>42.185733421125299</v>
      </c>
      <c r="W21" s="7">
        <v>39.797464652421993</v>
      </c>
      <c r="X21" s="7">
        <v>6.5370474434912547</v>
      </c>
      <c r="Y21" s="7">
        <v>10.560517579477079</v>
      </c>
      <c r="Z21" s="7">
        <v>332.26473750653622</v>
      </c>
      <c r="AA21" s="7">
        <v>159.23830020257932</v>
      </c>
      <c r="AB21" s="7">
        <v>63.531513259815945</v>
      </c>
      <c r="AC21" s="7">
        <v>4.5805213962401776</v>
      </c>
      <c r="AD21" s="7">
        <v>21.244165945825955</v>
      </c>
      <c r="AE21" s="7">
        <v>10.478153978157868</v>
      </c>
      <c r="AF21" s="7">
        <v>60.687289002713442</v>
      </c>
      <c r="AG21" s="7">
        <v>251.22199445452449</v>
      </c>
      <c r="AH21" s="7">
        <v>1.7633782141224492</v>
      </c>
      <c r="AI21" s="7">
        <v>2.9660339204760247</v>
      </c>
      <c r="AJ21" s="7">
        <v>8.3257363272582108</v>
      </c>
      <c r="AK21" s="7">
        <v>0</v>
      </c>
      <c r="AL21" s="7">
        <v>36.510454848632897</v>
      </c>
      <c r="AM21" s="7">
        <v>0</v>
      </c>
      <c r="AN21" s="7">
        <v>0.61274238826105054</v>
      </c>
      <c r="AO21" s="7">
        <v>346.6623850934144</v>
      </c>
      <c r="AP21" s="7">
        <v>-46.491244393343884</v>
      </c>
      <c r="AQ21" s="7">
        <v>12970.359854386868</v>
      </c>
      <c r="AR21" s="7">
        <f t="shared" si="0"/>
        <v>13307.654192323833</v>
      </c>
      <c r="AS21" s="7">
        <v>17558.45968515391</v>
      </c>
    </row>
    <row r="22" spans="1:45" ht="15" x14ac:dyDescent="0.2">
      <c r="A22" s="5" t="s">
        <v>17</v>
      </c>
      <c r="B22" s="6" t="s">
        <v>59</v>
      </c>
      <c r="C22" s="7">
        <v>0.14181080129185797</v>
      </c>
      <c r="D22" s="7">
        <v>0</v>
      </c>
      <c r="E22" s="7">
        <v>2.5616307000316758</v>
      </c>
      <c r="F22" s="7">
        <v>1.6986633104762729</v>
      </c>
      <c r="G22" s="7">
        <v>8.4577192615615512E-2</v>
      </c>
      <c r="H22" s="7">
        <v>0.24549616123664389</v>
      </c>
      <c r="I22" s="7">
        <v>4.6079713685239527</v>
      </c>
      <c r="J22" s="7">
        <v>4.346058238196548</v>
      </c>
      <c r="K22" s="7">
        <v>12.109105631926356</v>
      </c>
      <c r="L22" s="7">
        <v>1.6305231745405879</v>
      </c>
      <c r="M22" s="7">
        <v>1.0585472197470469</v>
      </c>
      <c r="N22" s="7">
        <v>21.527281271433225</v>
      </c>
      <c r="O22" s="7">
        <v>4.5164686486138725</v>
      </c>
      <c r="P22" s="7">
        <v>32.772013299465087</v>
      </c>
      <c r="Q22" s="7">
        <v>3.1225951360306672</v>
      </c>
      <c r="R22" s="7">
        <v>223.44543017961806</v>
      </c>
      <c r="S22" s="7">
        <v>1.5182316674919472</v>
      </c>
      <c r="T22" s="7">
        <v>140.79288648278657</v>
      </c>
      <c r="U22" s="7">
        <v>1.2233363765093519</v>
      </c>
      <c r="V22" s="7">
        <v>28.100594174725483</v>
      </c>
      <c r="W22" s="7">
        <v>19.914547882527483</v>
      </c>
      <c r="X22" s="7">
        <v>41.917214995908495</v>
      </c>
      <c r="Y22" s="7">
        <v>0.47095073008525973</v>
      </c>
      <c r="Z22" s="7">
        <v>1.549809395606448</v>
      </c>
      <c r="AA22" s="7">
        <v>0.87895619130466773</v>
      </c>
      <c r="AB22" s="7">
        <v>2.8406653206203432</v>
      </c>
      <c r="AC22" s="7">
        <v>9.0210548551823955</v>
      </c>
      <c r="AD22" s="7">
        <v>42.802523702745489</v>
      </c>
      <c r="AE22" s="7">
        <v>7.7201670264801319</v>
      </c>
      <c r="AF22" s="7">
        <v>213.83934736422972</v>
      </c>
      <c r="AG22" s="7">
        <v>4.629099499587638</v>
      </c>
      <c r="AH22" s="7">
        <v>27.918189932054528</v>
      </c>
      <c r="AI22" s="7">
        <v>9.8046522237749976</v>
      </c>
      <c r="AJ22" s="7">
        <v>59.576823235668407</v>
      </c>
      <c r="AK22" s="7">
        <v>0</v>
      </c>
      <c r="AL22" s="7">
        <v>233.77567348859654</v>
      </c>
      <c r="AM22" s="7">
        <v>0</v>
      </c>
      <c r="AN22" s="7">
        <v>0.13787808070997506</v>
      </c>
      <c r="AO22" s="7">
        <v>254.28895149550462</v>
      </c>
      <c r="AP22" s="7">
        <v>35.307369112294282</v>
      </c>
      <c r="AQ22" s="7">
        <v>1149.6694625660002</v>
      </c>
      <c r="AR22" s="7">
        <f t="shared" si="0"/>
        <v>1673.1793347431058</v>
      </c>
      <c r="AS22" s="7">
        <v>2601.5665581341418</v>
      </c>
    </row>
    <row r="23" spans="1:45" ht="15" x14ac:dyDescent="0.2">
      <c r="A23" s="5" t="s">
        <v>18</v>
      </c>
      <c r="B23" s="6" t="s">
        <v>60</v>
      </c>
      <c r="C23" s="7">
        <v>14.195823827715058</v>
      </c>
      <c r="D23" s="7">
        <v>0</v>
      </c>
      <c r="E23" s="7">
        <v>122.06006288868598</v>
      </c>
      <c r="F23" s="7">
        <v>8.1850385637274101</v>
      </c>
      <c r="G23" s="7">
        <v>1.367239906998658</v>
      </c>
      <c r="H23" s="7">
        <v>4.0322274922488761</v>
      </c>
      <c r="I23" s="7">
        <v>67.642254730185229</v>
      </c>
      <c r="J23" s="7">
        <v>541.288407067138</v>
      </c>
      <c r="K23" s="7">
        <v>1030.9797005840894</v>
      </c>
      <c r="L23" s="7">
        <v>33.983746617606194</v>
      </c>
      <c r="M23" s="7">
        <v>61.221053670905135</v>
      </c>
      <c r="N23" s="7">
        <v>165.56841245149232</v>
      </c>
      <c r="O23" s="7">
        <v>138.38189727041734</v>
      </c>
      <c r="P23" s="7">
        <v>614.04016253912494</v>
      </c>
      <c r="Q23" s="7">
        <v>140.91137752645733</v>
      </c>
      <c r="R23" s="7">
        <v>23.207115521020988</v>
      </c>
      <c r="S23" s="7">
        <v>2192.2187217882115</v>
      </c>
      <c r="T23" s="7">
        <v>93.598883262354306</v>
      </c>
      <c r="U23" s="7">
        <v>10.658785946083714</v>
      </c>
      <c r="V23" s="7">
        <v>212.06944897495731</v>
      </c>
      <c r="W23" s="7">
        <v>134.1073457492333</v>
      </c>
      <c r="X23" s="7">
        <v>505.54928912421411</v>
      </c>
      <c r="Y23" s="7">
        <v>44.312452292581412</v>
      </c>
      <c r="Z23" s="7">
        <v>85.957917101670077</v>
      </c>
      <c r="AA23" s="7">
        <v>5.5869131928968994</v>
      </c>
      <c r="AB23" s="7">
        <v>185.8011119537025</v>
      </c>
      <c r="AC23" s="7">
        <v>71.245092083286465</v>
      </c>
      <c r="AD23" s="7">
        <v>124.36952828535988</v>
      </c>
      <c r="AE23" s="7">
        <v>331.44236297404257</v>
      </c>
      <c r="AF23" s="7">
        <v>354.45488220952558</v>
      </c>
      <c r="AG23" s="7">
        <v>1038.2208190066196</v>
      </c>
      <c r="AH23" s="7">
        <v>118.86699537795754</v>
      </c>
      <c r="AI23" s="7">
        <v>117.16493606027588</v>
      </c>
      <c r="AJ23" s="7">
        <v>296.51517867767603</v>
      </c>
      <c r="AK23" s="7">
        <v>2.4977876511273981E-5</v>
      </c>
      <c r="AL23" s="7">
        <v>872.79064945452751</v>
      </c>
      <c r="AM23" s="7">
        <v>0</v>
      </c>
      <c r="AN23" s="7">
        <v>0.33498818692426419</v>
      </c>
      <c r="AO23" s="7">
        <v>27.699888479297812</v>
      </c>
      <c r="AP23" s="7">
        <v>52.864131542843239</v>
      </c>
      <c r="AQ23" s="7">
        <v>345.26838348463599</v>
      </c>
      <c r="AR23" s="7">
        <f t="shared" si="0"/>
        <v>1298.9580411482289</v>
      </c>
      <c r="AS23" s="7">
        <v>10188.163250844565</v>
      </c>
    </row>
    <row r="24" spans="1:45" ht="15" x14ac:dyDescent="0.2">
      <c r="A24" s="5" t="s">
        <v>19</v>
      </c>
      <c r="B24" s="6" t="s">
        <v>61</v>
      </c>
      <c r="C24" s="7">
        <v>0.34968290074638247</v>
      </c>
      <c r="D24" s="7">
        <v>0</v>
      </c>
      <c r="E24" s="7">
        <v>37.443331354642041</v>
      </c>
      <c r="F24" s="7">
        <v>1.2208267365595138</v>
      </c>
      <c r="G24" s="7">
        <v>0.16047235468848181</v>
      </c>
      <c r="H24" s="7">
        <v>1.04689232892819</v>
      </c>
      <c r="I24" s="7">
        <v>15.536828719461392</v>
      </c>
      <c r="J24" s="7">
        <v>18.663570800713863</v>
      </c>
      <c r="K24" s="7">
        <v>122.2828151185592</v>
      </c>
      <c r="L24" s="7">
        <v>6.3956688338453072</v>
      </c>
      <c r="M24" s="7">
        <v>4.030843388752122</v>
      </c>
      <c r="N24" s="7">
        <v>29.589852830779691</v>
      </c>
      <c r="O24" s="7">
        <v>48.270580474157263</v>
      </c>
      <c r="P24" s="7">
        <v>151.36317893385319</v>
      </c>
      <c r="Q24" s="7">
        <v>104.05386215438836</v>
      </c>
      <c r="R24" s="7">
        <v>20.574494351540828</v>
      </c>
      <c r="S24" s="7">
        <v>76.159939515525892</v>
      </c>
      <c r="T24" s="7">
        <v>19655.344636863523</v>
      </c>
      <c r="U24" s="7">
        <v>2.9880122312158508</v>
      </c>
      <c r="V24" s="7">
        <v>63.669656463569559</v>
      </c>
      <c r="W24" s="7">
        <v>29.002968704662663</v>
      </c>
      <c r="X24" s="7">
        <v>104.06491240360417</v>
      </c>
      <c r="Y24" s="7">
        <v>37.429617607336596</v>
      </c>
      <c r="Z24" s="7">
        <v>32.574834873447969</v>
      </c>
      <c r="AA24" s="7">
        <v>5.3468131407329302</v>
      </c>
      <c r="AB24" s="7">
        <v>71.97536449493623</v>
      </c>
      <c r="AC24" s="7">
        <v>18.758069365007795</v>
      </c>
      <c r="AD24" s="7">
        <v>44.515162537016174</v>
      </c>
      <c r="AE24" s="7">
        <v>1656.1710498499103</v>
      </c>
      <c r="AF24" s="7">
        <v>367.6337940115165</v>
      </c>
      <c r="AG24" s="7">
        <v>153.44855984014279</v>
      </c>
      <c r="AH24" s="7">
        <v>72.988674244668829</v>
      </c>
      <c r="AI24" s="7">
        <v>47.616507169143702</v>
      </c>
      <c r="AJ24" s="7">
        <v>129.66244542046064</v>
      </c>
      <c r="AK24" s="7">
        <v>0</v>
      </c>
      <c r="AL24" s="7">
        <v>16.085245656043313</v>
      </c>
      <c r="AM24" s="7">
        <v>0</v>
      </c>
      <c r="AN24" s="7">
        <v>1.7701729197883025</v>
      </c>
      <c r="AO24" s="7">
        <v>21498.372698986241</v>
      </c>
      <c r="AP24" s="7">
        <v>0</v>
      </c>
      <c r="AQ24" s="7">
        <v>1149.0933298932357</v>
      </c>
      <c r="AR24" s="7">
        <f t="shared" si="0"/>
        <v>22665.32144745531</v>
      </c>
      <c r="AS24" s="7">
        <v>45795.655367473344</v>
      </c>
    </row>
    <row r="25" spans="1:45" ht="15" x14ac:dyDescent="0.2">
      <c r="A25" s="5" t="s">
        <v>20</v>
      </c>
      <c r="B25" s="6" t="s">
        <v>62</v>
      </c>
      <c r="C25" s="7">
        <v>2.3184383547100493</v>
      </c>
      <c r="D25" s="7">
        <v>0</v>
      </c>
      <c r="E25" s="7">
        <v>93.799376908797129</v>
      </c>
      <c r="F25" s="7">
        <v>3.5832418826208232</v>
      </c>
      <c r="G25" s="7">
        <v>0.65677475716304612</v>
      </c>
      <c r="H25" s="7">
        <v>3.0300499595574921</v>
      </c>
      <c r="I25" s="7">
        <v>57.581313605749607</v>
      </c>
      <c r="J25" s="7">
        <v>186.53409165632158</v>
      </c>
      <c r="K25" s="7">
        <v>374.1008921007446</v>
      </c>
      <c r="L25" s="7">
        <v>8.5543046774328673</v>
      </c>
      <c r="M25" s="7">
        <v>7.8042936878071787</v>
      </c>
      <c r="N25" s="7">
        <v>66.487403173006882</v>
      </c>
      <c r="O25" s="7">
        <v>56.533810067398043</v>
      </c>
      <c r="P25" s="7">
        <v>558.60850683133833</v>
      </c>
      <c r="Q25" s="7">
        <v>52.17131335596514</v>
      </c>
      <c r="R25" s="7">
        <v>25.291462998721077</v>
      </c>
      <c r="S25" s="7">
        <v>24.312805582671448</v>
      </c>
      <c r="T25" s="7">
        <v>92.798190531060726</v>
      </c>
      <c r="U25" s="7">
        <v>17.155527175056818</v>
      </c>
      <c r="V25" s="7">
        <v>388.96767992721675</v>
      </c>
      <c r="W25" s="7">
        <v>56.850032388054927</v>
      </c>
      <c r="X25" s="7">
        <v>102.68058487342341</v>
      </c>
      <c r="Y25" s="7">
        <v>30.014353945934751</v>
      </c>
      <c r="Z25" s="7">
        <v>71.70287029758164</v>
      </c>
      <c r="AA25" s="7">
        <v>20.934471968240764</v>
      </c>
      <c r="AB25" s="7">
        <v>37.487829018525041</v>
      </c>
      <c r="AC25" s="7">
        <v>21.143010082773884</v>
      </c>
      <c r="AD25" s="7">
        <v>78.530371303976935</v>
      </c>
      <c r="AE25" s="7">
        <v>29.479814842858936</v>
      </c>
      <c r="AF25" s="7">
        <v>336.18872060222111</v>
      </c>
      <c r="AG25" s="7">
        <v>97.856897151930397</v>
      </c>
      <c r="AH25" s="7">
        <v>18.983510056145683</v>
      </c>
      <c r="AI25" s="7">
        <v>44.648424151612993</v>
      </c>
      <c r="AJ25" s="7">
        <v>52.436232084713353</v>
      </c>
      <c r="AK25" s="7">
        <v>5.4187151283011875E-3</v>
      </c>
      <c r="AL25" s="7">
        <v>883.7155805168278</v>
      </c>
      <c r="AM25" s="7">
        <v>0</v>
      </c>
      <c r="AN25" s="7">
        <v>2.3775978769913015</v>
      </c>
      <c r="AO25" s="7">
        <v>310.11388709976035</v>
      </c>
      <c r="AP25" s="7">
        <v>2.1864433505381342</v>
      </c>
      <c r="AQ25" s="7">
        <v>9.8929136831747364</v>
      </c>
      <c r="AR25" s="7">
        <f t="shared" si="0"/>
        <v>1208.2864225272924</v>
      </c>
      <c r="AS25" s="7">
        <v>4227.5184412437548</v>
      </c>
    </row>
    <row r="26" spans="1:45" ht="15" x14ac:dyDescent="0.2">
      <c r="A26" s="5" t="s">
        <v>21</v>
      </c>
      <c r="B26" s="6" t="s">
        <v>63</v>
      </c>
      <c r="C26" s="7">
        <v>22.120751541760267</v>
      </c>
      <c r="D26" s="7">
        <v>0</v>
      </c>
      <c r="E26" s="7">
        <v>594.68625506889543</v>
      </c>
      <c r="F26" s="7">
        <v>41.505857071103279</v>
      </c>
      <c r="G26" s="7">
        <v>6.2674840492489725</v>
      </c>
      <c r="H26" s="7">
        <v>28.90683471196337</v>
      </c>
      <c r="I26" s="7">
        <v>548.26818884260808</v>
      </c>
      <c r="J26" s="7">
        <v>2007.1472692824091</v>
      </c>
      <c r="K26" s="7">
        <v>3071.1099168435821</v>
      </c>
      <c r="L26" s="7">
        <v>81.538797160489551</v>
      </c>
      <c r="M26" s="7">
        <v>74.364000609417857</v>
      </c>
      <c r="N26" s="7">
        <v>634.1583379351257</v>
      </c>
      <c r="O26" s="7">
        <v>539.06687518731269</v>
      </c>
      <c r="P26" s="7">
        <v>5333.2574625056859</v>
      </c>
      <c r="Q26" s="7">
        <v>442.72702883379003</v>
      </c>
      <c r="R26" s="7">
        <v>241.15978536380621</v>
      </c>
      <c r="S26" s="7">
        <v>230.51954592352547</v>
      </c>
      <c r="T26" s="7">
        <v>869.99432250095595</v>
      </c>
      <c r="U26" s="7">
        <v>161.08913559715054</v>
      </c>
      <c r="V26" s="7">
        <v>3652.3778427401821</v>
      </c>
      <c r="W26" s="7">
        <v>436.13514115149411</v>
      </c>
      <c r="X26" s="7">
        <v>973.37375926723735</v>
      </c>
      <c r="Y26" s="7">
        <v>279.14218022251345</v>
      </c>
      <c r="Z26" s="7">
        <v>676.3770755625344</v>
      </c>
      <c r="AA26" s="7">
        <v>197.50911236060423</v>
      </c>
      <c r="AB26" s="7">
        <v>175.7723798175316</v>
      </c>
      <c r="AC26" s="7">
        <v>197.18883802356717</v>
      </c>
      <c r="AD26" s="7">
        <v>740.40136850793579</v>
      </c>
      <c r="AE26" s="7">
        <v>273.55671902128142</v>
      </c>
      <c r="AF26" s="7">
        <v>1590.639761148514</v>
      </c>
      <c r="AG26" s="7">
        <v>922.35574757424672</v>
      </c>
      <c r="AH26" s="7">
        <v>177.60271042446001</v>
      </c>
      <c r="AI26" s="7">
        <v>417.8854971237397</v>
      </c>
      <c r="AJ26" s="7">
        <v>246.40660517064632</v>
      </c>
      <c r="AK26" s="7">
        <v>5.1711551818055534E-2</v>
      </c>
      <c r="AL26" s="7">
        <v>7020.585154131134</v>
      </c>
      <c r="AM26" s="7">
        <v>0</v>
      </c>
      <c r="AN26" s="7">
        <v>22.713522598594075</v>
      </c>
      <c r="AO26" s="7">
        <v>2949.8735298304841</v>
      </c>
      <c r="AP26" s="7">
        <v>20.891792362100883</v>
      </c>
      <c r="AQ26" s="7">
        <v>106509.90995056323</v>
      </c>
      <c r="AR26" s="7">
        <f t="shared" si="0"/>
        <v>116523.97394948555</v>
      </c>
      <c r="AS26" s="7">
        <v>142408.63824818266</v>
      </c>
    </row>
    <row r="27" spans="1:45" ht="15" x14ac:dyDescent="0.2">
      <c r="A27" s="5" t="s">
        <v>22</v>
      </c>
      <c r="B27" s="6" t="s">
        <v>64</v>
      </c>
      <c r="C27" s="7">
        <v>1.8873758884115908</v>
      </c>
      <c r="D27" s="7">
        <v>0</v>
      </c>
      <c r="E27" s="7">
        <v>37.941038589146949</v>
      </c>
      <c r="F27" s="7">
        <v>1.6807909352889421</v>
      </c>
      <c r="G27" s="7">
        <v>0.20029353683232176</v>
      </c>
      <c r="H27" s="7">
        <v>2.1504731174942022</v>
      </c>
      <c r="I27" s="7">
        <v>12.803851113265074</v>
      </c>
      <c r="J27" s="7">
        <v>21.199945139419796</v>
      </c>
      <c r="K27" s="7">
        <v>90.991794520831689</v>
      </c>
      <c r="L27" s="7">
        <v>10.418208629845063</v>
      </c>
      <c r="M27" s="7">
        <v>15.137964067866607</v>
      </c>
      <c r="N27" s="7">
        <v>57.317205250076135</v>
      </c>
      <c r="O27" s="7">
        <v>59.773044080935371</v>
      </c>
      <c r="P27" s="7">
        <v>59.704041342675858</v>
      </c>
      <c r="Q27" s="7">
        <v>57.992515227122865</v>
      </c>
      <c r="R27" s="7">
        <v>8.6842956417787889</v>
      </c>
      <c r="S27" s="7">
        <v>79.509473066375577</v>
      </c>
      <c r="T27" s="7">
        <v>241.86441832020344</v>
      </c>
      <c r="U27" s="7">
        <v>27.240981687646222</v>
      </c>
      <c r="V27" s="7">
        <v>585.80493225642329</v>
      </c>
      <c r="W27" s="7">
        <v>352.23515173298807</v>
      </c>
      <c r="X27" s="7">
        <v>128.33197237057158</v>
      </c>
      <c r="Y27" s="7">
        <v>529.23029498666062</v>
      </c>
      <c r="Z27" s="7">
        <v>76.404095261895634</v>
      </c>
      <c r="AA27" s="7">
        <v>10.772411657319649</v>
      </c>
      <c r="AB27" s="7">
        <v>137.59751740062052</v>
      </c>
      <c r="AC27" s="7">
        <v>38.109441996293278</v>
      </c>
      <c r="AD27" s="7">
        <v>326.20428948514473</v>
      </c>
      <c r="AE27" s="7">
        <v>255.50707313148052</v>
      </c>
      <c r="AF27" s="7">
        <v>681.89147680395661</v>
      </c>
      <c r="AG27" s="7">
        <v>472.08145321754034</v>
      </c>
      <c r="AH27" s="7">
        <v>53.69076022666497</v>
      </c>
      <c r="AI27" s="7">
        <v>37.772754837010304</v>
      </c>
      <c r="AJ27" s="7">
        <v>193.77832602882009</v>
      </c>
      <c r="AK27" s="7">
        <v>5.9263768840012328E-4</v>
      </c>
      <c r="AL27" s="7">
        <v>3794.5257770052235</v>
      </c>
      <c r="AM27" s="7">
        <v>0</v>
      </c>
      <c r="AN27" s="7">
        <v>4.8745618448327468</v>
      </c>
      <c r="AO27" s="7">
        <v>52.503229588343196</v>
      </c>
      <c r="AP27" s="7">
        <v>0</v>
      </c>
      <c r="AQ27" s="7">
        <v>2257.0756641630287</v>
      </c>
      <c r="AR27" s="7">
        <f t="shared" si="0"/>
        <v>6108.9792326014285</v>
      </c>
      <c r="AS27" s="7">
        <v>10774.889486787721</v>
      </c>
    </row>
    <row r="28" spans="1:45" ht="15" x14ac:dyDescent="0.2">
      <c r="A28" s="5" t="s">
        <v>23</v>
      </c>
      <c r="B28" s="6" t="s">
        <v>65</v>
      </c>
      <c r="C28" s="7">
        <v>9.4410181700518176</v>
      </c>
      <c r="D28" s="7">
        <v>0</v>
      </c>
      <c r="E28" s="7">
        <v>18.734459201218428</v>
      </c>
      <c r="F28" s="7">
        <v>3.5504998141349327</v>
      </c>
      <c r="G28" s="7">
        <v>0.55221724607884204</v>
      </c>
      <c r="H28" s="7">
        <v>0.86609227454333892</v>
      </c>
      <c r="I28" s="7">
        <v>384.47266770693261</v>
      </c>
      <c r="J28" s="7">
        <v>2.8101207331895393</v>
      </c>
      <c r="K28" s="7">
        <v>49.648164032686665</v>
      </c>
      <c r="L28" s="7">
        <v>5.2799113247890643</v>
      </c>
      <c r="M28" s="7">
        <v>2.0509033928272427</v>
      </c>
      <c r="N28" s="7">
        <v>26.120262703153251</v>
      </c>
      <c r="O28" s="7">
        <v>16.15980908780065</v>
      </c>
      <c r="P28" s="7">
        <v>58.658038221460224</v>
      </c>
      <c r="Q28" s="7">
        <v>29.178261653833459</v>
      </c>
      <c r="R28" s="7">
        <v>8.2259663727454804</v>
      </c>
      <c r="S28" s="7">
        <v>55.763130576795788</v>
      </c>
      <c r="T28" s="7">
        <v>69.8736008389224</v>
      </c>
      <c r="U28" s="7">
        <v>24.192264981465549</v>
      </c>
      <c r="V28" s="7">
        <v>553.55001528115918</v>
      </c>
      <c r="W28" s="7">
        <v>50.563554260468145</v>
      </c>
      <c r="X28" s="7">
        <v>255.89310243082525</v>
      </c>
      <c r="Y28" s="7">
        <v>28.399354753819161</v>
      </c>
      <c r="Z28" s="7">
        <v>432.19579788574691</v>
      </c>
      <c r="AA28" s="7">
        <v>534.32439788974784</v>
      </c>
      <c r="AB28" s="7">
        <v>306.36791443650958</v>
      </c>
      <c r="AC28" s="7">
        <v>239.27444749994916</v>
      </c>
      <c r="AD28" s="7">
        <v>352.85008403890578</v>
      </c>
      <c r="AE28" s="7">
        <v>77.110587060314131</v>
      </c>
      <c r="AF28" s="7">
        <v>368.69927514604007</v>
      </c>
      <c r="AG28" s="7">
        <v>141.20410408738923</v>
      </c>
      <c r="AH28" s="7">
        <v>63.173788965493223</v>
      </c>
      <c r="AI28" s="7">
        <v>55.565047301003489</v>
      </c>
      <c r="AJ28" s="7">
        <v>541.98281049484865</v>
      </c>
      <c r="AK28" s="7">
        <v>8.0888499628564529E-4</v>
      </c>
      <c r="AL28" s="7">
        <v>6841.6686521038746</v>
      </c>
      <c r="AM28" s="7">
        <v>0</v>
      </c>
      <c r="AN28" s="7">
        <v>1.6574381317803155</v>
      </c>
      <c r="AO28" s="7">
        <v>100.89798047440041</v>
      </c>
      <c r="AP28" s="7">
        <v>0</v>
      </c>
      <c r="AQ28" s="7">
        <v>5253.8392770265218</v>
      </c>
      <c r="AR28" s="7">
        <f t="shared" si="0"/>
        <v>12198.063347736577</v>
      </c>
      <c r="AS28" s="7">
        <v>16964.795826486421</v>
      </c>
    </row>
    <row r="29" spans="1:45" ht="15" x14ac:dyDescent="0.2">
      <c r="A29" s="5" t="s">
        <v>24</v>
      </c>
      <c r="B29" s="6" t="s">
        <v>66</v>
      </c>
      <c r="C29" s="7">
        <v>1.5386622916581332</v>
      </c>
      <c r="D29" s="7">
        <v>0</v>
      </c>
      <c r="E29" s="7">
        <v>14.821654384960764</v>
      </c>
      <c r="F29" s="7">
        <v>2.2550568929383257</v>
      </c>
      <c r="G29" s="7">
        <v>0.38590045832429709</v>
      </c>
      <c r="H29" s="7">
        <v>0.93285517242093097</v>
      </c>
      <c r="I29" s="7">
        <v>9.1956834502522078</v>
      </c>
      <c r="J29" s="7">
        <v>63.331714229119029</v>
      </c>
      <c r="K29" s="7">
        <v>122.90502672281448</v>
      </c>
      <c r="L29" s="7">
        <v>4.4100783243964061</v>
      </c>
      <c r="M29" s="7">
        <v>3.2839251629214083</v>
      </c>
      <c r="N29" s="7">
        <v>24.88470818063119</v>
      </c>
      <c r="O29" s="7">
        <v>28.923309770033605</v>
      </c>
      <c r="P29" s="7">
        <v>93.629738673805562</v>
      </c>
      <c r="Q29" s="7">
        <v>37.210577996702355</v>
      </c>
      <c r="R29" s="7">
        <v>3.3535423331464886</v>
      </c>
      <c r="S29" s="7">
        <v>15.787320588856538</v>
      </c>
      <c r="T29" s="7">
        <v>264.64908875622439</v>
      </c>
      <c r="U29" s="7">
        <v>28.265236715630163</v>
      </c>
      <c r="V29" s="7">
        <v>645.73628261105762</v>
      </c>
      <c r="W29" s="7">
        <v>50.294173304095352</v>
      </c>
      <c r="X29" s="7">
        <v>69.492818283534191</v>
      </c>
      <c r="Y29" s="7">
        <v>362.84317022704954</v>
      </c>
      <c r="Z29" s="7">
        <v>831.83018667093336</v>
      </c>
      <c r="AA29" s="7">
        <v>72.88541030403546</v>
      </c>
      <c r="AB29" s="7">
        <v>347.32229378850695</v>
      </c>
      <c r="AC29" s="7">
        <v>48.454219563075689</v>
      </c>
      <c r="AD29" s="7">
        <v>58.54489802928434</v>
      </c>
      <c r="AE29" s="7">
        <v>19.571244176722633</v>
      </c>
      <c r="AF29" s="7">
        <v>217.61892212097806</v>
      </c>
      <c r="AG29" s="7">
        <v>1226.4607464346968</v>
      </c>
      <c r="AH29" s="7">
        <v>41.828560001181707</v>
      </c>
      <c r="AI29" s="7">
        <v>14.134686302702944</v>
      </c>
      <c r="AJ29" s="7">
        <v>28.524932217447667</v>
      </c>
      <c r="AK29" s="7">
        <v>1.0302121541455538</v>
      </c>
      <c r="AL29" s="7">
        <v>1719.8299031412439</v>
      </c>
      <c r="AM29" s="7">
        <v>0</v>
      </c>
      <c r="AN29" s="7">
        <v>1.5039409251306127E-2</v>
      </c>
      <c r="AO29" s="7">
        <v>25.696366533313103</v>
      </c>
      <c r="AP29" s="7">
        <v>0</v>
      </c>
      <c r="AQ29" s="7">
        <v>973.91168840220325</v>
      </c>
      <c r="AR29" s="7">
        <f t="shared" si="0"/>
        <v>2719.4529974860116</v>
      </c>
      <c r="AS29" s="7">
        <v>7475.7898337802962</v>
      </c>
    </row>
    <row r="30" spans="1:45" ht="15" x14ac:dyDescent="0.2">
      <c r="A30" s="5" t="s">
        <v>25</v>
      </c>
      <c r="B30" s="6" t="s">
        <v>67</v>
      </c>
      <c r="C30" s="7">
        <v>1.1197362381333378</v>
      </c>
      <c r="D30" s="7">
        <v>0</v>
      </c>
      <c r="E30" s="7">
        <v>199.53478759896151</v>
      </c>
      <c r="F30" s="7">
        <v>11.185776956647977</v>
      </c>
      <c r="G30" s="7">
        <v>2.1460760678651627</v>
      </c>
      <c r="H30" s="7">
        <v>7.6895136696816069</v>
      </c>
      <c r="I30" s="7">
        <v>143.14990017505943</v>
      </c>
      <c r="J30" s="7">
        <v>557.56235413128331</v>
      </c>
      <c r="K30" s="7">
        <v>1835.9013244991195</v>
      </c>
      <c r="L30" s="7">
        <v>47.663658564062757</v>
      </c>
      <c r="M30" s="7">
        <v>196.00756321410881</v>
      </c>
      <c r="N30" s="7">
        <v>227.08169537277567</v>
      </c>
      <c r="O30" s="7">
        <v>429.80039181909069</v>
      </c>
      <c r="P30" s="7">
        <v>1021.0353582823694</v>
      </c>
      <c r="Q30" s="7">
        <v>185.90131218182484</v>
      </c>
      <c r="R30" s="7">
        <v>18.65853350654104</v>
      </c>
      <c r="S30" s="7">
        <v>34.839946648800606</v>
      </c>
      <c r="T30" s="7">
        <v>220.71230670464553</v>
      </c>
      <c r="U30" s="7">
        <v>330.49680146506381</v>
      </c>
      <c r="V30" s="7">
        <v>7465.6141939058898</v>
      </c>
      <c r="W30" s="7">
        <v>238.57587770750342</v>
      </c>
      <c r="X30" s="7">
        <v>16.679714092805689</v>
      </c>
      <c r="Y30" s="7">
        <v>198.21247839882631</v>
      </c>
      <c r="Z30" s="7">
        <v>18586.281697635863</v>
      </c>
      <c r="AA30" s="7">
        <v>18.164154184147506</v>
      </c>
      <c r="AB30" s="7">
        <v>1316.3592938435743</v>
      </c>
      <c r="AC30" s="7">
        <v>91.800423483416694</v>
      </c>
      <c r="AD30" s="7">
        <v>41.359700455473863</v>
      </c>
      <c r="AE30" s="7">
        <v>47.916107477483123</v>
      </c>
      <c r="AF30" s="7">
        <v>267.03086657705552</v>
      </c>
      <c r="AG30" s="7">
        <v>85.450775147794175</v>
      </c>
      <c r="AH30" s="7">
        <v>20.83279786435746</v>
      </c>
      <c r="AI30" s="7">
        <v>10.544069446909536</v>
      </c>
      <c r="AJ30" s="7">
        <v>19.553594578297904</v>
      </c>
      <c r="AK30" s="7">
        <v>4.0390469102843055E-3</v>
      </c>
      <c r="AL30" s="7">
        <v>54.063592512492534</v>
      </c>
      <c r="AM30" s="7">
        <v>0</v>
      </c>
      <c r="AN30" s="7">
        <v>1.6476630178172358</v>
      </c>
      <c r="AO30" s="7">
        <v>39.567970547212703</v>
      </c>
      <c r="AP30" s="7">
        <v>-6.1972742285858118</v>
      </c>
      <c r="AQ30" s="7">
        <v>45693.800388779782</v>
      </c>
      <c r="AR30" s="7">
        <f t="shared" si="0"/>
        <v>45782.882340628719</v>
      </c>
      <c r="AS30" s="7">
        <v>79677.749161571061</v>
      </c>
    </row>
    <row r="31" spans="1:45" ht="15" x14ac:dyDescent="0.2">
      <c r="A31" s="5" t="s">
        <v>26</v>
      </c>
      <c r="B31" s="6" t="s">
        <v>68</v>
      </c>
      <c r="C31" s="7">
        <v>9.6345865422912169</v>
      </c>
      <c r="D31" s="7">
        <v>0</v>
      </c>
      <c r="E31" s="7">
        <v>12.110950032773969</v>
      </c>
      <c r="F31" s="7">
        <v>2.01942602784364</v>
      </c>
      <c r="G31" s="7">
        <v>0.22937072622424012</v>
      </c>
      <c r="H31" s="7">
        <v>0.86672776040931754</v>
      </c>
      <c r="I31" s="7">
        <v>25.417417847410285</v>
      </c>
      <c r="J31" s="7">
        <v>25.264667530630724</v>
      </c>
      <c r="K31" s="7">
        <v>87.575867187584407</v>
      </c>
      <c r="L31" s="7">
        <v>2.6401300006332828</v>
      </c>
      <c r="M31" s="7">
        <v>9.6709834082958785</v>
      </c>
      <c r="N31" s="7">
        <v>11.802524902937899</v>
      </c>
      <c r="O31" s="7">
        <v>13.915255608883093</v>
      </c>
      <c r="P31" s="7">
        <v>55.187175051182962</v>
      </c>
      <c r="Q31" s="7">
        <v>10.014356829000985</v>
      </c>
      <c r="R31" s="7">
        <v>1.8878450825965836</v>
      </c>
      <c r="S31" s="7">
        <v>15.834403158717626</v>
      </c>
      <c r="T31" s="7">
        <v>29.330553178962433</v>
      </c>
      <c r="U31" s="7">
        <v>39.513253315628937</v>
      </c>
      <c r="V31" s="7">
        <v>915.89934986787046</v>
      </c>
      <c r="W31" s="7">
        <v>33.931258915308128</v>
      </c>
      <c r="X31" s="7">
        <v>13.999930394033465</v>
      </c>
      <c r="Y31" s="7">
        <v>9.8718605186089299</v>
      </c>
      <c r="Z31" s="7">
        <v>4.7841971660095508</v>
      </c>
      <c r="AA31" s="7">
        <v>2380.7582882022093</v>
      </c>
      <c r="AB31" s="7">
        <v>243.297460779857</v>
      </c>
      <c r="AC31" s="7">
        <v>35.323588191707344</v>
      </c>
      <c r="AD31" s="7">
        <v>81.154672300045561</v>
      </c>
      <c r="AE31" s="7">
        <v>79.644683913065904</v>
      </c>
      <c r="AF31" s="7">
        <v>132.29277941755402</v>
      </c>
      <c r="AG31" s="7">
        <v>81.516566294668735</v>
      </c>
      <c r="AH31" s="7">
        <v>32.915483704490484</v>
      </c>
      <c r="AI31" s="7">
        <v>29.663091921312354</v>
      </c>
      <c r="AJ31" s="7">
        <v>53.005798457523454</v>
      </c>
      <c r="AK31" s="7">
        <v>0</v>
      </c>
      <c r="AL31" s="7">
        <v>1584.4189992065803</v>
      </c>
      <c r="AM31" s="7">
        <v>0</v>
      </c>
      <c r="AN31" s="7">
        <v>2.1018657864748932E-2</v>
      </c>
      <c r="AO31" s="7">
        <v>11.298128213394472</v>
      </c>
      <c r="AP31" s="7">
        <v>0.12684064259720521</v>
      </c>
      <c r="AQ31" s="7">
        <v>7095.6759428578043</v>
      </c>
      <c r="AR31" s="7">
        <f t="shared" si="0"/>
        <v>8691.540929578241</v>
      </c>
      <c r="AS31" s="7">
        <v>13172.515433814511</v>
      </c>
    </row>
    <row r="32" spans="1:45" ht="15" x14ac:dyDescent="0.2">
      <c r="A32" s="5" t="s">
        <v>27</v>
      </c>
      <c r="B32" s="6" t="s">
        <v>69</v>
      </c>
      <c r="C32" s="7">
        <v>3.9988177174974298</v>
      </c>
      <c r="D32" s="7">
        <v>0</v>
      </c>
      <c r="E32" s="7">
        <v>86.091863207736537</v>
      </c>
      <c r="F32" s="7">
        <v>8.6415877433719253</v>
      </c>
      <c r="G32" s="7">
        <v>0.3534051735609145</v>
      </c>
      <c r="H32" s="7">
        <v>2.6452587744087794</v>
      </c>
      <c r="I32" s="7">
        <v>92.770489745261656</v>
      </c>
      <c r="J32" s="7">
        <v>140.87689052068743</v>
      </c>
      <c r="K32" s="7">
        <v>320.46219751614336</v>
      </c>
      <c r="L32" s="7">
        <v>10.359457788219492</v>
      </c>
      <c r="M32" s="7">
        <v>7.4313607431712416</v>
      </c>
      <c r="N32" s="7">
        <v>42.097075267128425</v>
      </c>
      <c r="O32" s="7">
        <v>61.783535680354476</v>
      </c>
      <c r="P32" s="7">
        <v>256.59371883732621</v>
      </c>
      <c r="Q32" s="7">
        <v>105.3019873276593</v>
      </c>
      <c r="R32" s="7">
        <v>7.5016661904662207</v>
      </c>
      <c r="S32" s="7">
        <v>31.286377643529729</v>
      </c>
      <c r="T32" s="7">
        <v>250.78345376103945</v>
      </c>
      <c r="U32" s="7">
        <v>137.242342385749</v>
      </c>
      <c r="V32" s="7">
        <v>3147.5497723923163</v>
      </c>
      <c r="W32" s="7">
        <v>228.22793560399555</v>
      </c>
      <c r="X32" s="7">
        <v>116.93675747767379</v>
      </c>
      <c r="Y32" s="7">
        <v>301.0342437865794</v>
      </c>
      <c r="Z32" s="7">
        <v>4012.5282011458171</v>
      </c>
      <c r="AA32" s="7">
        <v>812.79407420107623</v>
      </c>
      <c r="AB32" s="7">
        <v>3846.0253201777555</v>
      </c>
      <c r="AC32" s="7">
        <v>284.21702631233404</v>
      </c>
      <c r="AD32" s="7">
        <v>713.15871967849648</v>
      </c>
      <c r="AE32" s="7">
        <v>390.69747615544492</v>
      </c>
      <c r="AF32" s="7">
        <v>1024.0348294298847</v>
      </c>
      <c r="AG32" s="7">
        <v>94.56708645149476</v>
      </c>
      <c r="AH32" s="7">
        <v>37.980414116694938</v>
      </c>
      <c r="AI32" s="7">
        <v>55.026100390933948</v>
      </c>
      <c r="AJ32" s="7">
        <v>133.40005201965585</v>
      </c>
      <c r="AK32" s="7">
        <v>2.8563231265248866E-2</v>
      </c>
      <c r="AL32" s="7">
        <v>811.13468843249393</v>
      </c>
      <c r="AM32" s="7">
        <v>0</v>
      </c>
      <c r="AN32" s="7">
        <v>4.9223660973314241</v>
      </c>
      <c r="AO32" s="7">
        <v>325.06736619735057</v>
      </c>
      <c r="AP32" s="7">
        <v>8.5678977733951829</v>
      </c>
      <c r="AQ32" s="7">
        <v>6185.1305651830044</v>
      </c>
      <c r="AR32" s="7">
        <f t="shared" si="0"/>
        <v>7334.8228836835751</v>
      </c>
      <c r="AS32" s="7">
        <v>24099.250942278308</v>
      </c>
    </row>
    <row r="33" spans="1:45" ht="15" x14ac:dyDescent="0.2">
      <c r="A33" s="5" t="s">
        <v>28</v>
      </c>
      <c r="B33" s="6" t="s">
        <v>70</v>
      </c>
      <c r="C33" s="7">
        <v>0.29701725586198541</v>
      </c>
      <c r="D33" s="7">
        <v>0</v>
      </c>
      <c r="E33" s="7">
        <v>16.595190337836492</v>
      </c>
      <c r="F33" s="7">
        <v>3.0897584493952577</v>
      </c>
      <c r="G33" s="7">
        <v>0.39268210175508622</v>
      </c>
      <c r="H33" s="7">
        <v>1.0069820394118607</v>
      </c>
      <c r="I33" s="7">
        <v>148.3177124711959</v>
      </c>
      <c r="J33" s="7">
        <v>5.4144917319114043</v>
      </c>
      <c r="K33" s="7">
        <v>64.84045149882094</v>
      </c>
      <c r="L33" s="7">
        <v>3.9154495591076799</v>
      </c>
      <c r="M33" s="7">
        <v>3.1608596696792879</v>
      </c>
      <c r="N33" s="7">
        <v>27.13509218531653</v>
      </c>
      <c r="O33" s="7">
        <v>46.232821313842095</v>
      </c>
      <c r="P33" s="7">
        <v>86.655786120817979</v>
      </c>
      <c r="Q33" s="7">
        <v>48.11650495363839</v>
      </c>
      <c r="R33" s="7">
        <v>6.170653573404989</v>
      </c>
      <c r="S33" s="7">
        <v>27.069321335051328</v>
      </c>
      <c r="T33" s="7">
        <v>139.03810105868652</v>
      </c>
      <c r="U33" s="7">
        <v>18.163812866786348</v>
      </c>
      <c r="V33" s="7">
        <v>405.85813010276189</v>
      </c>
      <c r="W33" s="7">
        <v>83.453338158159553</v>
      </c>
      <c r="X33" s="7">
        <v>55.388735564703481</v>
      </c>
      <c r="Y33" s="7">
        <v>204.80326312567263</v>
      </c>
      <c r="Z33" s="7">
        <v>61.280525922065792</v>
      </c>
      <c r="AA33" s="7">
        <v>122.95031099337072</v>
      </c>
      <c r="AB33" s="7">
        <v>385.94455313803735</v>
      </c>
      <c r="AC33" s="7">
        <v>1441.7049559979298</v>
      </c>
      <c r="AD33" s="7">
        <v>746.23647143828282</v>
      </c>
      <c r="AE33" s="7">
        <v>75.81298812188588</v>
      </c>
      <c r="AF33" s="7">
        <v>1132.1003010085071</v>
      </c>
      <c r="AG33" s="7">
        <v>146.04777000759387</v>
      </c>
      <c r="AH33" s="7">
        <v>52.548288248029579</v>
      </c>
      <c r="AI33" s="7">
        <v>60.27960667891896</v>
      </c>
      <c r="AJ33" s="7">
        <v>290.44535306529161</v>
      </c>
      <c r="AK33" s="7">
        <v>1.1371425025545831E-3</v>
      </c>
      <c r="AL33" s="7">
        <v>3448.8130113768893</v>
      </c>
      <c r="AM33" s="7">
        <v>0</v>
      </c>
      <c r="AN33" s="7">
        <v>1.1928605059781281</v>
      </c>
      <c r="AO33" s="7">
        <v>50.717784545845014</v>
      </c>
      <c r="AP33" s="7">
        <v>5.7329635968248117E-2</v>
      </c>
      <c r="AQ33" s="7">
        <v>3128.0091138555895</v>
      </c>
      <c r="AR33" s="7">
        <f t="shared" si="0"/>
        <v>6628.7900999202702</v>
      </c>
      <c r="AS33" s="7">
        <v>12539.258517156502</v>
      </c>
    </row>
    <row r="34" spans="1:45" ht="15" x14ac:dyDescent="0.2">
      <c r="A34" s="5" t="s">
        <v>29</v>
      </c>
      <c r="B34" s="6" t="s">
        <v>71</v>
      </c>
      <c r="C34" s="7">
        <v>19.848242544089995</v>
      </c>
      <c r="D34" s="7">
        <v>0</v>
      </c>
      <c r="E34" s="7">
        <v>157.78832848564153</v>
      </c>
      <c r="F34" s="7">
        <v>11.673241825705803</v>
      </c>
      <c r="G34" s="7">
        <v>2.1999614051424663</v>
      </c>
      <c r="H34" s="7">
        <v>5.9851110692040317</v>
      </c>
      <c r="I34" s="7">
        <v>175.696168610814</v>
      </c>
      <c r="J34" s="7">
        <v>338.96897823851515</v>
      </c>
      <c r="K34" s="7">
        <v>1104.8977560682033</v>
      </c>
      <c r="L34" s="7">
        <v>31.411408207964946</v>
      </c>
      <c r="M34" s="7">
        <v>21.845600920485502</v>
      </c>
      <c r="N34" s="7">
        <v>183.48216398144683</v>
      </c>
      <c r="O34" s="7">
        <v>326.74779702779256</v>
      </c>
      <c r="P34" s="7">
        <v>1353.5915252453708</v>
      </c>
      <c r="Q34" s="7">
        <v>348.99941756548793</v>
      </c>
      <c r="R34" s="7">
        <v>44.535730196552905</v>
      </c>
      <c r="S34" s="7">
        <v>333.57533204952915</v>
      </c>
      <c r="T34" s="7">
        <v>606.29911828803404</v>
      </c>
      <c r="U34" s="7">
        <v>220.00043322481196</v>
      </c>
      <c r="V34" s="7">
        <v>5217.0370449598777</v>
      </c>
      <c r="W34" s="7">
        <v>494.50177004067353</v>
      </c>
      <c r="X34" s="7">
        <v>480.54924654952151</v>
      </c>
      <c r="Y34" s="7">
        <v>167.21812903589898</v>
      </c>
      <c r="Z34" s="7">
        <v>763.81214564448783</v>
      </c>
      <c r="AA34" s="7">
        <v>296.21556124055184</v>
      </c>
      <c r="AB34" s="7">
        <v>597.04092203046264</v>
      </c>
      <c r="AC34" s="7">
        <v>289.77825556554848</v>
      </c>
      <c r="AD34" s="7">
        <v>18724.326488736111</v>
      </c>
      <c r="AE34" s="7">
        <v>4338.4111828972837</v>
      </c>
      <c r="AF34" s="7">
        <v>2955.3944552822704</v>
      </c>
      <c r="AG34" s="7">
        <v>4264.9990416774708</v>
      </c>
      <c r="AH34" s="7">
        <v>173.40256798191413</v>
      </c>
      <c r="AI34" s="7">
        <v>327.67204660803213</v>
      </c>
      <c r="AJ34" s="7">
        <v>557.68344679010056</v>
      </c>
      <c r="AK34" s="7">
        <v>1.1827338597853246E-3</v>
      </c>
      <c r="AL34" s="7">
        <v>11815.275280173202</v>
      </c>
      <c r="AM34" s="7">
        <v>0</v>
      </c>
      <c r="AN34" s="7">
        <v>9.3973883679391754</v>
      </c>
      <c r="AO34" s="7">
        <v>335.44308179098203</v>
      </c>
      <c r="AP34" s="7">
        <v>0.46166517973796334</v>
      </c>
      <c r="AQ34" s="7">
        <v>43403.951976134507</v>
      </c>
      <c r="AR34" s="7">
        <f t="shared" si="0"/>
        <v>55564.529391646371</v>
      </c>
      <c r="AS34" s="7">
        <v>100500.11919437523</v>
      </c>
    </row>
    <row r="35" spans="1:45" ht="15" x14ac:dyDescent="0.2">
      <c r="A35" s="5" t="s">
        <v>30</v>
      </c>
      <c r="B35" s="6" t="s">
        <v>72</v>
      </c>
      <c r="C35" s="7">
        <v>0.55867452759157543</v>
      </c>
      <c r="D35" s="7">
        <v>0</v>
      </c>
      <c r="E35" s="7">
        <v>123.45493614705398</v>
      </c>
      <c r="F35" s="7">
        <v>8.1849747014344185</v>
      </c>
      <c r="G35" s="7">
        <v>1.8815498013829828</v>
      </c>
      <c r="H35" s="7">
        <v>6.0682857348531227</v>
      </c>
      <c r="I35" s="7">
        <v>185.99533623304575</v>
      </c>
      <c r="J35" s="7">
        <v>48.073959976107524</v>
      </c>
      <c r="K35" s="7">
        <v>213.75712954251051</v>
      </c>
      <c r="L35" s="7">
        <v>29.929168740537335</v>
      </c>
      <c r="M35" s="7">
        <v>7.5465698285522897</v>
      </c>
      <c r="N35" s="7">
        <v>138.72538532050081</v>
      </c>
      <c r="O35" s="7">
        <v>125.58650973919633</v>
      </c>
      <c r="P35" s="7">
        <v>455.62001393741849</v>
      </c>
      <c r="Q35" s="7">
        <v>205.46962918456688</v>
      </c>
      <c r="R35" s="7">
        <v>26.280312977197578</v>
      </c>
      <c r="S35" s="7">
        <v>165.19918958067697</v>
      </c>
      <c r="T35" s="7">
        <v>338.33391317502361</v>
      </c>
      <c r="U35" s="7">
        <v>138.73771080790127</v>
      </c>
      <c r="V35" s="7">
        <v>2677.8632974837838</v>
      </c>
      <c r="W35" s="7">
        <v>2019.011481839826</v>
      </c>
      <c r="X35" s="7">
        <v>1908.4157534540393</v>
      </c>
      <c r="Y35" s="7">
        <v>78.328136549797549</v>
      </c>
      <c r="Z35" s="7">
        <v>153.44502898582445</v>
      </c>
      <c r="AA35" s="7">
        <v>65.906990903758015</v>
      </c>
      <c r="AB35" s="7">
        <v>627.33349907957245</v>
      </c>
      <c r="AC35" s="7">
        <v>194.51429785723519</v>
      </c>
      <c r="AD35" s="7">
        <v>1192.3456164815882</v>
      </c>
      <c r="AE35" s="7">
        <v>1714.4211404496641</v>
      </c>
      <c r="AF35" s="7">
        <v>2117.6661731027421</v>
      </c>
      <c r="AG35" s="7">
        <v>469.34150998408376</v>
      </c>
      <c r="AH35" s="7">
        <v>251.47034492936351</v>
      </c>
      <c r="AI35" s="7">
        <v>562.39897357053758</v>
      </c>
      <c r="AJ35" s="7">
        <v>1081.104830782609</v>
      </c>
      <c r="AK35" s="7">
        <v>7.1075174117556927E-5</v>
      </c>
      <c r="AL35" s="7">
        <v>15623.845665541341</v>
      </c>
      <c r="AM35" s="7">
        <v>0</v>
      </c>
      <c r="AN35" s="7">
        <v>31.46677389729604</v>
      </c>
      <c r="AO35" s="7">
        <v>5809.1271533546105</v>
      </c>
      <c r="AP35" s="7">
        <v>2.0544792681228566E-2</v>
      </c>
      <c r="AQ35" s="7">
        <v>1469.6097777208067</v>
      </c>
      <c r="AR35" s="7">
        <f t="shared" si="0"/>
        <v>22934.069915306736</v>
      </c>
      <c r="AS35" s="7">
        <v>40267.040311791876</v>
      </c>
    </row>
    <row r="36" spans="1:45" ht="15" x14ac:dyDescent="0.2">
      <c r="A36" s="5" t="s">
        <v>31</v>
      </c>
      <c r="B36" s="6" t="s">
        <v>73</v>
      </c>
      <c r="C36" s="7">
        <v>16.607851706136216</v>
      </c>
      <c r="D36" s="7">
        <v>0</v>
      </c>
      <c r="E36" s="7">
        <v>170.03432187115706</v>
      </c>
      <c r="F36" s="7">
        <v>9.4725435374335714</v>
      </c>
      <c r="G36" s="7">
        <v>1.8840294460127904</v>
      </c>
      <c r="H36" s="7">
        <v>4.9069878745954805</v>
      </c>
      <c r="I36" s="7">
        <v>619.16231805411905</v>
      </c>
      <c r="J36" s="7">
        <v>246.35598745466621</v>
      </c>
      <c r="K36" s="7">
        <v>1359.7753732924161</v>
      </c>
      <c r="L36" s="7">
        <v>30.537322979584186</v>
      </c>
      <c r="M36" s="7">
        <v>32.207481218182856</v>
      </c>
      <c r="N36" s="7">
        <v>209.96473850392141</v>
      </c>
      <c r="O36" s="7">
        <v>703.33196552973334</v>
      </c>
      <c r="P36" s="7">
        <v>11856.322972214313</v>
      </c>
      <c r="Q36" s="7">
        <v>1165.1508260334185</v>
      </c>
      <c r="R36" s="7">
        <v>35.174635894283405</v>
      </c>
      <c r="S36" s="7">
        <v>875.56818894325806</v>
      </c>
      <c r="T36" s="7">
        <v>1781.6266555124739</v>
      </c>
      <c r="U36" s="7">
        <v>228.03737081165389</v>
      </c>
      <c r="V36" s="7">
        <v>5214.2636002266727</v>
      </c>
      <c r="W36" s="7">
        <v>603.67773305490653</v>
      </c>
      <c r="X36" s="7">
        <v>790.43948038235715</v>
      </c>
      <c r="Y36" s="7">
        <v>805.87315724202142</v>
      </c>
      <c r="Z36" s="7">
        <v>1339.7424118926247</v>
      </c>
      <c r="AA36" s="7">
        <v>441.51098706346824</v>
      </c>
      <c r="AB36" s="7">
        <v>1711.8715272141521</v>
      </c>
      <c r="AC36" s="7">
        <v>1085.085072626443</v>
      </c>
      <c r="AD36" s="7">
        <v>4726.8214237174952</v>
      </c>
      <c r="AE36" s="7">
        <v>3804.0720708086023</v>
      </c>
      <c r="AF36" s="7">
        <v>18989.453782715038</v>
      </c>
      <c r="AG36" s="7">
        <v>2872.4718574122412</v>
      </c>
      <c r="AH36" s="7">
        <v>701.45153539487933</v>
      </c>
      <c r="AI36" s="7">
        <v>1347.5576567528885</v>
      </c>
      <c r="AJ36" s="7">
        <v>1045.8842745261634</v>
      </c>
      <c r="AK36" s="7">
        <v>9.5303479234367793E-4</v>
      </c>
      <c r="AL36" s="7">
        <v>816.7636893511276</v>
      </c>
      <c r="AM36" s="7">
        <v>0</v>
      </c>
      <c r="AN36" s="7">
        <v>1037.7447448782823</v>
      </c>
      <c r="AO36" s="7">
        <v>7704.1532989583284</v>
      </c>
      <c r="AP36" s="7">
        <v>-25.715422494376202</v>
      </c>
      <c r="AQ36" s="7">
        <v>47676.792297710388</v>
      </c>
      <c r="AR36" s="7">
        <f t="shared" si="0"/>
        <v>57209.73860840375</v>
      </c>
      <c r="AS36" s="7">
        <v>122036.03770334585</v>
      </c>
    </row>
    <row r="37" spans="1:45" ht="15" x14ac:dyDescent="0.2">
      <c r="A37" s="5" t="s">
        <v>32</v>
      </c>
      <c r="B37" s="6" t="s">
        <v>74</v>
      </c>
      <c r="C37" s="7">
        <v>0.55626357154465655</v>
      </c>
      <c r="D37" s="7">
        <v>0</v>
      </c>
      <c r="E37" s="7">
        <v>8.9411524879364244</v>
      </c>
      <c r="F37" s="7">
        <v>0.91445309142044118</v>
      </c>
      <c r="G37" s="7">
        <v>0.16560770819731294</v>
      </c>
      <c r="H37" s="7">
        <v>0.54121259784017395</v>
      </c>
      <c r="I37" s="7">
        <v>26.300583961617708</v>
      </c>
      <c r="J37" s="7">
        <v>14.741893526710882</v>
      </c>
      <c r="K37" s="7">
        <v>47.745483271498117</v>
      </c>
      <c r="L37" s="7">
        <v>2.3100120121039396</v>
      </c>
      <c r="M37" s="7">
        <v>2.8390450071914661</v>
      </c>
      <c r="N37" s="7">
        <v>11.876863641659336</v>
      </c>
      <c r="O37" s="7">
        <v>8.7718211094929153</v>
      </c>
      <c r="P37" s="7">
        <v>31.816119079502798</v>
      </c>
      <c r="Q37" s="7">
        <v>16.122303393239335</v>
      </c>
      <c r="R37" s="7">
        <v>4.3546775016505048</v>
      </c>
      <c r="S37" s="7">
        <v>58.126837891678271</v>
      </c>
      <c r="T37" s="7">
        <v>131.40454692479096</v>
      </c>
      <c r="U37" s="7">
        <v>21.162318608182659</v>
      </c>
      <c r="V37" s="7">
        <v>420.58996300784747</v>
      </c>
      <c r="W37" s="7">
        <v>115.34823751357027</v>
      </c>
      <c r="X37" s="7">
        <v>121.05944144033263</v>
      </c>
      <c r="Y37" s="7">
        <v>44.47544325421697</v>
      </c>
      <c r="Z37" s="7">
        <v>136.90149116812989</v>
      </c>
      <c r="AA37" s="7">
        <v>59.841664519527647</v>
      </c>
      <c r="AB37" s="7">
        <v>68.913990034755429</v>
      </c>
      <c r="AC37" s="7">
        <v>68.265363354832857</v>
      </c>
      <c r="AD37" s="7">
        <v>122.98427027396237</v>
      </c>
      <c r="AE37" s="7">
        <v>195.28254365498921</v>
      </c>
      <c r="AF37" s="7">
        <v>227.13432669123969</v>
      </c>
      <c r="AG37" s="7">
        <v>385.65845951627574</v>
      </c>
      <c r="AH37" s="7">
        <v>30.708106371038877</v>
      </c>
      <c r="AI37" s="7">
        <v>58.367926327642209</v>
      </c>
      <c r="AJ37" s="7">
        <v>66.425268323188249</v>
      </c>
      <c r="AK37" s="7">
        <v>0.1211462656870646</v>
      </c>
      <c r="AL37" s="7">
        <v>760.35125278851785</v>
      </c>
      <c r="AM37" s="7">
        <v>0</v>
      </c>
      <c r="AN37" s="7">
        <v>31243.210366008716</v>
      </c>
      <c r="AO37" s="7">
        <v>443.24962238078331</v>
      </c>
      <c r="AP37" s="7">
        <v>0.88556661510674362</v>
      </c>
      <c r="AQ37" s="7">
        <v>394.93983711617608</v>
      </c>
      <c r="AR37" s="7">
        <f t="shared" si="0"/>
        <v>32842.636644909297</v>
      </c>
      <c r="AS37" s="7">
        <v>35353.405482012793</v>
      </c>
    </row>
    <row r="38" spans="1:45" ht="15" x14ac:dyDescent="0.2">
      <c r="A38" s="5" t="s">
        <v>33</v>
      </c>
      <c r="B38" s="6" t="s">
        <v>75</v>
      </c>
      <c r="C38" s="7">
        <v>0.25840320520840299</v>
      </c>
      <c r="D38" s="7">
        <v>0</v>
      </c>
      <c r="E38" s="7">
        <v>4.7497792845872429</v>
      </c>
      <c r="F38" s="7">
        <v>0.17165042834408201</v>
      </c>
      <c r="G38" s="7">
        <v>7.7908163516478432E-2</v>
      </c>
      <c r="H38" s="7">
        <v>0.15546431197498151</v>
      </c>
      <c r="I38" s="7">
        <v>14.792922318645799</v>
      </c>
      <c r="J38" s="7">
        <v>3.3838142593441156</v>
      </c>
      <c r="K38" s="7">
        <v>17.918175077007806</v>
      </c>
      <c r="L38" s="7">
        <v>1.2794495282447833</v>
      </c>
      <c r="M38" s="7">
        <v>0.89382793745198152</v>
      </c>
      <c r="N38" s="7">
        <v>7.5335862258903958</v>
      </c>
      <c r="O38" s="7">
        <v>11.135431863074754</v>
      </c>
      <c r="P38" s="7">
        <v>25.502673210968574</v>
      </c>
      <c r="Q38" s="7">
        <v>23.129305932002559</v>
      </c>
      <c r="R38" s="7">
        <v>1.1300155540318912</v>
      </c>
      <c r="S38" s="7">
        <v>5.3623557570867737</v>
      </c>
      <c r="T38" s="7">
        <v>7.5630620609708954</v>
      </c>
      <c r="U38" s="7">
        <v>1.3115196259125343</v>
      </c>
      <c r="V38" s="7">
        <v>25.667600500183521</v>
      </c>
      <c r="W38" s="7">
        <v>15.892810579661386</v>
      </c>
      <c r="X38" s="7">
        <v>32.726664053060631</v>
      </c>
      <c r="Y38" s="7">
        <v>1.5817990024813295</v>
      </c>
      <c r="Z38" s="7">
        <v>9.3005531257277827</v>
      </c>
      <c r="AA38" s="7">
        <v>6.7280970663285755</v>
      </c>
      <c r="AB38" s="7">
        <v>8.639646074446059</v>
      </c>
      <c r="AC38" s="7">
        <v>8.455877742374529</v>
      </c>
      <c r="AD38" s="7">
        <v>35.884470709690028</v>
      </c>
      <c r="AE38" s="7">
        <v>17.574031288965944</v>
      </c>
      <c r="AF38" s="7">
        <v>142.19981775708339</v>
      </c>
      <c r="AG38" s="7">
        <v>2720.3331904070888</v>
      </c>
      <c r="AH38" s="7">
        <v>354.16237008741808</v>
      </c>
      <c r="AI38" s="7">
        <v>21.800536661488266</v>
      </c>
      <c r="AJ38" s="7">
        <v>52.636272426875863</v>
      </c>
      <c r="AK38" s="7">
        <v>1.1200714587343493E-4</v>
      </c>
      <c r="AL38" s="7">
        <v>3335.6745540881361</v>
      </c>
      <c r="AM38" s="7">
        <v>0</v>
      </c>
      <c r="AN38" s="7">
        <v>4773.5644297495637</v>
      </c>
      <c r="AO38" s="7">
        <v>1011.9663589650403</v>
      </c>
      <c r="AP38" s="7">
        <v>4.3329710188716751E-2</v>
      </c>
      <c r="AQ38" s="7">
        <v>1756.3078674601134</v>
      </c>
      <c r="AR38" s="7">
        <f t="shared" si="0"/>
        <v>10877.556539973042</v>
      </c>
      <c r="AS38" s="7">
        <v>14457.489734207327</v>
      </c>
    </row>
    <row r="39" spans="1:45" ht="15" x14ac:dyDescent="0.2">
      <c r="A39" s="5" t="s">
        <v>34</v>
      </c>
      <c r="B39" s="6" t="s">
        <v>76</v>
      </c>
      <c r="C39" s="7">
        <v>4.4216580978597904</v>
      </c>
      <c r="D39" s="7">
        <v>0</v>
      </c>
      <c r="E39" s="7">
        <v>1.1429382926340332</v>
      </c>
      <c r="F39" s="7">
        <v>7.5463965479305201E-2</v>
      </c>
      <c r="G39" s="7">
        <v>1.5844927740400819E-2</v>
      </c>
      <c r="H39" s="7">
        <v>5.2324375924667689E-2</v>
      </c>
      <c r="I39" s="7">
        <v>2.1913093316004693</v>
      </c>
      <c r="J39" s="7">
        <v>0.85456075241698959</v>
      </c>
      <c r="K39" s="7">
        <v>2.3125578408364822</v>
      </c>
      <c r="L39" s="7">
        <v>0.2425350412874327</v>
      </c>
      <c r="M39" s="7">
        <v>8.0565849903317929E-2</v>
      </c>
      <c r="N39" s="7">
        <v>1.1954066012820743</v>
      </c>
      <c r="O39" s="7">
        <v>1.0893904535619721</v>
      </c>
      <c r="P39" s="7">
        <v>4.4115468479258606</v>
      </c>
      <c r="Q39" s="7">
        <v>1.6424105116992247</v>
      </c>
      <c r="R39" s="7">
        <v>0.25944567219852005</v>
      </c>
      <c r="S39" s="7">
        <v>3.3088637734020523</v>
      </c>
      <c r="T39" s="7">
        <v>8.8278792297514421</v>
      </c>
      <c r="U39" s="7">
        <v>1.2280913404205089</v>
      </c>
      <c r="V39" s="7">
        <v>24.077540779526437</v>
      </c>
      <c r="W39" s="7">
        <v>15.769226477413826</v>
      </c>
      <c r="X39" s="7">
        <v>15.573213887341431</v>
      </c>
      <c r="Y39" s="7">
        <v>1.7984004434788203</v>
      </c>
      <c r="Z39" s="7">
        <v>9.0110996430046679</v>
      </c>
      <c r="AA39" s="7">
        <v>2.1302420624895038</v>
      </c>
      <c r="AB39" s="7">
        <v>11.42616021807871</v>
      </c>
      <c r="AC39" s="7">
        <v>2.6345530315332399</v>
      </c>
      <c r="AD39" s="7">
        <v>25.551223820866102</v>
      </c>
      <c r="AE39" s="7">
        <v>13.256158804902743</v>
      </c>
      <c r="AF39" s="7">
        <v>45.516003656390026</v>
      </c>
      <c r="AG39" s="7">
        <v>6266.0747001524351</v>
      </c>
      <c r="AH39" s="7">
        <v>12.622399344183581</v>
      </c>
      <c r="AI39" s="7">
        <v>1603.4134528109239</v>
      </c>
      <c r="AJ39" s="7">
        <v>130.59097128537348</v>
      </c>
      <c r="AK39" s="7">
        <v>3.7137083593910725E-5</v>
      </c>
      <c r="AL39" s="7">
        <v>6650.1048491902702</v>
      </c>
      <c r="AM39" s="7">
        <v>0</v>
      </c>
      <c r="AN39" s="7">
        <v>423.54544357161882</v>
      </c>
      <c r="AO39" s="7">
        <v>187.53562691346579</v>
      </c>
      <c r="AP39" s="7">
        <v>0</v>
      </c>
      <c r="AQ39" s="7">
        <v>1530.2608167831672</v>
      </c>
      <c r="AR39" s="7">
        <f t="shared" si="0"/>
        <v>8791.4467364585216</v>
      </c>
      <c r="AS39" s="7">
        <v>17004.244912919472</v>
      </c>
    </row>
    <row r="40" spans="1:45" ht="15" x14ac:dyDescent="0.2">
      <c r="A40" s="5" t="s">
        <v>35</v>
      </c>
      <c r="B40" s="6" t="s">
        <v>77</v>
      </c>
      <c r="C40" s="7">
        <v>1.1646441737805631</v>
      </c>
      <c r="D40" s="7">
        <v>0</v>
      </c>
      <c r="E40" s="7">
        <v>15.443818948824937</v>
      </c>
      <c r="F40" s="7">
        <v>0.6594761671068945</v>
      </c>
      <c r="G40" s="7">
        <v>7.6211195820604871E-2</v>
      </c>
      <c r="H40" s="7">
        <v>0.31648574170213922</v>
      </c>
      <c r="I40" s="7">
        <v>50.591260491312667</v>
      </c>
      <c r="J40" s="7">
        <v>5.8873136854976345</v>
      </c>
      <c r="K40" s="7">
        <v>27.081279264226076</v>
      </c>
      <c r="L40" s="7">
        <v>1.6623899293677151</v>
      </c>
      <c r="M40" s="7">
        <v>0.57834835007016527</v>
      </c>
      <c r="N40" s="7">
        <v>8.1164542382384379</v>
      </c>
      <c r="O40" s="7">
        <v>7.8399249213473698</v>
      </c>
      <c r="P40" s="7">
        <v>138.3715702751727</v>
      </c>
      <c r="Q40" s="7">
        <v>9.3766250398730158</v>
      </c>
      <c r="R40" s="7">
        <v>2.8619609762820364</v>
      </c>
      <c r="S40" s="7">
        <v>19.905830166132084</v>
      </c>
      <c r="T40" s="7">
        <v>65.327327836683097</v>
      </c>
      <c r="U40" s="7">
        <v>48.457921439853173</v>
      </c>
      <c r="V40" s="7">
        <v>1096.1171212391328</v>
      </c>
      <c r="W40" s="7">
        <v>108.14206510610188</v>
      </c>
      <c r="X40" s="7">
        <v>133.61263483263087</v>
      </c>
      <c r="Y40" s="7">
        <v>15.822387342490003</v>
      </c>
      <c r="Z40" s="7">
        <v>35.806060937087636</v>
      </c>
      <c r="AA40" s="7">
        <v>21.754818739359024</v>
      </c>
      <c r="AB40" s="7">
        <v>151.1482607857192</v>
      </c>
      <c r="AC40" s="7">
        <v>125.61135296613617</v>
      </c>
      <c r="AD40" s="7">
        <v>240.00620556387554</v>
      </c>
      <c r="AE40" s="7">
        <v>202.94268046189188</v>
      </c>
      <c r="AF40" s="7">
        <v>655.46458023354478</v>
      </c>
      <c r="AG40" s="7">
        <v>182.36358879676996</v>
      </c>
      <c r="AH40" s="7">
        <v>237.06106230916205</v>
      </c>
      <c r="AI40" s="7">
        <v>159.30900116211546</v>
      </c>
      <c r="AJ40" s="7">
        <v>1492.5138499253997</v>
      </c>
      <c r="AK40" s="7">
        <v>0</v>
      </c>
      <c r="AL40" s="7">
        <v>4790.9920611193393</v>
      </c>
      <c r="AM40" s="7">
        <v>0</v>
      </c>
      <c r="AN40" s="7">
        <v>942.83849201681005</v>
      </c>
      <c r="AO40" s="7">
        <v>119.97550112075555</v>
      </c>
      <c r="AP40" s="7">
        <v>-2.1376421572460885E-4</v>
      </c>
      <c r="AQ40" s="7">
        <v>6236.9964709245405</v>
      </c>
      <c r="AR40" s="7">
        <f t="shared" si="0"/>
        <v>12090.802311417228</v>
      </c>
      <c r="AS40" s="7">
        <v>17352.196824659939</v>
      </c>
    </row>
    <row r="41" spans="1:45" ht="15" x14ac:dyDescent="0.2">
      <c r="A41" s="5" t="s">
        <v>36</v>
      </c>
      <c r="B41" s="6" t="s">
        <v>78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2274.1710578561929</v>
      </c>
      <c r="AM41" s="7">
        <v>0</v>
      </c>
      <c r="AN41" s="7">
        <v>0</v>
      </c>
      <c r="AO41" s="7">
        <v>0</v>
      </c>
      <c r="AP41" s="7">
        <v>0</v>
      </c>
      <c r="AQ41" s="7">
        <v>2.3337292091977575E-14</v>
      </c>
      <c r="AR41" s="7">
        <f t="shared" si="0"/>
        <v>2274.1710578561929</v>
      </c>
      <c r="AS41" s="7">
        <v>2274.1710578561929</v>
      </c>
    </row>
    <row r="42" spans="1:45" ht="15" x14ac:dyDescent="0.2">
      <c r="A42" s="5" t="s">
        <v>85</v>
      </c>
      <c r="B42" s="6" t="s">
        <v>86</v>
      </c>
      <c r="C42" s="7">
        <v>36.597597740891302</v>
      </c>
      <c r="D42" s="7">
        <v>0</v>
      </c>
      <c r="E42" s="7">
        <v>2214.0502327619479</v>
      </c>
      <c r="F42" s="7">
        <v>137.6183024075352</v>
      </c>
      <c r="G42" s="7">
        <v>24.305962856781871</v>
      </c>
      <c r="H42" s="7">
        <v>34.306263758749722</v>
      </c>
      <c r="I42" s="7">
        <v>2855.7456452748593</v>
      </c>
      <c r="J42" s="7">
        <v>15479.197800854468</v>
      </c>
      <c r="K42" s="7">
        <v>11532.738437985417</v>
      </c>
      <c r="L42" s="7">
        <v>178.39565094046159</v>
      </c>
      <c r="M42" s="7">
        <v>427.30848577973836</v>
      </c>
      <c r="N42" s="7">
        <v>2180.2206828586618</v>
      </c>
      <c r="O42" s="7">
        <v>2891.3161461426653</v>
      </c>
      <c r="P42" s="7">
        <v>37839.99667960513</v>
      </c>
      <c r="Q42" s="7">
        <v>5392.5104078456479</v>
      </c>
      <c r="R42" s="7">
        <v>679.25639214902822</v>
      </c>
      <c r="S42" s="7">
        <v>2182.9892327852922</v>
      </c>
      <c r="T42" s="7">
        <v>4808.5844238517802</v>
      </c>
      <c r="U42" s="7">
        <v>1159.6661592972459</v>
      </c>
      <c r="V42" s="7">
        <v>47331.556091360006</v>
      </c>
      <c r="W42" s="7">
        <v>512.19357571713499</v>
      </c>
      <c r="X42" s="7">
        <v>1978.1981266436524</v>
      </c>
      <c r="Y42" s="7">
        <v>358.93075839306374</v>
      </c>
      <c r="Z42" s="7">
        <v>42977.031146952999</v>
      </c>
      <c r="AA42" s="7">
        <v>4501.4452578659939</v>
      </c>
      <c r="AB42" s="7">
        <v>3566.6690480465263</v>
      </c>
      <c r="AC42" s="7">
        <v>3199.5542093017452</v>
      </c>
      <c r="AD42" s="7">
        <v>21554.177145296875</v>
      </c>
      <c r="AE42" s="7">
        <v>289.7905522970716</v>
      </c>
      <c r="AF42" s="7">
        <v>39600.832753388691</v>
      </c>
      <c r="AG42" s="7">
        <v>3305.7132549168464</v>
      </c>
      <c r="AH42" s="7">
        <v>685.79170741662824</v>
      </c>
      <c r="AI42" s="7">
        <v>1170.5849034696673</v>
      </c>
      <c r="AJ42" s="7">
        <v>1724.9080463094292</v>
      </c>
      <c r="AK42" s="7">
        <v>1.0594857815220854E-16</v>
      </c>
      <c r="AL42" s="7">
        <v>44221.619009465663</v>
      </c>
      <c r="AM42" s="7">
        <v>0</v>
      </c>
      <c r="AN42" s="7">
        <v>3.0075393983238009E-12</v>
      </c>
      <c r="AO42" s="7">
        <v>32705.660478824975</v>
      </c>
      <c r="AP42" s="7">
        <v>4540.3656959388954</v>
      </c>
      <c r="AQ42" s="7">
        <v>0</v>
      </c>
      <c r="AR42" s="7"/>
      <c r="AS42" s="7">
        <v>344279.8262665022</v>
      </c>
    </row>
    <row r="43" spans="1:45" ht="15" x14ac:dyDescent="0.2">
      <c r="A43" s="8" t="s">
        <v>87</v>
      </c>
      <c r="B43" s="4" t="s">
        <v>88</v>
      </c>
      <c r="C43" s="9">
        <v>187.13180272179483</v>
      </c>
      <c r="D43" s="9">
        <v>0</v>
      </c>
      <c r="E43" s="9">
        <v>5853.355016252799</v>
      </c>
      <c r="F43" s="9">
        <v>301.70860328331719</v>
      </c>
      <c r="G43" s="9">
        <v>56.647245552331086</v>
      </c>
      <c r="H43" s="9">
        <v>136.91546220778989</v>
      </c>
      <c r="I43" s="9">
        <v>5904.6650784936264</v>
      </c>
      <c r="J43" s="9">
        <v>27652.41958541792</v>
      </c>
      <c r="K43" s="9">
        <v>34436.235698952813</v>
      </c>
      <c r="L43" s="9">
        <v>970.10554027343096</v>
      </c>
      <c r="M43" s="9">
        <v>1068.1739636113846</v>
      </c>
      <c r="N43" s="9">
        <v>5320.506603994806</v>
      </c>
      <c r="O43" s="9">
        <v>8717.9547707704969</v>
      </c>
      <c r="P43" s="9">
        <v>89243.067307155812</v>
      </c>
      <c r="Q43" s="9">
        <v>12516.064536752265</v>
      </c>
      <c r="R43" s="9">
        <v>1709.2121782171678</v>
      </c>
      <c r="S43" s="9">
        <v>6736.2085446886094</v>
      </c>
      <c r="T43" s="9">
        <v>32542.372147695041</v>
      </c>
      <c r="U43" s="9">
        <v>2701.2589977301709</v>
      </c>
      <c r="V43" s="9">
        <v>81996.377795045119</v>
      </c>
      <c r="W43" s="9">
        <v>6168.452522396271</v>
      </c>
      <c r="X43" s="9">
        <v>9430.9952997790006</v>
      </c>
      <c r="Y43" s="9">
        <v>3779.6984105600968</v>
      </c>
      <c r="Z43" s="9">
        <v>73704.538490090417</v>
      </c>
      <c r="AA43" s="9">
        <v>10040.326640785936</v>
      </c>
      <c r="AB43" s="9">
        <v>14241.559706848146</v>
      </c>
      <c r="AC43" s="9">
        <v>8071.068982105955</v>
      </c>
      <c r="AD43" s="9">
        <v>50349.178354190386</v>
      </c>
      <c r="AE43" s="9">
        <v>14138.188586162025</v>
      </c>
      <c r="AF43" s="9">
        <v>74871.692787320819</v>
      </c>
      <c r="AG43" s="9">
        <v>25693.193194869229</v>
      </c>
      <c r="AH43" s="9">
        <v>3439.1264934472283</v>
      </c>
      <c r="AI43" s="9">
        <v>7052.720608363049</v>
      </c>
      <c r="AJ43" s="9">
        <v>8733.308438281827</v>
      </c>
      <c r="AK43" s="9">
        <v>1.2461163476868933</v>
      </c>
      <c r="AL43" s="9">
        <v>119777.07652375684</v>
      </c>
      <c r="AM43" s="9">
        <v>0</v>
      </c>
      <c r="AN43" s="9">
        <v>38587.163024820038</v>
      </c>
      <c r="AO43" s="9">
        <v>82080.899374869026</v>
      </c>
      <c r="AP43" s="9">
        <v>9474.3400998173693</v>
      </c>
      <c r="AQ43" s="9">
        <v>452197.06461249065</v>
      </c>
      <c r="AR43" s="9"/>
      <c r="AS43" s="9">
        <v>1329882.2191461183</v>
      </c>
    </row>
    <row r="44" spans="1:45" ht="15" x14ac:dyDescent="0.2">
      <c r="A44" s="10" t="s">
        <v>89</v>
      </c>
      <c r="B44" s="11" t="s">
        <v>90</v>
      </c>
      <c r="C44" s="7">
        <v>0.57258154445064857</v>
      </c>
      <c r="D44" s="7">
        <v>0</v>
      </c>
      <c r="E44" s="7">
        <v>2.6333539602599307</v>
      </c>
      <c r="F44" s="7">
        <v>3.496572722621849E-2</v>
      </c>
      <c r="G44" s="7">
        <v>2.6516432124679187E-2</v>
      </c>
      <c r="H44" s="7">
        <v>0.11212231143314802</v>
      </c>
      <c r="I44" s="7">
        <v>3.6331928636060282</v>
      </c>
      <c r="J44" s="7">
        <v>0.16984087656509472</v>
      </c>
      <c r="K44" s="7">
        <v>11.995456847974939</v>
      </c>
      <c r="L44" s="7">
        <v>0.45263032138356329</v>
      </c>
      <c r="M44" s="7">
        <v>0.2485596587506986</v>
      </c>
      <c r="N44" s="7">
        <v>0.97182545803648324</v>
      </c>
      <c r="O44" s="7">
        <v>5.0570767495378153</v>
      </c>
      <c r="P44" s="7">
        <v>7.7452627134903844</v>
      </c>
      <c r="Q44" s="7">
        <v>1.1834277317949189</v>
      </c>
      <c r="R44" s="7">
        <v>0.2837709781856248</v>
      </c>
      <c r="S44" s="7">
        <v>2.7853445772992136</v>
      </c>
      <c r="T44" s="7">
        <v>6.7270404491291309</v>
      </c>
      <c r="U44" s="7">
        <v>1.2012920379892527</v>
      </c>
      <c r="V44" s="7">
        <v>43.619385038337178</v>
      </c>
      <c r="W44" s="7">
        <v>6.5002440281910721</v>
      </c>
      <c r="X44" s="7">
        <v>198.21509246531593</v>
      </c>
      <c r="Y44" s="7">
        <v>7.9008406157450075</v>
      </c>
      <c r="Z44" s="7">
        <v>16.722051192455986</v>
      </c>
      <c r="AA44" s="7">
        <v>19.946908978612655</v>
      </c>
      <c r="AB44" s="7">
        <v>20.374540135537423</v>
      </c>
      <c r="AC44" s="7">
        <v>6.0022323899214509</v>
      </c>
      <c r="AD44" s="7">
        <v>250.86814578842473</v>
      </c>
      <c r="AE44" s="7">
        <v>256.41511941959737</v>
      </c>
      <c r="AF44" s="7">
        <v>112.20568995835586</v>
      </c>
      <c r="AG44" s="7">
        <v>32.197016425250474</v>
      </c>
      <c r="AH44" s="7">
        <v>112.5399825691393</v>
      </c>
      <c r="AI44" s="7">
        <v>180.84295152639402</v>
      </c>
      <c r="AJ44" s="7">
        <v>60.286931634928294</v>
      </c>
      <c r="AK44" s="7">
        <v>0</v>
      </c>
      <c r="AL44" s="7">
        <v>13645.852144103352</v>
      </c>
      <c r="AM44" s="7">
        <v>0</v>
      </c>
      <c r="AN44" s="7">
        <v>0</v>
      </c>
      <c r="AO44" s="7">
        <v>4001.6301457758132</v>
      </c>
      <c r="AP44" s="7">
        <v>0</v>
      </c>
      <c r="AQ44" s="7">
        <v>0</v>
      </c>
      <c r="AR44" s="7"/>
      <c r="AS44" s="7">
        <v>19017.95368328461</v>
      </c>
    </row>
    <row r="45" spans="1:45" ht="15" x14ac:dyDescent="0.2">
      <c r="A45" s="10" t="s">
        <v>91</v>
      </c>
      <c r="B45" s="11" t="s">
        <v>92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/>
      <c r="AS45" s="7">
        <v>0</v>
      </c>
    </row>
    <row r="46" spans="1:45" ht="15" x14ac:dyDescent="0.2">
      <c r="A46" s="10" t="s">
        <v>93</v>
      </c>
      <c r="B46" s="11" t="s">
        <v>94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/>
      <c r="AS46" s="7">
        <v>0</v>
      </c>
    </row>
    <row r="47" spans="1:45" ht="15" x14ac:dyDescent="0.2">
      <c r="A47" s="10" t="s">
        <v>95</v>
      </c>
      <c r="B47" s="11" t="s">
        <v>96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/>
      <c r="AS47" s="7">
        <v>0</v>
      </c>
    </row>
    <row r="48" spans="1:45" ht="15" x14ac:dyDescent="0.2">
      <c r="A48" s="10" t="s">
        <v>97</v>
      </c>
      <c r="B48" s="11" t="s">
        <v>98</v>
      </c>
      <c r="C48" s="7">
        <v>121.24692270569795</v>
      </c>
      <c r="D48" s="7">
        <v>0</v>
      </c>
      <c r="E48" s="7">
        <v>3430.0131081099848</v>
      </c>
      <c r="F48" s="7">
        <v>107.93431539925842</v>
      </c>
      <c r="G48" s="7">
        <v>36.54760161581077</v>
      </c>
      <c r="H48" s="7">
        <v>81.060076370581271</v>
      </c>
      <c r="I48" s="7">
        <v>2626.3617571096693</v>
      </c>
      <c r="J48" s="7">
        <v>461.09427366709309</v>
      </c>
      <c r="K48" s="7">
        <v>12935.8991321058</v>
      </c>
      <c r="L48" s="7">
        <v>577.88701233239055</v>
      </c>
      <c r="M48" s="7">
        <v>242.16441983886665</v>
      </c>
      <c r="N48" s="7">
        <v>1895.467257448139</v>
      </c>
      <c r="O48" s="7">
        <v>3182.8433623468845</v>
      </c>
      <c r="P48" s="7">
        <v>43292.377602337459</v>
      </c>
      <c r="Q48" s="7">
        <v>5041.2117206698331</v>
      </c>
      <c r="R48" s="7">
        <v>892.07060893878781</v>
      </c>
      <c r="S48" s="7">
        <v>3449.1693615786598</v>
      </c>
      <c r="T48" s="7">
        <v>13246.556179329167</v>
      </c>
      <c r="U48" s="7">
        <v>1525.0581514755938</v>
      </c>
      <c r="V48" s="7">
        <v>60368.641068099045</v>
      </c>
      <c r="W48" s="7">
        <v>4599.9367203632601</v>
      </c>
      <c r="X48" s="7">
        <v>7335.5854342421326</v>
      </c>
      <c r="Y48" s="7">
        <v>3688.1905826044704</v>
      </c>
      <c r="Z48" s="7">
        <v>5956.4886202882517</v>
      </c>
      <c r="AA48" s="7">
        <v>3112.2418840499786</v>
      </c>
      <c r="AB48" s="7">
        <v>9837.3166952945758</v>
      </c>
      <c r="AC48" s="7">
        <v>4462.1873026606472</v>
      </c>
      <c r="AD48" s="7">
        <v>49900.072694396535</v>
      </c>
      <c r="AE48" s="7">
        <v>25872.436606210242</v>
      </c>
      <c r="AF48" s="7">
        <v>47052.139226066916</v>
      </c>
      <c r="AG48" s="7">
        <v>9628.0152707183461</v>
      </c>
      <c r="AH48" s="7">
        <v>10905.823258190961</v>
      </c>
      <c r="AI48" s="7">
        <v>9770.6813530300333</v>
      </c>
      <c r="AJ48" s="7">
        <v>8558.6014547431914</v>
      </c>
      <c r="AK48" s="7">
        <v>2272.924941508506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/>
      <c r="AS48" s="7">
        <v>356466.24597584677</v>
      </c>
    </row>
    <row r="49" spans="1:45" ht="15" x14ac:dyDescent="0.2">
      <c r="A49" s="10" t="s">
        <v>99</v>
      </c>
      <c r="B49" s="11" t="s">
        <v>100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/>
      <c r="AS49" s="7">
        <v>0</v>
      </c>
    </row>
    <row r="50" spans="1:45" ht="15" x14ac:dyDescent="0.2">
      <c r="A50" s="8" t="s">
        <v>43</v>
      </c>
      <c r="B50" s="4" t="s">
        <v>101</v>
      </c>
      <c r="C50" s="9">
        <v>308.95130697194344</v>
      </c>
      <c r="D50" s="9">
        <v>0</v>
      </c>
      <c r="E50" s="9">
        <v>9286.0014783230436</v>
      </c>
      <c r="F50" s="9">
        <v>409.67788440980183</v>
      </c>
      <c r="G50" s="9">
        <v>93.221363600266528</v>
      </c>
      <c r="H50" s="9">
        <v>218.08766088980431</v>
      </c>
      <c r="I50" s="9">
        <v>8534.6600284669021</v>
      </c>
      <c r="J50" s="9">
        <v>28113.683699961577</v>
      </c>
      <c r="K50" s="9">
        <v>47384.130287906584</v>
      </c>
      <c r="L50" s="9">
        <v>1548.4451829272052</v>
      </c>
      <c r="M50" s="9">
        <v>1310.586943109002</v>
      </c>
      <c r="N50" s="9">
        <v>7216.9456869009819</v>
      </c>
      <c r="O50" s="9">
        <v>11905.855209866919</v>
      </c>
      <c r="P50" s="9">
        <v>132543.19017220676</v>
      </c>
      <c r="Q50" s="9">
        <v>17558.459685153895</v>
      </c>
      <c r="R50" s="9">
        <v>2601.5665581341414</v>
      </c>
      <c r="S50" s="9">
        <v>10188.163250844569</v>
      </c>
      <c r="T50" s="9">
        <v>45795.655367473337</v>
      </c>
      <c r="U50" s="9">
        <v>4227.5184412437538</v>
      </c>
      <c r="V50" s="9">
        <v>142408.63824818251</v>
      </c>
      <c r="W50" s="9">
        <v>10774.889486787722</v>
      </c>
      <c r="X50" s="9">
        <v>16964.79582648645</v>
      </c>
      <c r="Y50" s="9">
        <v>7475.7898337803126</v>
      </c>
      <c r="Z50" s="9">
        <v>79677.749161571119</v>
      </c>
      <c r="AA50" s="9">
        <v>13172.515433814526</v>
      </c>
      <c r="AB50" s="9">
        <v>24099.25094227826</v>
      </c>
      <c r="AC50" s="9">
        <v>12539.258517156522</v>
      </c>
      <c r="AD50" s="9">
        <v>100500.11919437535</v>
      </c>
      <c r="AE50" s="9">
        <v>40267.040311791861</v>
      </c>
      <c r="AF50" s="9">
        <v>122036.03770334608</v>
      </c>
      <c r="AG50" s="9">
        <v>35353.405482012822</v>
      </c>
      <c r="AH50" s="9">
        <v>14457.489734207329</v>
      </c>
      <c r="AI50" s="9">
        <v>17004.244912919476</v>
      </c>
      <c r="AJ50" s="9">
        <v>17352.196824659946</v>
      </c>
      <c r="AK50" s="9">
        <v>2274.1710578561929</v>
      </c>
      <c r="AL50" s="9">
        <v>133422.92866786019</v>
      </c>
      <c r="AM50" s="9">
        <v>0</v>
      </c>
      <c r="AN50" s="9">
        <v>38587.163024820038</v>
      </c>
      <c r="AO50" s="9">
        <v>86082.529520644835</v>
      </c>
      <c r="AP50" s="9">
        <v>9474.3400998173693</v>
      </c>
      <c r="AQ50" s="9">
        <v>452197.06461249065</v>
      </c>
      <c r="AR50" s="9"/>
      <c r="AS50" s="12">
        <v>1705366.4188052495</v>
      </c>
    </row>
    <row r="51" spans="1:45" ht="15" x14ac:dyDescent="0.2"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</row>
    <row r="52" spans="1:45" ht="15" x14ac:dyDescent="0.2">
      <c r="C52" s="14">
        <f>SUM(C7:C42)-C43</f>
        <v>0</v>
      </c>
      <c r="D52" s="14">
        <f t="shared" ref="D52:AS52" si="1">SUM(D7:D42)-D43</f>
        <v>0</v>
      </c>
      <c r="E52" s="14">
        <f t="shared" si="1"/>
        <v>0</v>
      </c>
      <c r="F52" s="14">
        <f t="shared" si="1"/>
        <v>0</v>
      </c>
      <c r="G52" s="14">
        <f t="shared" si="1"/>
        <v>0</v>
      </c>
      <c r="H52" s="14">
        <f t="shared" si="1"/>
        <v>0</v>
      </c>
      <c r="I52" s="14">
        <f t="shared" si="1"/>
        <v>0</v>
      </c>
      <c r="J52" s="14">
        <f t="shared" si="1"/>
        <v>0</v>
      </c>
      <c r="K52" s="14">
        <f t="shared" si="1"/>
        <v>0</v>
      </c>
      <c r="L52" s="14">
        <f t="shared" si="1"/>
        <v>0</v>
      </c>
      <c r="M52" s="14">
        <f t="shared" si="1"/>
        <v>0</v>
      </c>
      <c r="N52" s="14">
        <f t="shared" si="1"/>
        <v>0</v>
      </c>
      <c r="O52" s="14">
        <f t="shared" si="1"/>
        <v>0</v>
      </c>
      <c r="P52" s="14">
        <f t="shared" si="1"/>
        <v>0</v>
      </c>
      <c r="Q52" s="14">
        <f t="shared" si="1"/>
        <v>0</v>
      </c>
      <c r="R52" s="14">
        <f t="shared" si="1"/>
        <v>0</v>
      </c>
      <c r="S52" s="14">
        <f t="shared" si="1"/>
        <v>0</v>
      </c>
      <c r="T52" s="14">
        <f t="shared" si="1"/>
        <v>0</v>
      </c>
      <c r="U52" s="14">
        <f t="shared" si="1"/>
        <v>0</v>
      </c>
      <c r="V52" s="14">
        <f t="shared" si="1"/>
        <v>0</v>
      </c>
      <c r="W52" s="14">
        <f t="shared" si="1"/>
        <v>0</v>
      </c>
      <c r="X52" s="14">
        <f t="shared" si="1"/>
        <v>0</v>
      </c>
      <c r="Y52" s="14">
        <f t="shared" si="1"/>
        <v>0</v>
      </c>
      <c r="Z52" s="14">
        <f t="shared" si="1"/>
        <v>0</v>
      </c>
      <c r="AA52" s="14">
        <f t="shared" si="1"/>
        <v>0</v>
      </c>
      <c r="AB52" s="14">
        <f t="shared" si="1"/>
        <v>0</v>
      </c>
      <c r="AC52" s="14">
        <f t="shared" si="1"/>
        <v>0</v>
      </c>
      <c r="AD52" s="14">
        <f t="shared" si="1"/>
        <v>0</v>
      </c>
      <c r="AE52" s="14">
        <f t="shared" si="1"/>
        <v>0</v>
      </c>
      <c r="AF52" s="14">
        <f t="shared" si="1"/>
        <v>0</v>
      </c>
      <c r="AG52" s="14">
        <f t="shared" si="1"/>
        <v>0</v>
      </c>
      <c r="AH52" s="14">
        <f t="shared" si="1"/>
        <v>0</v>
      </c>
      <c r="AI52" s="14">
        <f t="shared" si="1"/>
        <v>0</v>
      </c>
      <c r="AJ52" s="14">
        <f t="shared" si="1"/>
        <v>0</v>
      </c>
      <c r="AK52" s="14">
        <f t="shared" si="1"/>
        <v>0</v>
      </c>
      <c r="AL52" s="14">
        <f t="shared" si="1"/>
        <v>0</v>
      </c>
      <c r="AM52" s="14">
        <f t="shared" si="1"/>
        <v>0</v>
      </c>
      <c r="AN52" s="14">
        <f t="shared" si="1"/>
        <v>0</v>
      </c>
      <c r="AO52" s="14">
        <f t="shared" si="1"/>
        <v>0</v>
      </c>
      <c r="AP52" s="14">
        <f t="shared" si="1"/>
        <v>0</v>
      </c>
      <c r="AQ52" s="14">
        <f t="shared" si="1"/>
        <v>0</v>
      </c>
      <c r="AR52" s="14"/>
      <c r="AS52" s="14">
        <f t="shared" si="1"/>
        <v>0</v>
      </c>
    </row>
    <row r="53" spans="1:45" ht="15" x14ac:dyDescent="0.2">
      <c r="C53" s="14">
        <f>SUM(C43:C49)-C50</f>
        <v>0</v>
      </c>
      <c r="D53" s="14">
        <f t="shared" ref="D53:AS53" si="2">SUM(D43:D49)-D50</f>
        <v>0</v>
      </c>
      <c r="E53" s="14">
        <f t="shared" si="2"/>
        <v>0</v>
      </c>
      <c r="F53" s="14">
        <f t="shared" si="2"/>
        <v>0</v>
      </c>
      <c r="G53" s="14">
        <f t="shared" si="2"/>
        <v>0</v>
      </c>
      <c r="H53" s="14">
        <f t="shared" si="2"/>
        <v>0</v>
      </c>
      <c r="I53" s="14">
        <f t="shared" si="2"/>
        <v>0</v>
      </c>
      <c r="J53" s="14">
        <f t="shared" si="2"/>
        <v>0</v>
      </c>
      <c r="K53" s="14">
        <f t="shared" si="2"/>
        <v>0</v>
      </c>
      <c r="L53" s="14">
        <f t="shared" si="2"/>
        <v>0</v>
      </c>
      <c r="M53" s="14">
        <f t="shared" si="2"/>
        <v>0</v>
      </c>
      <c r="N53" s="14">
        <f t="shared" si="2"/>
        <v>0</v>
      </c>
      <c r="O53" s="14">
        <f t="shared" si="2"/>
        <v>0</v>
      </c>
      <c r="P53" s="14">
        <f t="shared" si="2"/>
        <v>0</v>
      </c>
      <c r="Q53" s="14">
        <f t="shared" si="2"/>
        <v>0</v>
      </c>
      <c r="R53" s="14">
        <f t="shared" si="2"/>
        <v>0</v>
      </c>
      <c r="S53" s="14">
        <f t="shared" si="2"/>
        <v>0</v>
      </c>
      <c r="T53" s="14">
        <f t="shared" si="2"/>
        <v>0</v>
      </c>
      <c r="U53" s="14">
        <f t="shared" si="2"/>
        <v>0</v>
      </c>
      <c r="V53" s="14">
        <f t="shared" si="2"/>
        <v>0</v>
      </c>
      <c r="W53" s="14">
        <f t="shared" si="2"/>
        <v>0</v>
      </c>
      <c r="X53" s="14">
        <f t="shared" si="2"/>
        <v>0</v>
      </c>
      <c r="Y53" s="14">
        <f t="shared" si="2"/>
        <v>0</v>
      </c>
      <c r="Z53" s="14">
        <f t="shared" si="2"/>
        <v>0</v>
      </c>
      <c r="AA53" s="14">
        <f t="shared" si="2"/>
        <v>0</v>
      </c>
      <c r="AB53" s="14">
        <f t="shared" si="2"/>
        <v>0</v>
      </c>
      <c r="AC53" s="14">
        <f t="shared" si="2"/>
        <v>0</v>
      </c>
      <c r="AD53" s="14">
        <f t="shared" si="2"/>
        <v>0</v>
      </c>
      <c r="AE53" s="14">
        <f t="shared" si="2"/>
        <v>0</v>
      </c>
      <c r="AF53" s="14">
        <f t="shared" si="2"/>
        <v>0</v>
      </c>
      <c r="AG53" s="14">
        <f t="shared" si="2"/>
        <v>0</v>
      </c>
      <c r="AH53" s="14">
        <f t="shared" si="2"/>
        <v>0</v>
      </c>
      <c r="AI53" s="14">
        <f t="shared" si="2"/>
        <v>0</v>
      </c>
      <c r="AJ53" s="14">
        <f t="shared" si="2"/>
        <v>0</v>
      </c>
      <c r="AK53" s="14">
        <f t="shared" si="2"/>
        <v>0</v>
      </c>
      <c r="AL53" s="14">
        <f t="shared" si="2"/>
        <v>0</v>
      </c>
      <c r="AM53" s="14">
        <f t="shared" si="2"/>
        <v>0</v>
      </c>
      <c r="AN53" s="14">
        <f t="shared" si="2"/>
        <v>0</v>
      </c>
      <c r="AO53" s="14">
        <f t="shared" si="2"/>
        <v>0</v>
      </c>
      <c r="AP53" s="14">
        <f t="shared" si="2"/>
        <v>0</v>
      </c>
      <c r="AQ53" s="14">
        <f t="shared" si="2"/>
        <v>0</v>
      </c>
      <c r="AR53" s="14"/>
      <c r="AS53" s="14">
        <f t="shared" si="2"/>
        <v>0</v>
      </c>
    </row>
    <row r="54" spans="1:45" ht="15" x14ac:dyDescent="0.2"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</row>
    <row r="55" spans="1:45" ht="15" x14ac:dyDescent="0.2"/>
    <row r="56" spans="1:45" ht="14.5" customHeight="1" x14ac:dyDescent="0.2"/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E0D2-1491-44F5-BAA9-C1BB41CCA2B1}">
  <sheetPr codeName="Sheet16">
    <tabColor rgb="FFFFC000"/>
  </sheetPr>
  <dimension ref="A1:AU56"/>
  <sheetViews>
    <sheetView zoomScale="78" zoomScaleNormal="78" workbookViewId="0">
      <pane xSplit="2" ySplit="6" topLeftCell="AD24" activePane="bottomRight" state="frozen"/>
      <selection pane="topRight" activeCell="C52" sqref="C52:AR53"/>
      <selection pane="bottomLeft" activeCell="C52" sqref="C52:AR53"/>
      <selection pane="bottomRight" activeCell="AR7" sqref="AR7:AR41"/>
    </sheetView>
  </sheetViews>
  <sheetFormatPr baseColWidth="10" defaultColWidth="0" defaultRowHeight="14.5" customHeight="1" zeroHeight="1" x14ac:dyDescent="0.2"/>
  <cols>
    <col min="1" max="1" width="63" style="2" customWidth="1"/>
    <col min="2" max="46" width="12.6640625" style="2" customWidth="1"/>
    <col min="47" max="47" width="0" style="2" hidden="1" customWidth="1"/>
    <col min="48" max="16384" width="12.6640625" style="2" hidden="1"/>
  </cols>
  <sheetData>
    <row r="1" spans="1:45" ht="15" x14ac:dyDescent="0.2">
      <c r="A1" s="1" t="s">
        <v>103</v>
      </c>
    </row>
    <row r="2" spans="1:45" ht="15" x14ac:dyDescent="0.2">
      <c r="A2" s="1" t="s">
        <v>0</v>
      </c>
    </row>
    <row r="3" spans="1:45" ht="15" x14ac:dyDescent="0.2"/>
    <row r="4" spans="1:45" ht="15" x14ac:dyDescent="0.2"/>
    <row r="5" spans="1:45" ht="80.5" customHeight="1" x14ac:dyDescent="0.2">
      <c r="A5" s="13" t="s">
        <v>1</v>
      </c>
      <c r="B5" s="3"/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24</v>
      </c>
      <c r="Z5" s="3" t="s">
        <v>25</v>
      </c>
      <c r="AA5" s="3" t="s">
        <v>26</v>
      </c>
      <c r="AB5" s="3" t="s">
        <v>27</v>
      </c>
      <c r="AC5" s="3" t="s">
        <v>28</v>
      </c>
      <c r="AD5" s="3" t="s">
        <v>29</v>
      </c>
      <c r="AE5" s="3" t="s">
        <v>30</v>
      </c>
      <c r="AF5" s="3" t="s">
        <v>31</v>
      </c>
      <c r="AG5" s="3" t="s">
        <v>32</v>
      </c>
      <c r="AH5" s="3" t="s">
        <v>33</v>
      </c>
      <c r="AI5" s="3" t="s">
        <v>34</v>
      </c>
      <c r="AJ5" s="3" t="s">
        <v>35</v>
      </c>
      <c r="AK5" s="3" t="s">
        <v>36</v>
      </c>
      <c r="AL5" s="3" t="s">
        <v>37</v>
      </c>
      <c r="AM5" s="3" t="s">
        <v>38</v>
      </c>
      <c r="AN5" s="3" t="s">
        <v>39</v>
      </c>
      <c r="AO5" s="3" t="s">
        <v>40</v>
      </c>
      <c r="AP5" s="3" t="s">
        <v>41</v>
      </c>
      <c r="AQ5" s="3" t="s">
        <v>42</v>
      </c>
      <c r="AR5" s="3" t="s">
        <v>105</v>
      </c>
      <c r="AS5" s="3" t="s">
        <v>43</v>
      </c>
    </row>
    <row r="6" spans="1:45" ht="15" x14ac:dyDescent="0.2">
      <c r="A6" s="4"/>
      <c r="B6" s="4"/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  <c r="I6" s="4" t="s">
        <v>50</v>
      </c>
      <c r="J6" s="4" t="s">
        <v>51</v>
      </c>
      <c r="K6" s="4" t="s">
        <v>52</v>
      </c>
      <c r="L6" s="4" t="s">
        <v>53</v>
      </c>
      <c r="M6" s="4" t="s">
        <v>54</v>
      </c>
      <c r="N6" s="4" t="s">
        <v>55</v>
      </c>
      <c r="O6" s="4" t="s">
        <v>56</v>
      </c>
      <c r="P6" s="4" t="s">
        <v>57</v>
      </c>
      <c r="Q6" s="4" t="s">
        <v>58</v>
      </c>
      <c r="R6" s="4" t="s">
        <v>59</v>
      </c>
      <c r="S6" s="4" t="s">
        <v>60</v>
      </c>
      <c r="T6" s="4" t="s">
        <v>61</v>
      </c>
      <c r="U6" s="4" t="s">
        <v>62</v>
      </c>
      <c r="V6" s="4" t="s">
        <v>63</v>
      </c>
      <c r="W6" s="4" t="s">
        <v>64</v>
      </c>
      <c r="X6" s="4" t="s">
        <v>65</v>
      </c>
      <c r="Y6" s="4" t="s">
        <v>66</v>
      </c>
      <c r="Z6" s="4" t="s">
        <v>67</v>
      </c>
      <c r="AA6" s="4" t="s">
        <v>68</v>
      </c>
      <c r="AB6" s="4" t="s">
        <v>69</v>
      </c>
      <c r="AC6" s="4" t="s">
        <v>70</v>
      </c>
      <c r="AD6" s="4" t="s">
        <v>71</v>
      </c>
      <c r="AE6" s="4" t="s">
        <v>72</v>
      </c>
      <c r="AF6" s="4" t="s">
        <v>73</v>
      </c>
      <c r="AG6" s="4" t="s">
        <v>74</v>
      </c>
      <c r="AH6" s="4" t="s">
        <v>75</v>
      </c>
      <c r="AI6" s="4" t="s">
        <v>76</v>
      </c>
      <c r="AJ6" s="4" t="s">
        <v>77</v>
      </c>
      <c r="AK6" s="4" t="s">
        <v>78</v>
      </c>
      <c r="AL6" s="4" t="s">
        <v>79</v>
      </c>
      <c r="AM6" s="4" t="s">
        <v>80</v>
      </c>
      <c r="AN6" s="4" t="s">
        <v>81</v>
      </c>
      <c r="AO6" s="4" t="s">
        <v>82</v>
      </c>
      <c r="AP6" s="4" t="s">
        <v>83</v>
      </c>
      <c r="AQ6" s="4" t="s">
        <v>84</v>
      </c>
      <c r="AR6" s="4"/>
      <c r="AS6" s="4"/>
    </row>
    <row r="7" spans="1:45" ht="15" x14ac:dyDescent="0.2">
      <c r="A7" s="5" t="s">
        <v>2</v>
      </c>
      <c r="B7" s="6" t="s">
        <v>44</v>
      </c>
      <c r="C7" s="7">
        <v>47.241386022095355</v>
      </c>
      <c r="D7" s="7">
        <v>0</v>
      </c>
      <c r="E7" s="7">
        <v>18.090001368386236</v>
      </c>
      <c r="F7" s="7">
        <v>8.7424823858240994E-3</v>
      </c>
      <c r="G7" s="7">
        <v>2.0660126891588888</v>
      </c>
      <c r="H7" s="7">
        <v>6.7685452350821082E-3</v>
      </c>
      <c r="I7" s="7">
        <v>8.3789817395571675E-2</v>
      </c>
      <c r="J7" s="7">
        <v>0.8336717600021164</v>
      </c>
      <c r="K7" s="7">
        <v>0.78939485970598633</v>
      </c>
      <c r="L7" s="7">
        <v>1.5999754127590082E-2</v>
      </c>
      <c r="M7" s="7">
        <v>1.2471380142281961E-2</v>
      </c>
      <c r="N7" s="7">
        <v>0.14826014401156129</v>
      </c>
      <c r="O7" s="7">
        <v>0.13308662668324425</v>
      </c>
      <c r="P7" s="7">
        <v>1.0945858232573087</v>
      </c>
      <c r="Q7" s="7">
        <v>0.14332508174309649</v>
      </c>
      <c r="R7" s="7">
        <v>4.731894451342325E-2</v>
      </c>
      <c r="S7" s="7">
        <v>0.17817616202000366</v>
      </c>
      <c r="T7" s="7">
        <v>0.46013225252227508</v>
      </c>
      <c r="U7" s="7">
        <v>2.1835238429078804E-2</v>
      </c>
      <c r="V7" s="7">
        <v>0.58464151819044574</v>
      </c>
      <c r="W7" s="7">
        <v>8.2558630781909434E-2</v>
      </c>
      <c r="X7" s="7">
        <v>24.503105715636323</v>
      </c>
      <c r="Y7" s="7">
        <v>0.22490352406672037</v>
      </c>
      <c r="Z7" s="7">
        <v>0.71855726062694647</v>
      </c>
      <c r="AA7" s="7">
        <v>4.4004061424847557E-2</v>
      </c>
      <c r="AB7" s="7">
        <v>0.11373247851929609</v>
      </c>
      <c r="AC7" s="7">
        <v>9.9369072556650978E-2</v>
      </c>
      <c r="AD7" s="7">
        <v>0.141793300297999</v>
      </c>
      <c r="AE7" s="7">
        <v>0.10016192999392727</v>
      </c>
      <c r="AF7" s="7">
        <v>1.5869876343263216</v>
      </c>
      <c r="AG7" s="7">
        <v>0.37522145242997279</v>
      </c>
      <c r="AH7" s="7">
        <v>4.4697342734030227E-2</v>
      </c>
      <c r="AI7" s="7">
        <v>0.13070239903123654</v>
      </c>
      <c r="AJ7" s="7">
        <v>0.52371571116053817</v>
      </c>
      <c r="AK7" s="7">
        <v>4.4490607952909311E-5</v>
      </c>
      <c r="AL7" s="7">
        <v>21.416592950657897</v>
      </c>
      <c r="AM7" s="7">
        <v>0</v>
      </c>
      <c r="AN7" s="7">
        <v>1.7605781646361017E-3</v>
      </c>
      <c r="AO7" s="7">
        <v>0.30763300094157137</v>
      </c>
      <c r="AP7" s="7">
        <v>59.005093499726705</v>
      </c>
      <c r="AQ7" s="7">
        <v>110.42354170776601</v>
      </c>
      <c r="AR7" s="7">
        <f>SUM(AL7:AQ7)</f>
        <v>191.15462173725683</v>
      </c>
      <c r="AS7" s="7">
        <v>291.80377721145686</v>
      </c>
    </row>
    <row r="8" spans="1:45" ht="15" x14ac:dyDescent="0.2">
      <c r="A8" s="5" t="s">
        <v>3</v>
      </c>
      <c r="B8" s="6" t="s">
        <v>45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f t="shared" ref="AR8:AR41" si="0">SUM(AL8:AQ8)</f>
        <v>0</v>
      </c>
      <c r="AS8" s="7">
        <v>0</v>
      </c>
    </row>
    <row r="9" spans="1:45" ht="15" x14ac:dyDescent="0.2">
      <c r="A9" s="5" t="s">
        <v>4</v>
      </c>
      <c r="B9" s="6" t="s">
        <v>46</v>
      </c>
      <c r="C9" s="7">
        <v>7.6064716129134151</v>
      </c>
      <c r="D9" s="7">
        <v>0</v>
      </c>
      <c r="E9" s="7">
        <v>1053.9152696410288</v>
      </c>
      <c r="F9" s="7">
        <v>0.13943728286360152</v>
      </c>
      <c r="G9" s="7">
        <v>1.9642711583288609E-2</v>
      </c>
      <c r="H9" s="7">
        <v>0.2187468982515765</v>
      </c>
      <c r="I9" s="7">
        <v>47.94445262517452</v>
      </c>
      <c r="J9" s="7">
        <v>14.007582959922813</v>
      </c>
      <c r="K9" s="7">
        <v>177.48482316224133</v>
      </c>
      <c r="L9" s="7">
        <v>0.62892003609931502</v>
      </c>
      <c r="M9" s="7">
        <v>0.3013403824575403</v>
      </c>
      <c r="N9" s="7">
        <v>3.6422318165960137</v>
      </c>
      <c r="O9" s="7">
        <v>6.4485643066334797</v>
      </c>
      <c r="P9" s="7">
        <v>165.19783910254586</v>
      </c>
      <c r="Q9" s="7">
        <v>9.1315561415825215</v>
      </c>
      <c r="R9" s="7">
        <v>6.1448871667229215</v>
      </c>
      <c r="S9" s="7">
        <v>2.0526282683173194</v>
      </c>
      <c r="T9" s="7">
        <v>4.4247140721913025</v>
      </c>
      <c r="U9" s="7">
        <v>5.5372085456267861</v>
      </c>
      <c r="V9" s="7">
        <v>148.45311333735231</v>
      </c>
      <c r="W9" s="7">
        <v>13.330748483325149</v>
      </c>
      <c r="X9" s="7">
        <v>878.02107696392216</v>
      </c>
      <c r="Y9" s="7">
        <v>0.96891569730603599</v>
      </c>
      <c r="Z9" s="7">
        <v>34.392529771164526</v>
      </c>
      <c r="AA9" s="7">
        <v>3.1453883565954461</v>
      </c>
      <c r="AB9" s="7">
        <v>10.299800042826208</v>
      </c>
      <c r="AC9" s="7">
        <v>3.0347555276385023</v>
      </c>
      <c r="AD9" s="7">
        <v>41.006044124536281</v>
      </c>
      <c r="AE9" s="7">
        <v>6.8112623379943198</v>
      </c>
      <c r="AF9" s="7">
        <v>64.320667523826145</v>
      </c>
      <c r="AG9" s="7">
        <v>29.563309844991046</v>
      </c>
      <c r="AH9" s="7">
        <v>5.1637532344909554</v>
      </c>
      <c r="AI9" s="7">
        <v>11.917206158205573</v>
      </c>
      <c r="AJ9" s="7">
        <v>28.777123108197042</v>
      </c>
      <c r="AK9" s="7">
        <v>0</v>
      </c>
      <c r="AL9" s="7">
        <v>619.17754465393705</v>
      </c>
      <c r="AM9" s="7">
        <v>0</v>
      </c>
      <c r="AN9" s="7">
        <v>0.32746333217798784</v>
      </c>
      <c r="AO9" s="7">
        <v>46.566847967711581</v>
      </c>
      <c r="AP9" s="7">
        <v>230.04867594840147</v>
      </c>
      <c r="AQ9" s="7">
        <v>4290.398522500639</v>
      </c>
      <c r="AR9" s="7">
        <f t="shared" si="0"/>
        <v>5186.5190544028674</v>
      </c>
      <c r="AS9" s="7">
        <v>7970.5710656479914</v>
      </c>
    </row>
    <row r="10" spans="1:45" ht="15" x14ac:dyDescent="0.2">
      <c r="A10" s="5" t="s">
        <v>5</v>
      </c>
      <c r="B10" s="6" t="s">
        <v>47</v>
      </c>
      <c r="C10" s="7">
        <v>7.7477861445960326E-3</v>
      </c>
      <c r="D10" s="7">
        <v>0</v>
      </c>
      <c r="E10" s="7">
        <v>0.55700387945454144</v>
      </c>
      <c r="F10" s="7">
        <v>27.570855687055417</v>
      </c>
      <c r="G10" s="7">
        <v>3.3699923344117616E-2</v>
      </c>
      <c r="H10" s="7">
        <v>0.27125588108274051</v>
      </c>
      <c r="I10" s="7">
        <v>0.7923978499073997</v>
      </c>
      <c r="J10" s="7">
        <v>0.82088123588517126</v>
      </c>
      <c r="K10" s="7">
        <v>2.3453158743554821</v>
      </c>
      <c r="L10" s="7">
        <v>0.31102382821855573</v>
      </c>
      <c r="M10" s="7">
        <v>3.661985211216142E-2</v>
      </c>
      <c r="N10" s="7">
        <v>0.99905719968434081</v>
      </c>
      <c r="O10" s="7">
        <v>1.0337781662384067</v>
      </c>
      <c r="P10" s="7">
        <v>4.8565518600358191</v>
      </c>
      <c r="Q10" s="7">
        <v>0.80940598029803823</v>
      </c>
      <c r="R10" s="7">
        <v>1.6671327449324789</v>
      </c>
      <c r="S10" s="7">
        <v>0.82007854482181497</v>
      </c>
      <c r="T10" s="7">
        <v>4.4452282446000373</v>
      </c>
      <c r="U10" s="7">
        <v>0.36127775373727672</v>
      </c>
      <c r="V10" s="7">
        <v>8.0723995983079888</v>
      </c>
      <c r="W10" s="7">
        <v>7.3660929925916969</v>
      </c>
      <c r="X10" s="7">
        <v>3.7329237904131776</v>
      </c>
      <c r="Y10" s="7">
        <v>1.6891541544444668</v>
      </c>
      <c r="Z10" s="7">
        <v>0.51553996347866182</v>
      </c>
      <c r="AA10" s="7">
        <v>0.27778788459179177</v>
      </c>
      <c r="AB10" s="7">
        <v>3.1054056037305768</v>
      </c>
      <c r="AC10" s="7">
        <v>0.47836437213706173</v>
      </c>
      <c r="AD10" s="7">
        <v>0.71471969820001335</v>
      </c>
      <c r="AE10" s="7">
        <v>0.18932562069452102</v>
      </c>
      <c r="AF10" s="7">
        <v>2.7787215361132294</v>
      </c>
      <c r="AG10" s="7">
        <v>1.7324167953252871</v>
      </c>
      <c r="AH10" s="7">
        <v>2.0582251451005571</v>
      </c>
      <c r="AI10" s="7">
        <v>2.8685912308544972</v>
      </c>
      <c r="AJ10" s="7">
        <v>4.3850451644755646</v>
      </c>
      <c r="AK10" s="7">
        <v>0</v>
      </c>
      <c r="AL10" s="7">
        <v>23.301942121436813</v>
      </c>
      <c r="AM10" s="7">
        <v>0</v>
      </c>
      <c r="AN10" s="7">
        <v>0</v>
      </c>
      <c r="AO10" s="7">
        <v>1.9437293016096211</v>
      </c>
      <c r="AP10" s="7">
        <v>43.732507152591438</v>
      </c>
      <c r="AQ10" s="7">
        <v>171.70228547964379</v>
      </c>
      <c r="AR10" s="7">
        <f t="shared" si="0"/>
        <v>240.68046405528167</v>
      </c>
      <c r="AS10" s="7">
        <v>328.38448989764913</v>
      </c>
    </row>
    <row r="11" spans="1:45" ht="15" x14ac:dyDescent="0.2">
      <c r="A11" s="5" t="s">
        <v>6</v>
      </c>
      <c r="B11" s="6" t="s">
        <v>48</v>
      </c>
      <c r="C11" s="7">
        <v>7.1802903674023583E-3</v>
      </c>
      <c r="D11" s="7">
        <v>0</v>
      </c>
      <c r="E11" s="7">
        <v>1.5044125528737221E-2</v>
      </c>
      <c r="F11" s="7">
        <v>0.11205249203505478</v>
      </c>
      <c r="G11" s="7">
        <v>2.5924149753937104E-2</v>
      </c>
      <c r="H11" s="7">
        <v>5.0156674912289298E-2</v>
      </c>
      <c r="I11" s="7">
        <v>3.8285623971903798E-2</v>
      </c>
      <c r="J11" s="7">
        <v>3.1722328889838239E-2</v>
      </c>
      <c r="K11" s="7">
        <v>2.6156940823344701E-2</v>
      </c>
      <c r="L11" s="7">
        <v>9.0424700786266715E-3</v>
      </c>
      <c r="M11" s="7">
        <v>9.6070182860776194E-4</v>
      </c>
      <c r="N11" s="7">
        <v>1.0989527082704956E-2</v>
      </c>
      <c r="O11" s="7">
        <v>2.8093761019289287E-2</v>
      </c>
      <c r="P11" s="7">
        <v>0.4516467806526242</v>
      </c>
      <c r="Q11" s="7">
        <v>1.6904922208220814</v>
      </c>
      <c r="R11" s="7">
        <v>1.8577154506340505</v>
      </c>
      <c r="S11" s="7">
        <v>0.11816708265216563</v>
      </c>
      <c r="T11" s="7">
        <v>0.51316118703109126</v>
      </c>
      <c r="U11" s="7">
        <v>2.7726499519483219E-2</v>
      </c>
      <c r="V11" s="7">
        <v>0.74716615529975949</v>
      </c>
      <c r="W11" s="7">
        <v>0.10371129927455504</v>
      </c>
      <c r="X11" s="7">
        <v>1.0974470857389505E-2</v>
      </c>
      <c r="Y11" s="7">
        <v>1.1057200549800964E-3</v>
      </c>
      <c r="Z11" s="7">
        <v>5.4920828847743998E-2</v>
      </c>
      <c r="AA11" s="7">
        <v>2.8771625361133646E-2</v>
      </c>
      <c r="AB11" s="7">
        <v>3.154204319015922E-2</v>
      </c>
      <c r="AC11" s="7">
        <v>0.13122970248666196</v>
      </c>
      <c r="AD11" s="7">
        <v>2.1351727428408438E-2</v>
      </c>
      <c r="AE11" s="7">
        <v>3.2822350884846765E-2</v>
      </c>
      <c r="AF11" s="7">
        <v>0.14634006828307514</v>
      </c>
      <c r="AG11" s="7">
        <v>0.18704571521490471</v>
      </c>
      <c r="AH11" s="7">
        <v>0.1611383655633673</v>
      </c>
      <c r="AI11" s="7">
        <v>0.31161962157655837</v>
      </c>
      <c r="AJ11" s="7">
        <v>0.25560729618490025</v>
      </c>
      <c r="AK11" s="7">
        <v>0</v>
      </c>
      <c r="AL11" s="7">
        <v>0.77876657596804877</v>
      </c>
      <c r="AM11" s="7">
        <v>0</v>
      </c>
      <c r="AN11" s="7">
        <v>7.0638696958121841E-4</v>
      </c>
      <c r="AO11" s="7">
        <v>0.1492163221454571</v>
      </c>
      <c r="AP11" s="7">
        <v>1.8768312937568759</v>
      </c>
      <c r="AQ11" s="7">
        <v>41.306791431037162</v>
      </c>
      <c r="AR11" s="7">
        <f t="shared" si="0"/>
        <v>44.112312009877122</v>
      </c>
      <c r="AS11" s="7">
        <v>51.352177307988804</v>
      </c>
    </row>
    <row r="12" spans="1:45" ht="15" x14ac:dyDescent="0.2">
      <c r="A12" s="5" t="s">
        <v>7</v>
      </c>
      <c r="B12" s="6" t="s">
        <v>49</v>
      </c>
      <c r="C12" s="7">
        <v>0.10150138620584716</v>
      </c>
      <c r="D12" s="7">
        <v>0</v>
      </c>
      <c r="E12" s="7">
        <v>8.0668317770506199</v>
      </c>
      <c r="F12" s="7">
        <v>6.2126068860420977E-2</v>
      </c>
      <c r="G12" s="7">
        <v>5.4448447152409409E-2</v>
      </c>
      <c r="H12" s="7">
        <v>8.0715573360882988</v>
      </c>
      <c r="I12" s="7">
        <v>6.0185841086825498</v>
      </c>
      <c r="J12" s="7">
        <v>5.189287247955666</v>
      </c>
      <c r="K12" s="7">
        <v>12.696714476596746</v>
      </c>
      <c r="L12" s="7">
        <v>0.45625736357050994</v>
      </c>
      <c r="M12" s="7">
        <v>0.66766917682285587</v>
      </c>
      <c r="N12" s="7">
        <v>12.317053962637045</v>
      </c>
      <c r="O12" s="7">
        <v>3.0791080271012423</v>
      </c>
      <c r="P12" s="7">
        <v>13.530913879490596</v>
      </c>
      <c r="Q12" s="7">
        <v>2.3809678625338471</v>
      </c>
      <c r="R12" s="7">
        <v>46.26467135720241</v>
      </c>
      <c r="S12" s="7">
        <v>0.58864787934882523</v>
      </c>
      <c r="T12" s="7">
        <v>16.174243975674781</v>
      </c>
      <c r="U12" s="7">
        <v>3.3526683839831629E-2</v>
      </c>
      <c r="V12" s="7">
        <v>0.84291599913869886</v>
      </c>
      <c r="W12" s="7">
        <v>1.0307112823384532</v>
      </c>
      <c r="X12" s="7">
        <v>0.17372327780860944</v>
      </c>
      <c r="Y12" s="7">
        <v>8.5716588104229746E-2</v>
      </c>
      <c r="Z12" s="7">
        <v>9.7209069725949074E-2</v>
      </c>
      <c r="AA12" s="7">
        <v>5.1411124887143396E-2</v>
      </c>
      <c r="AB12" s="7">
        <v>3.3202539820239556</v>
      </c>
      <c r="AC12" s="7">
        <v>8.5609458601676638E-2</v>
      </c>
      <c r="AD12" s="7">
        <v>0.21796239202954287</v>
      </c>
      <c r="AE12" s="7">
        <v>1.4690561558726201</v>
      </c>
      <c r="AF12" s="7">
        <v>5.1809430231660487</v>
      </c>
      <c r="AG12" s="7">
        <v>0.15563677006647345</v>
      </c>
      <c r="AH12" s="7">
        <v>3.0196105651976</v>
      </c>
      <c r="AI12" s="7">
        <v>1.4441188134158713</v>
      </c>
      <c r="AJ12" s="7">
        <v>0.20415835507162716</v>
      </c>
      <c r="AK12" s="7">
        <v>0</v>
      </c>
      <c r="AL12" s="7">
        <v>0.82156726305385464</v>
      </c>
      <c r="AM12" s="7">
        <v>0</v>
      </c>
      <c r="AN12" s="7">
        <v>0</v>
      </c>
      <c r="AO12" s="7">
        <v>0.58591021074925453</v>
      </c>
      <c r="AP12" s="7">
        <v>2.9646670726478233</v>
      </c>
      <c r="AQ12" s="7">
        <v>17.101130063938538</v>
      </c>
      <c r="AR12" s="7">
        <f t="shared" si="0"/>
        <v>21.47327461038947</v>
      </c>
      <c r="AS12" s="7">
        <v>174.60642248465248</v>
      </c>
    </row>
    <row r="13" spans="1:45" ht="15" x14ac:dyDescent="0.2">
      <c r="A13" s="5" t="s">
        <v>8</v>
      </c>
      <c r="B13" s="6" t="s">
        <v>50</v>
      </c>
      <c r="C13" s="7">
        <v>0.4463355983552274</v>
      </c>
      <c r="D13" s="7">
        <v>0</v>
      </c>
      <c r="E13" s="7">
        <v>62.767660683102001</v>
      </c>
      <c r="F13" s="7">
        <v>0.70333413443085147</v>
      </c>
      <c r="G13" s="7">
        <v>0.10568511433045198</v>
      </c>
      <c r="H13" s="7">
        <v>0.45669937353048889</v>
      </c>
      <c r="I13" s="7">
        <v>276.03506164928871</v>
      </c>
      <c r="J13" s="7">
        <v>22.640778141430847</v>
      </c>
      <c r="K13" s="7">
        <v>183.96000073619282</v>
      </c>
      <c r="L13" s="7">
        <v>6.3279362264765071</v>
      </c>
      <c r="M13" s="7">
        <v>1.7861945119359048</v>
      </c>
      <c r="N13" s="7">
        <v>21.550444259072439</v>
      </c>
      <c r="O13" s="7">
        <v>24.107939802226998</v>
      </c>
      <c r="P13" s="7">
        <v>342.08183104480173</v>
      </c>
      <c r="Q13" s="7">
        <v>28.023713060054344</v>
      </c>
      <c r="R13" s="7">
        <v>22.292125951823277</v>
      </c>
      <c r="S13" s="7">
        <v>11.019308497711327</v>
      </c>
      <c r="T13" s="7">
        <v>13.74243578433668</v>
      </c>
      <c r="U13" s="7">
        <v>16.252398586832754</v>
      </c>
      <c r="V13" s="7">
        <v>434.27341705254685</v>
      </c>
      <c r="W13" s="7">
        <v>52.09789628757644</v>
      </c>
      <c r="X13" s="7">
        <v>47.300657730066085</v>
      </c>
      <c r="Y13" s="7">
        <v>64.66390565963242</v>
      </c>
      <c r="Z13" s="7">
        <v>3.8133344304784407</v>
      </c>
      <c r="AA13" s="7">
        <v>8.8094908166583874</v>
      </c>
      <c r="AB13" s="7">
        <v>20.353117191410398</v>
      </c>
      <c r="AC13" s="7">
        <v>20.672736068678205</v>
      </c>
      <c r="AD13" s="7">
        <v>235.56676149740809</v>
      </c>
      <c r="AE13" s="7">
        <v>27.871490240660012</v>
      </c>
      <c r="AF13" s="7">
        <v>402.86202388538203</v>
      </c>
      <c r="AG13" s="7">
        <v>84.128953890360094</v>
      </c>
      <c r="AH13" s="7">
        <v>85.980782973333689</v>
      </c>
      <c r="AI13" s="7">
        <v>23.41148808846026</v>
      </c>
      <c r="AJ13" s="7">
        <v>95.860724255872043</v>
      </c>
      <c r="AK13" s="7">
        <v>0</v>
      </c>
      <c r="AL13" s="7">
        <v>54.01829221649853</v>
      </c>
      <c r="AM13" s="7">
        <v>0</v>
      </c>
      <c r="AN13" s="7">
        <v>53.911228075024162</v>
      </c>
      <c r="AO13" s="7">
        <v>56.337220117410439</v>
      </c>
      <c r="AP13" s="7">
        <v>29.940803757059072</v>
      </c>
      <c r="AQ13" s="7">
        <v>4381.3819521324003</v>
      </c>
      <c r="AR13" s="7">
        <f t="shared" si="0"/>
        <v>4575.589496298393</v>
      </c>
      <c r="AS13" s="7">
        <v>7217.5561595228501</v>
      </c>
    </row>
    <row r="14" spans="1:45" ht="15" x14ac:dyDescent="0.2">
      <c r="A14" s="5" t="s">
        <v>9</v>
      </c>
      <c r="B14" s="6" t="s">
        <v>51</v>
      </c>
      <c r="C14" s="7">
        <v>0.13417095667008802</v>
      </c>
      <c r="D14" s="7">
        <v>0</v>
      </c>
      <c r="E14" s="7">
        <v>45.114381250172983</v>
      </c>
      <c r="F14" s="7">
        <v>0.25905088312749802</v>
      </c>
      <c r="G14" s="7">
        <v>2.9332900238367713E-2</v>
      </c>
      <c r="H14" s="7">
        <v>3.8382913793973232E-2</v>
      </c>
      <c r="I14" s="7">
        <v>17.965745091002045</v>
      </c>
      <c r="J14" s="7">
        <v>844.6179818371802</v>
      </c>
      <c r="K14" s="7">
        <v>2805.4264648015155</v>
      </c>
      <c r="L14" s="7">
        <v>3.8023746475931355</v>
      </c>
      <c r="M14" s="7">
        <v>14.313020566875707</v>
      </c>
      <c r="N14" s="7">
        <v>44.780875203137356</v>
      </c>
      <c r="O14" s="7">
        <v>28.59450837091341</v>
      </c>
      <c r="P14" s="7">
        <v>578.18533179099938</v>
      </c>
      <c r="Q14" s="7">
        <v>44.439867135563482</v>
      </c>
      <c r="R14" s="7">
        <v>0.55717225550621385</v>
      </c>
      <c r="S14" s="7">
        <v>83.757725851269882</v>
      </c>
      <c r="T14" s="7">
        <v>195.32907423479764</v>
      </c>
      <c r="U14" s="7">
        <v>17.15093554809679</v>
      </c>
      <c r="V14" s="7">
        <v>468.74260540004263</v>
      </c>
      <c r="W14" s="7">
        <v>11.319344059279475</v>
      </c>
      <c r="X14" s="7">
        <v>68.889094324574984</v>
      </c>
      <c r="Y14" s="7">
        <v>325.62184034972768</v>
      </c>
      <c r="Z14" s="7">
        <v>2248.356692790614</v>
      </c>
      <c r="AA14" s="7">
        <v>538.12460849331887</v>
      </c>
      <c r="AB14" s="7">
        <v>153.32597869751055</v>
      </c>
      <c r="AC14" s="7">
        <v>15.691046731825283</v>
      </c>
      <c r="AD14" s="7">
        <v>21.502181742001689</v>
      </c>
      <c r="AE14" s="7">
        <v>32.742529111094044</v>
      </c>
      <c r="AF14" s="7">
        <v>193.07259742710104</v>
      </c>
      <c r="AG14" s="7">
        <v>51.954519250145204</v>
      </c>
      <c r="AH14" s="7">
        <v>9.5668934264728289</v>
      </c>
      <c r="AI14" s="7">
        <v>22.842610201930242</v>
      </c>
      <c r="AJ14" s="7">
        <v>48.062690503083452</v>
      </c>
      <c r="AK14" s="7">
        <v>0</v>
      </c>
      <c r="AL14" s="7">
        <v>45.748718388883276</v>
      </c>
      <c r="AM14" s="7">
        <v>0</v>
      </c>
      <c r="AN14" s="7">
        <v>0.57621507854280452</v>
      </c>
      <c r="AO14" s="7">
        <v>5.9958109307382355</v>
      </c>
      <c r="AP14" s="7">
        <v>1282.6554242578652</v>
      </c>
      <c r="AQ14" s="7">
        <v>11725.2437052445</v>
      </c>
      <c r="AR14" s="7">
        <f t="shared" si="0"/>
        <v>13060.219873900529</v>
      </c>
      <c r="AS14" s="7">
        <v>21994.531502647704</v>
      </c>
    </row>
    <row r="15" spans="1:45" ht="15" x14ac:dyDescent="0.2">
      <c r="A15" s="5" t="s">
        <v>10</v>
      </c>
      <c r="B15" s="6" t="s">
        <v>52</v>
      </c>
      <c r="C15" s="7">
        <v>3.1951711712607191</v>
      </c>
      <c r="D15" s="7">
        <v>0</v>
      </c>
      <c r="E15" s="7">
        <v>151.65226600833554</v>
      </c>
      <c r="F15" s="7">
        <v>3.1395034206039938</v>
      </c>
      <c r="G15" s="7">
        <v>0.45123623785600409</v>
      </c>
      <c r="H15" s="7">
        <v>3.6285937603791769</v>
      </c>
      <c r="I15" s="7">
        <v>144.90666307714531</v>
      </c>
      <c r="J15" s="7">
        <v>819.71838697553585</v>
      </c>
      <c r="K15" s="7">
        <v>11896.625567896217</v>
      </c>
      <c r="L15" s="7">
        <v>355.76322601077061</v>
      </c>
      <c r="M15" s="7">
        <v>38.874930806308498</v>
      </c>
      <c r="N15" s="7">
        <v>106.61370621279453</v>
      </c>
      <c r="O15" s="7">
        <v>103.47551825165981</v>
      </c>
      <c r="P15" s="7">
        <v>2763.6376950932026</v>
      </c>
      <c r="Q15" s="7">
        <v>28.321024653728621</v>
      </c>
      <c r="R15" s="7">
        <v>104.97749749770593</v>
      </c>
      <c r="S15" s="7">
        <v>24.287396224712861</v>
      </c>
      <c r="T15" s="7">
        <v>86.383892771724177</v>
      </c>
      <c r="U15" s="7">
        <v>9.5446214011593966</v>
      </c>
      <c r="V15" s="7">
        <v>256.61787191437418</v>
      </c>
      <c r="W15" s="7">
        <v>153.47077580455618</v>
      </c>
      <c r="X15" s="7">
        <v>20.04156762676153</v>
      </c>
      <c r="Y15" s="7">
        <v>5.13316258696993</v>
      </c>
      <c r="Z15" s="7">
        <v>6.5780204885556701</v>
      </c>
      <c r="AA15" s="7">
        <v>3.6066646929076622</v>
      </c>
      <c r="AB15" s="7">
        <v>32.728142424793504</v>
      </c>
      <c r="AC15" s="7">
        <v>19.667693265023175</v>
      </c>
      <c r="AD15" s="7">
        <v>36.681089763505682</v>
      </c>
      <c r="AE15" s="7">
        <v>23.50461857493557</v>
      </c>
      <c r="AF15" s="7">
        <v>405.51277485611473</v>
      </c>
      <c r="AG15" s="7">
        <v>41.773283802648791</v>
      </c>
      <c r="AH15" s="7">
        <v>41.933151480314528</v>
      </c>
      <c r="AI15" s="7">
        <v>343.34929720953835</v>
      </c>
      <c r="AJ15" s="7">
        <v>81.134381568104502</v>
      </c>
      <c r="AK15" s="7">
        <v>0</v>
      </c>
      <c r="AL15" s="7">
        <v>155.67303833989087</v>
      </c>
      <c r="AM15" s="7">
        <v>0</v>
      </c>
      <c r="AN15" s="7">
        <v>2.3108287427950933</v>
      </c>
      <c r="AO15" s="7">
        <v>139.35669321973324</v>
      </c>
      <c r="AP15" s="7">
        <v>973.6481425164701</v>
      </c>
      <c r="AQ15" s="7">
        <v>31924.982631914558</v>
      </c>
      <c r="AR15" s="7">
        <f t="shared" si="0"/>
        <v>33195.971334733447</v>
      </c>
      <c r="AS15" s="7">
        <v>51312.900728263645</v>
      </c>
    </row>
    <row r="16" spans="1:45" ht="15" x14ac:dyDescent="0.2">
      <c r="A16" s="5" t="s">
        <v>11</v>
      </c>
      <c r="B16" s="6" t="s">
        <v>53</v>
      </c>
      <c r="C16" s="7">
        <v>1.0381539051530524</v>
      </c>
      <c r="D16" s="7">
        <v>0</v>
      </c>
      <c r="E16" s="7">
        <v>23.484240235477866</v>
      </c>
      <c r="F16" s="7">
        <v>0.22019567828185441</v>
      </c>
      <c r="G16" s="7">
        <v>2.9376891551169609E-2</v>
      </c>
      <c r="H16" s="7">
        <v>1.6288370133113275</v>
      </c>
      <c r="I16" s="7">
        <v>18.392186415624419</v>
      </c>
      <c r="J16" s="7">
        <v>13.784533406897562</v>
      </c>
      <c r="K16" s="7">
        <v>71.655398029469609</v>
      </c>
      <c r="L16" s="7">
        <v>69.492288342620938</v>
      </c>
      <c r="M16" s="7">
        <v>0.47961703611648954</v>
      </c>
      <c r="N16" s="7">
        <v>10.26042549915592</v>
      </c>
      <c r="O16" s="7">
        <v>41.774674724454655</v>
      </c>
      <c r="P16" s="7">
        <v>313.25891071781581</v>
      </c>
      <c r="Q16" s="7">
        <v>17.265988878049228</v>
      </c>
      <c r="R16" s="7">
        <v>17.872983439307419</v>
      </c>
      <c r="S16" s="7">
        <v>2.8729405752790322</v>
      </c>
      <c r="T16" s="7">
        <v>32.315636414866674</v>
      </c>
      <c r="U16" s="7">
        <v>1.0125212362557212</v>
      </c>
      <c r="V16" s="7">
        <v>27.295180596046176</v>
      </c>
      <c r="W16" s="7">
        <v>38.441680593570986</v>
      </c>
      <c r="X16" s="7">
        <v>7.8141340794760206</v>
      </c>
      <c r="Y16" s="7">
        <v>1.7623037082482347</v>
      </c>
      <c r="Z16" s="7">
        <v>0.72369370045238268</v>
      </c>
      <c r="AA16" s="7">
        <v>0.69019362859364619</v>
      </c>
      <c r="AB16" s="7">
        <v>5.7190820128640096</v>
      </c>
      <c r="AC16" s="7">
        <v>5.7626853621879697</v>
      </c>
      <c r="AD16" s="7">
        <v>4.6432698293374264</v>
      </c>
      <c r="AE16" s="7">
        <v>1.0124096568348953</v>
      </c>
      <c r="AF16" s="7">
        <v>30.040082086621737</v>
      </c>
      <c r="AG16" s="7">
        <v>4.1398273541227182</v>
      </c>
      <c r="AH16" s="7">
        <v>13.31147333286609</v>
      </c>
      <c r="AI16" s="7">
        <v>1.4603939761962803</v>
      </c>
      <c r="AJ16" s="7">
        <v>9.1804673349716985</v>
      </c>
      <c r="AK16" s="7">
        <v>0</v>
      </c>
      <c r="AL16" s="7">
        <v>11.531507662008597</v>
      </c>
      <c r="AM16" s="7">
        <v>0</v>
      </c>
      <c r="AN16" s="7">
        <v>4.9880187782623556E-2</v>
      </c>
      <c r="AO16" s="7">
        <v>15.422322141271838</v>
      </c>
      <c r="AP16" s="7">
        <v>18.128815794849093</v>
      </c>
      <c r="AQ16" s="7">
        <v>598.94019924399799</v>
      </c>
      <c r="AR16" s="7">
        <f t="shared" si="0"/>
        <v>644.07272502991009</v>
      </c>
      <c r="AS16" s="7">
        <v>1432.9085107219892</v>
      </c>
    </row>
    <row r="17" spans="1:45" ht="15" x14ac:dyDescent="0.2">
      <c r="A17" s="5" t="s">
        <v>12</v>
      </c>
      <c r="B17" s="6" t="s">
        <v>54</v>
      </c>
      <c r="C17" s="7">
        <v>3.2410272982485951E-2</v>
      </c>
      <c r="D17" s="7">
        <v>0</v>
      </c>
      <c r="E17" s="7">
        <v>1.7869377895087675</v>
      </c>
      <c r="F17" s="7">
        <v>2.1622084857241012E-3</v>
      </c>
      <c r="G17" s="7">
        <v>4.9676491902444608E-4</v>
      </c>
      <c r="H17" s="7">
        <v>2.8127928903995893E-3</v>
      </c>
      <c r="I17" s="7">
        <v>0.34272646905751153</v>
      </c>
      <c r="J17" s="7">
        <v>4.9044123755295903</v>
      </c>
      <c r="K17" s="7">
        <v>12.290646794333805</v>
      </c>
      <c r="L17" s="7">
        <v>2.5484099248974549E-2</v>
      </c>
      <c r="M17" s="7">
        <v>5.2527564447039516</v>
      </c>
      <c r="N17" s="7">
        <v>2.4002705536296438</v>
      </c>
      <c r="O17" s="7">
        <v>0.5747855993145925</v>
      </c>
      <c r="P17" s="7">
        <v>58.798739535018044</v>
      </c>
      <c r="Q17" s="7">
        <v>1.4815433222900058</v>
      </c>
      <c r="R17" s="7">
        <v>0.42589075970538182</v>
      </c>
      <c r="S17" s="7">
        <v>1.2185042817876288</v>
      </c>
      <c r="T17" s="7">
        <v>404.54502896219884</v>
      </c>
      <c r="U17" s="7">
        <v>0.23594127706535675</v>
      </c>
      <c r="V17" s="7">
        <v>6.2891714588248897</v>
      </c>
      <c r="W17" s="7">
        <v>1.6543704458949731</v>
      </c>
      <c r="X17" s="7">
        <v>0.24727260063995007</v>
      </c>
      <c r="Y17" s="7">
        <v>1.3789315152123773</v>
      </c>
      <c r="Z17" s="7">
        <v>1.6257884702496408</v>
      </c>
      <c r="AA17" s="7">
        <v>9.3236691793758375E-2</v>
      </c>
      <c r="AB17" s="7">
        <v>0.24613516578057001</v>
      </c>
      <c r="AC17" s="7">
        <v>1.5518313313649059</v>
      </c>
      <c r="AD17" s="7">
        <v>0.41462161206080961</v>
      </c>
      <c r="AE17" s="7">
        <v>0.16767098901390956</v>
      </c>
      <c r="AF17" s="7">
        <v>13.038189290827582</v>
      </c>
      <c r="AG17" s="7">
        <v>0.68028366283766395</v>
      </c>
      <c r="AH17" s="7">
        <v>0.10344025043019876</v>
      </c>
      <c r="AI17" s="7">
        <v>0.88570607460060047</v>
      </c>
      <c r="AJ17" s="7">
        <v>1.0482856534687819</v>
      </c>
      <c r="AK17" s="7">
        <v>0</v>
      </c>
      <c r="AL17" s="7">
        <v>1.371265061271133</v>
      </c>
      <c r="AM17" s="7">
        <v>0</v>
      </c>
      <c r="AN17" s="7">
        <v>0.1959652489980227</v>
      </c>
      <c r="AO17" s="7">
        <v>3.6367139995662896</v>
      </c>
      <c r="AP17" s="7">
        <v>51.773610867374686</v>
      </c>
      <c r="AQ17" s="7">
        <v>205.13502939611209</v>
      </c>
      <c r="AR17" s="7">
        <f t="shared" si="0"/>
        <v>262.11258457332224</v>
      </c>
      <c r="AS17" s="7">
        <v>785.85907008899289</v>
      </c>
    </row>
    <row r="18" spans="1:45" ht="15" x14ac:dyDescent="0.2">
      <c r="A18" s="5" t="s">
        <v>13</v>
      </c>
      <c r="B18" s="6" t="s">
        <v>55</v>
      </c>
      <c r="C18" s="7">
        <v>0.18914021834164088</v>
      </c>
      <c r="D18" s="7">
        <v>0</v>
      </c>
      <c r="E18" s="7">
        <v>43.207588235204767</v>
      </c>
      <c r="F18" s="7">
        <v>0.42384358385189541</v>
      </c>
      <c r="G18" s="7">
        <v>0.77983086191396589</v>
      </c>
      <c r="H18" s="7">
        <v>1.3139182493062804</v>
      </c>
      <c r="I18" s="7">
        <v>8.0586250576266831</v>
      </c>
      <c r="J18" s="7">
        <v>38.217001348063746</v>
      </c>
      <c r="K18" s="7">
        <v>160.84594131377671</v>
      </c>
      <c r="L18" s="7">
        <v>6.4418880820738211</v>
      </c>
      <c r="M18" s="7">
        <v>2.1155967939999698</v>
      </c>
      <c r="N18" s="7">
        <v>620.79617361765236</v>
      </c>
      <c r="O18" s="7">
        <v>338.72070443467175</v>
      </c>
      <c r="P18" s="7">
        <v>674.97755721702072</v>
      </c>
      <c r="Q18" s="7">
        <v>184.37269840822256</v>
      </c>
      <c r="R18" s="7">
        <v>28.697050462056691</v>
      </c>
      <c r="S18" s="7">
        <v>5.7353380609515208</v>
      </c>
      <c r="T18" s="7">
        <v>730.33475191052707</v>
      </c>
      <c r="U18" s="7">
        <v>1.6592053716096684</v>
      </c>
      <c r="V18" s="7">
        <v>45.072641868108896</v>
      </c>
      <c r="W18" s="7">
        <v>16.239442949849884</v>
      </c>
      <c r="X18" s="7">
        <v>1.6726604066307067</v>
      </c>
      <c r="Y18" s="7">
        <v>3.0698183573544173</v>
      </c>
      <c r="Z18" s="7">
        <v>1.962553501593185</v>
      </c>
      <c r="AA18" s="7">
        <v>0.59222641645240848</v>
      </c>
      <c r="AB18" s="7">
        <v>14.333818879811355</v>
      </c>
      <c r="AC18" s="7">
        <v>5.157805907123147</v>
      </c>
      <c r="AD18" s="7">
        <v>5.0165831971602337</v>
      </c>
      <c r="AE18" s="7">
        <v>5.1993442181437768</v>
      </c>
      <c r="AF18" s="7">
        <v>195.5727954931491</v>
      </c>
      <c r="AG18" s="7">
        <v>61.450615230166633</v>
      </c>
      <c r="AH18" s="7">
        <v>1.4439076869419025</v>
      </c>
      <c r="AI18" s="7">
        <v>3.199038775268058</v>
      </c>
      <c r="AJ18" s="7">
        <v>24.955692648276539</v>
      </c>
      <c r="AK18" s="7">
        <v>0</v>
      </c>
      <c r="AL18" s="7">
        <v>17.930713935377</v>
      </c>
      <c r="AM18" s="7">
        <v>0</v>
      </c>
      <c r="AN18" s="7">
        <v>0.85830419597556051</v>
      </c>
      <c r="AO18" s="7">
        <v>86.66491432393029</v>
      </c>
      <c r="AP18" s="7">
        <v>20.410119972258933</v>
      </c>
      <c r="AQ18" s="7">
        <v>3027.9049453783182</v>
      </c>
      <c r="AR18" s="7">
        <f t="shared" si="0"/>
        <v>3153.7689978058602</v>
      </c>
      <c r="AS18" s="7">
        <v>6385.594796568761</v>
      </c>
    </row>
    <row r="19" spans="1:45" ht="15" x14ac:dyDescent="0.2">
      <c r="A19" s="5" t="s">
        <v>14</v>
      </c>
      <c r="B19" s="6" t="s">
        <v>56</v>
      </c>
      <c r="C19" s="7">
        <v>0.12006132200631882</v>
      </c>
      <c r="D19" s="7">
        <v>0</v>
      </c>
      <c r="E19" s="7">
        <v>7.1678610251872623</v>
      </c>
      <c r="F19" s="7">
        <v>0.22824940671166991</v>
      </c>
      <c r="G19" s="7">
        <v>3.7367611118150776E-2</v>
      </c>
      <c r="H19" s="7">
        <v>0.79021099826297914</v>
      </c>
      <c r="I19" s="7">
        <v>51.754370639084854</v>
      </c>
      <c r="J19" s="7">
        <v>60.206939120483696</v>
      </c>
      <c r="K19" s="7">
        <v>61.79149619832527</v>
      </c>
      <c r="L19" s="7">
        <v>3.9951175285414258</v>
      </c>
      <c r="M19" s="7">
        <v>2.5907671563513062</v>
      </c>
      <c r="N19" s="7">
        <v>115.64066614016348</v>
      </c>
      <c r="O19" s="7">
        <v>1853.4993822769186</v>
      </c>
      <c r="P19" s="7">
        <v>1273.2591592890938</v>
      </c>
      <c r="Q19" s="7">
        <v>283.99492251586054</v>
      </c>
      <c r="R19" s="7">
        <v>2.6692064150136425</v>
      </c>
      <c r="S19" s="7">
        <v>20.36146583697969</v>
      </c>
      <c r="T19" s="7">
        <v>263.59569350709</v>
      </c>
      <c r="U19" s="7">
        <v>1.1281855375506467</v>
      </c>
      <c r="V19" s="7">
        <v>29.027683529238967</v>
      </c>
      <c r="W19" s="7">
        <v>43.114640239091926</v>
      </c>
      <c r="X19" s="7">
        <v>4.6236124776792824</v>
      </c>
      <c r="Y19" s="7">
        <v>6.2529855469773352</v>
      </c>
      <c r="Z19" s="7">
        <v>54.397360277141892</v>
      </c>
      <c r="AA19" s="7">
        <v>2.4536724071257683</v>
      </c>
      <c r="AB19" s="7">
        <v>54.87792446465064</v>
      </c>
      <c r="AC19" s="7">
        <v>29.7344812302048</v>
      </c>
      <c r="AD19" s="7">
        <v>14.806667912030914</v>
      </c>
      <c r="AE19" s="7">
        <v>133.02899339035093</v>
      </c>
      <c r="AF19" s="7">
        <v>331.11494360015263</v>
      </c>
      <c r="AG19" s="7">
        <v>49.696175265692062</v>
      </c>
      <c r="AH19" s="7">
        <v>12.432100508922019</v>
      </c>
      <c r="AI19" s="7">
        <v>8.3869505749987781</v>
      </c>
      <c r="AJ19" s="7">
        <v>24.31846792787076</v>
      </c>
      <c r="AK19" s="7">
        <v>0</v>
      </c>
      <c r="AL19" s="7">
        <v>5.884627453402393</v>
      </c>
      <c r="AM19" s="7">
        <v>0</v>
      </c>
      <c r="AN19" s="7">
        <v>43.419925998664894</v>
      </c>
      <c r="AO19" s="7">
        <v>313.81318444022037</v>
      </c>
      <c r="AP19" s="7">
        <v>104.15538072736918</v>
      </c>
      <c r="AQ19" s="7">
        <v>6951.4810411060635</v>
      </c>
      <c r="AR19" s="7">
        <f t="shared" si="0"/>
        <v>7418.7541597257205</v>
      </c>
      <c r="AS19" s="7">
        <v>12219.851941602592</v>
      </c>
    </row>
    <row r="20" spans="1:45" ht="15" x14ac:dyDescent="0.2">
      <c r="A20" s="5" t="s">
        <v>15</v>
      </c>
      <c r="B20" s="6" t="s">
        <v>57</v>
      </c>
      <c r="C20" s="7">
        <v>0.60116614842289662</v>
      </c>
      <c r="D20" s="7">
        <v>0</v>
      </c>
      <c r="E20" s="7">
        <v>26.91892277196386</v>
      </c>
      <c r="F20" s="7">
        <v>1.1593150086303594</v>
      </c>
      <c r="G20" s="7">
        <v>0.25882703005634305</v>
      </c>
      <c r="H20" s="7">
        <v>1.1420082167862773</v>
      </c>
      <c r="I20" s="7">
        <v>54.849846857438862</v>
      </c>
      <c r="J20" s="7">
        <v>219.7288015525607</v>
      </c>
      <c r="K20" s="7">
        <v>154.13993402614528</v>
      </c>
      <c r="L20" s="7">
        <v>14.451295764923318</v>
      </c>
      <c r="M20" s="7">
        <v>3.3856706205716272</v>
      </c>
      <c r="N20" s="7">
        <v>60.118400135363032</v>
      </c>
      <c r="O20" s="7">
        <v>244.56613949342562</v>
      </c>
      <c r="P20" s="7">
        <v>23678.318307936315</v>
      </c>
      <c r="Q20" s="7">
        <v>176.50301324594838</v>
      </c>
      <c r="R20" s="7">
        <v>20.348763092792133</v>
      </c>
      <c r="S20" s="7">
        <v>70.620130721542978</v>
      </c>
      <c r="T20" s="7">
        <v>202.96044516270558</v>
      </c>
      <c r="U20" s="7">
        <v>22.227887470317263</v>
      </c>
      <c r="V20" s="7">
        <v>603.78926867830876</v>
      </c>
      <c r="W20" s="7">
        <v>192.54576063435132</v>
      </c>
      <c r="X20" s="7">
        <v>42.132562481663093</v>
      </c>
      <c r="Y20" s="7">
        <v>11.723107053884057</v>
      </c>
      <c r="Z20" s="7">
        <v>24.854433380310979</v>
      </c>
      <c r="AA20" s="7">
        <v>14.143059302955837</v>
      </c>
      <c r="AB20" s="7">
        <v>29.446176728667318</v>
      </c>
      <c r="AC20" s="7">
        <v>381.46617176086829</v>
      </c>
      <c r="AD20" s="7">
        <v>74.023994146672209</v>
      </c>
      <c r="AE20" s="7">
        <v>86.12724571725326</v>
      </c>
      <c r="AF20" s="7">
        <v>2043.6333876882138</v>
      </c>
      <c r="AG20" s="7">
        <v>192.10530270006151</v>
      </c>
      <c r="AH20" s="7">
        <v>93.07200211377679</v>
      </c>
      <c r="AI20" s="7">
        <v>273.48531572833326</v>
      </c>
      <c r="AJ20" s="7">
        <v>248.58232605001893</v>
      </c>
      <c r="AK20" s="7">
        <v>0</v>
      </c>
      <c r="AL20" s="7">
        <v>259.88621529862462</v>
      </c>
      <c r="AM20" s="7">
        <v>0</v>
      </c>
      <c r="AN20" s="7">
        <v>45.310806026808912</v>
      </c>
      <c r="AO20" s="7">
        <v>4473.4076382664989</v>
      </c>
      <c r="AP20" s="7">
        <v>3477.6373338030266</v>
      </c>
      <c r="AQ20" s="7">
        <v>87565.848258956496</v>
      </c>
      <c r="AR20" s="7">
        <f t="shared" si="0"/>
        <v>95822.090252351452</v>
      </c>
      <c r="AS20" s="7">
        <v>125085.51924177269</v>
      </c>
    </row>
    <row r="21" spans="1:45" ht="15" x14ac:dyDescent="0.2">
      <c r="A21" s="5" t="s">
        <v>16</v>
      </c>
      <c r="B21" s="6" t="s">
        <v>58</v>
      </c>
      <c r="C21" s="7">
        <v>0.15735701670785426</v>
      </c>
      <c r="D21" s="7">
        <v>0</v>
      </c>
      <c r="E21" s="7">
        <v>3.4067420654995728</v>
      </c>
      <c r="F21" s="7">
        <v>0.22090407103129983</v>
      </c>
      <c r="G21" s="7">
        <v>3.2346574919760097E-2</v>
      </c>
      <c r="H21" s="7">
        <v>0.21072409931848424</v>
      </c>
      <c r="I21" s="7">
        <v>1.5507024006771009</v>
      </c>
      <c r="J21" s="7">
        <v>8.5680949013495802</v>
      </c>
      <c r="K21" s="7">
        <v>15.31944424400964</v>
      </c>
      <c r="L21" s="7">
        <v>0.77698403835321406</v>
      </c>
      <c r="M21" s="7">
        <v>1.00129846632909</v>
      </c>
      <c r="N21" s="7">
        <v>8.7370088130605179</v>
      </c>
      <c r="O21" s="7">
        <v>622.25925863707175</v>
      </c>
      <c r="P21" s="7">
        <v>98.326112008074105</v>
      </c>
      <c r="Q21" s="7">
        <v>1302.3613432202899</v>
      </c>
      <c r="R21" s="7">
        <v>1.2501739914034098</v>
      </c>
      <c r="S21" s="7">
        <v>2.2881311232870782</v>
      </c>
      <c r="T21" s="7">
        <v>13.967823600942829</v>
      </c>
      <c r="U21" s="7">
        <v>1.3484242204101591</v>
      </c>
      <c r="V21" s="7">
        <v>35.620439249063772</v>
      </c>
      <c r="W21" s="7">
        <v>28.349262850536075</v>
      </c>
      <c r="X21" s="7">
        <v>4.0380895798988705</v>
      </c>
      <c r="Y21" s="7">
        <v>11.427863794096343</v>
      </c>
      <c r="Z21" s="7">
        <v>200.43564407923259</v>
      </c>
      <c r="AA21" s="7">
        <v>176.72119550810001</v>
      </c>
      <c r="AB21" s="7">
        <v>48.684164135006995</v>
      </c>
      <c r="AC21" s="7">
        <v>4.1624309413462273</v>
      </c>
      <c r="AD21" s="7">
        <v>21.057360120888713</v>
      </c>
      <c r="AE21" s="7">
        <v>9.1093484156136224</v>
      </c>
      <c r="AF21" s="7">
        <v>52.188848125848594</v>
      </c>
      <c r="AG21" s="7">
        <v>309.35442720643459</v>
      </c>
      <c r="AH21" s="7">
        <v>2.1248230276079072</v>
      </c>
      <c r="AI21" s="7">
        <v>4.2347105077129052</v>
      </c>
      <c r="AJ21" s="7">
        <v>9.8660668759291905</v>
      </c>
      <c r="AK21" s="7">
        <v>0</v>
      </c>
      <c r="AL21" s="7">
        <v>19.22186313957187</v>
      </c>
      <c r="AM21" s="7">
        <v>0</v>
      </c>
      <c r="AN21" s="7">
        <v>1.0859313337207281</v>
      </c>
      <c r="AO21" s="7">
        <v>258.97049726723679</v>
      </c>
      <c r="AP21" s="7">
        <v>95.163957687014857</v>
      </c>
      <c r="AQ21" s="7">
        <v>10029.115106719169</v>
      </c>
      <c r="AR21" s="7">
        <f t="shared" si="0"/>
        <v>10403.557356146714</v>
      </c>
      <c r="AS21" s="7">
        <v>13402.714904056766</v>
      </c>
    </row>
    <row r="22" spans="1:45" ht="15" x14ac:dyDescent="0.2">
      <c r="A22" s="5" t="s">
        <v>17</v>
      </c>
      <c r="B22" s="6" t="s">
        <v>59</v>
      </c>
      <c r="C22" s="7">
        <v>0.15056824188535325</v>
      </c>
      <c r="D22" s="7">
        <v>0</v>
      </c>
      <c r="E22" s="7">
        <v>3.7369471975180244</v>
      </c>
      <c r="F22" s="7">
        <v>0.47510610716536833</v>
      </c>
      <c r="G22" s="7">
        <v>5.4288092006222206E-2</v>
      </c>
      <c r="H22" s="7">
        <v>0.21172996197336413</v>
      </c>
      <c r="I22" s="7">
        <v>3.1812100471705032</v>
      </c>
      <c r="J22" s="7">
        <v>14.688106485642423</v>
      </c>
      <c r="K22" s="7">
        <v>19.405326798198228</v>
      </c>
      <c r="L22" s="7">
        <v>1.2939238133010902</v>
      </c>
      <c r="M22" s="7">
        <v>0.31923948370233213</v>
      </c>
      <c r="N22" s="7">
        <v>22.430244699184563</v>
      </c>
      <c r="O22" s="7">
        <v>6.0579885831809879</v>
      </c>
      <c r="P22" s="7">
        <v>90.667430938203893</v>
      </c>
      <c r="Q22" s="7">
        <v>7.8800752719821334</v>
      </c>
      <c r="R22" s="7">
        <v>123.69280813871171</v>
      </c>
      <c r="S22" s="7">
        <v>2.0719627826414806</v>
      </c>
      <c r="T22" s="7">
        <v>106.2746554444664</v>
      </c>
      <c r="U22" s="7">
        <v>1.1399921986876047</v>
      </c>
      <c r="V22" s="7">
        <v>30.561805677684518</v>
      </c>
      <c r="W22" s="7">
        <v>19.196216270079926</v>
      </c>
      <c r="X22" s="7">
        <v>27.244790130572728</v>
      </c>
      <c r="Y22" s="7">
        <v>0.83819416557981574</v>
      </c>
      <c r="Z22" s="7">
        <v>2.3656819085596563</v>
      </c>
      <c r="AA22" s="7">
        <v>1.7732401683947148</v>
      </c>
      <c r="AB22" s="7">
        <v>3.4358696902808541</v>
      </c>
      <c r="AC22" s="7">
        <v>8.2927803948112562</v>
      </c>
      <c r="AD22" s="7">
        <v>28.289745621718762</v>
      </c>
      <c r="AE22" s="7">
        <v>6.3532379636473602</v>
      </c>
      <c r="AF22" s="7">
        <v>155.38208723318158</v>
      </c>
      <c r="AG22" s="7">
        <v>7.6583768226425919</v>
      </c>
      <c r="AH22" s="7">
        <v>23.337846687834137</v>
      </c>
      <c r="AI22" s="7">
        <v>10.428755905410613</v>
      </c>
      <c r="AJ22" s="7">
        <v>28.485666976030913</v>
      </c>
      <c r="AK22" s="7">
        <v>0</v>
      </c>
      <c r="AL22" s="7">
        <v>139.75227635324126</v>
      </c>
      <c r="AM22" s="7">
        <v>0</v>
      </c>
      <c r="AN22" s="7">
        <v>0.27746039829646918</v>
      </c>
      <c r="AO22" s="7">
        <v>215.86603145647717</v>
      </c>
      <c r="AP22" s="7">
        <v>61.547339173470363</v>
      </c>
      <c r="AQ22" s="7">
        <v>952.14233950634116</v>
      </c>
      <c r="AR22" s="7">
        <f t="shared" si="0"/>
        <v>1369.5854468878265</v>
      </c>
      <c r="AS22" s="7">
        <v>2126.9613467898776</v>
      </c>
    </row>
    <row r="23" spans="1:45" ht="15" x14ac:dyDescent="0.2">
      <c r="A23" s="5" t="s">
        <v>18</v>
      </c>
      <c r="B23" s="6" t="s">
        <v>60</v>
      </c>
      <c r="C23" s="7">
        <v>13.550841158324905</v>
      </c>
      <c r="D23" s="7">
        <v>0</v>
      </c>
      <c r="E23" s="7">
        <v>136.77881498830021</v>
      </c>
      <c r="F23" s="7">
        <v>2.9452482445514914</v>
      </c>
      <c r="G23" s="7">
        <v>0.7315347744890367</v>
      </c>
      <c r="H23" s="7">
        <v>2.692789722229179</v>
      </c>
      <c r="I23" s="7">
        <v>28.840068618215451</v>
      </c>
      <c r="J23" s="7">
        <v>612.42448859522904</v>
      </c>
      <c r="K23" s="7">
        <v>1117.2728064177488</v>
      </c>
      <c r="L23" s="7">
        <v>34.074772498457868</v>
      </c>
      <c r="M23" s="7">
        <v>14.83900844297202</v>
      </c>
      <c r="N23" s="7">
        <v>169.32722231675547</v>
      </c>
      <c r="O23" s="7">
        <v>159.2909167411776</v>
      </c>
      <c r="P23" s="7">
        <v>1276.9593899912938</v>
      </c>
      <c r="Q23" s="7">
        <v>159.0167476358867</v>
      </c>
      <c r="R23" s="7">
        <v>16.550347481446206</v>
      </c>
      <c r="S23" s="7">
        <v>2815.0083742677066</v>
      </c>
      <c r="T23" s="7">
        <v>146.46924758018707</v>
      </c>
      <c r="U23" s="7">
        <v>11.375994706819679</v>
      </c>
      <c r="V23" s="7">
        <v>270.05595358427411</v>
      </c>
      <c r="W23" s="7">
        <v>172.90024661406954</v>
      </c>
      <c r="X23" s="7">
        <v>401.8728811026952</v>
      </c>
      <c r="Y23" s="7">
        <v>75.641556084859275</v>
      </c>
      <c r="Z23" s="7">
        <v>25.052135955158914</v>
      </c>
      <c r="AA23" s="7">
        <v>8.3441722671072345</v>
      </c>
      <c r="AB23" s="7">
        <v>145.77929330882941</v>
      </c>
      <c r="AC23" s="7">
        <v>88.299106478312225</v>
      </c>
      <c r="AD23" s="7">
        <v>94.336172476110733</v>
      </c>
      <c r="AE23" s="7">
        <v>372.70597175237822</v>
      </c>
      <c r="AF23" s="7">
        <v>258.02401171498508</v>
      </c>
      <c r="AG23" s="7">
        <v>525.65506403310883</v>
      </c>
      <c r="AH23" s="7">
        <v>139.18651685076048</v>
      </c>
      <c r="AI23" s="7">
        <v>152.94887659379327</v>
      </c>
      <c r="AJ23" s="7">
        <v>245.43932765470578</v>
      </c>
      <c r="AK23" s="7">
        <v>0</v>
      </c>
      <c r="AL23" s="7">
        <v>493.27722463391507</v>
      </c>
      <c r="AM23" s="7">
        <v>0</v>
      </c>
      <c r="AN23" s="7">
        <v>0.63085867156670938</v>
      </c>
      <c r="AO23" s="7">
        <v>22.006539916638992</v>
      </c>
      <c r="AP23" s="7">
        <v>86.238627309693811</v>
      </c>
      <c r="AQ23" s="7">
        <v>366.03914993097573</v>
      </c>
      <c r="AR23" s="7">
        <f t="shared" si="0"/>
        <v>968.19240046279037</v>
      </c>
      <c r="AS23" s="7">
        <v>10662.582301115726</v>
      </c>
    </row>
    <row r="24" spans="1:45" ht="15" x14ac:dyDescent="0.2">
      <c r="A24" s="5" t="s">
        <v>19</v>
      </c>
      <c r="B24" s="6" t="s">
        <v>61</v>
      </c>
      <c r="C24" s="7">
        <v>0.22282858653859097</v>
      </c>
      <c r="D24" s="7">
        <v>0</v>
      </c>
      <c r="E24" s="7">
        <v>22.724838315435729</v>
      </c>
      <c r="F24" s="7">
        <v>0.54943176837948526</v>
      </c>
      <c r="G24" s="7">
        <v>0.13538620992976705</v>
      </c>
      <c r="H24" s="7">
        <v>0.87020836411799507</v>
      </c>
      <c r="I24" s="7">
        <v>5.7893186502427056</v>
      </c>
      <c r="J24" s="7">
        <v>17.916855636991428</v>
      </c>
      <c r="K24" s="7">
        <v>79.637714918600381</v>
      </c>
      <c r="L24" s="7">
        <v>4.3682758593522433</v>
      </c>
      <c r="M24" s="7">
        <v>3.3156366658019811</v>
      </c>
      <c r="N24" s="7">
        <v>23.308903677504794</v>
      </c>
      <c r="O24" s="7">
        <v>34.308597033874094</v>
      </c>
      <c r="P24" s="7">
        <v>192.48790048161609</v>
      </c>
      <c r="Q24" s="7">
        <v>71.430548878159669</v>
      </c>
      <c r="R24" s="7">
        <v>8.6895726543511849</v>
      </c>
      <c r="S24" s="7">
        <v>119.80122420040944</v>
      </c>
      <c r="T24" s="7">
        <v>11077.992497639969</v>
      </c>
      <c r="U24" s="7">
        <v>1.4857853907583469</v>
      </c>
      <c r="V24" s="7">
        <v>36.001404948395589</v>
      </c>
      <c r="W24" s="7">
        <v>25.593881527110057</v>
      </c>
      <c r="X24" s="7">
        <v>56.027775856074321</v>
      </c>
      <c r="Y24" s="7">
        <v>31.770687195333966</v>
      </c>
      <c r="Z24" s="7">
        <v>16.342614208107033</v>
      </c>
      <c r="AA24" s="7">
        <v>2.6393504458298005</v>
      </c>
      <c r="AB24" s="7">
        <v>36.269001854674848</v>
      </c>
      <c r="AC24" s="7">
        <v>7.6513437700015068</v>
      </c>
      <c r="AD24" s="7">
        <v>31.799454603402339</v>
      </c>
      <c r="AE24" s="7">
        <v>1058.496843424145</v>
      </c>
      <c r="AF24" s="7">
        <v>178.22040147484071</v>
      </c>
      <c r="AG24" s="7">
        <v>81.73601715520023</v>
      </c>
      <c r="AH24" s="7">
        <v>50.448828645823696</v>
      </c>
      <c r="AI24" s="7">
        <v>37.55196929435273</v>
      </c>
      <c r="AJ24" s="7">
        <v>66.151752360018889</v>
      </c>
      <c r="AK24" s="7">
        <v>0</v>
      </c>
      <c r="AL24" s="7">
        <v>12.128945699190604</v>
      </c>
      <c r="AM24" s="7">
        <v>0</v>
      </c>
      <c r="AN24" s="7">
        <v>2.6409458937798327</v>
      </c>
      <c r="AO24" s="7">
        <v>13519.669102367645</v>
      </c>
      <c r="AP24" s="7">
        <v>0</v>
      </c>
      <c r="AQ24" s="7">
        <v>701.98860430096283</v>
      </c>
      <c r="AR24" s="7">
        <f t="shared" si="0"/>
        <v>14236.427598261578</v>
      </c>
      <c r="AS24" s="7">
        <v>27618.164449956923</v>
      </c>
    </row>
    <row r="25" spans="1:45" ht="15" x14ac:dyDescent="0.2">
      <c r="A25" s="5" t="s">
        <v>20</v>
      </c>
      <c r="B25" s="6" t="s">
        <v>62</v>
      </c>
      <c r="C25" s="7">
        <v>1.8220266381847694</v>
      </c>
      <c r="D25" s="7">
        <v>0</v>
      </c>
      <c r="E25" s="7">
        <v>73.52983242843267</v>
      </c>
      <c r="F25" s="7">
        <v>5.0460611063505789</v>
      </c>
      <c r="G25" s="7">
        <v>0.65955282014320826</v>
      </c>
      <c r="H25" s="7">
        <v>3.8683602599920084</v>
      </c>
      <c r="I25" s="7">
        <v>34.931308173348881</v>
      </c>
      <c r="J25" s="7">
        <v>470.77758044122885</v>
      </c>
      <c r="K25" s="7">
        <v>357.00066720639205</v>
      </c>
      <c r="L25" s="7">
        <v>9.1322397370267083</v>
      </c>
      <c r="M25" s="7">
        <v>7.973932311293944</v>
      </c>
      <c r="N25" s="7">
        <v>84.126374119090414</v>
      </c>
      <c r="O25" s="7">
        <v>66.1321219877602</v>
      </c>
      <c r="P25" s="7">
        <v>600.63805593309439</v>
      </c>
      <c r="Q25" s="7">
        <v>74.566486728754469</v>
      </c>
      <c r="R25" s="7">
        <v>24.869518780778762</v>
      </c>
      <c r="S25" s="7">
        <v>17.074747372139711</v>
      </c>
      <c r="T25" s="7">
        <v>88.849872386053349</v>
      </c>
      <c r="U25" s="7">
        <v>11.226621216519487</v>
      </c>
      <c r="V25" s="7">
        <v>296.73524371071551</v>
      </c>
      <c r="W25" s="7">
        <v>57.947827334378253</v>
      </c>
      <c r="X25" s="7">
        <v>66.855648353561492</v>
      </c>
      <c r="Y25" s="7">
        <v>30.427347269421098</v>
      </c>
      <c r="Z25" s="7">
        <v>104.50029536641939</v>
      </c>
      <c r="AA25" s="7">
        <v>29.653143838144704</v>
      </c>
      <c r="AB25" s="7">
        <v>25.489937405565094</v>
      </c>
      <c r="AC25" s="7">
        <v>16.712796796473295</v>
      </c>
      <c r="AD25" s="7">
        <v>61.625240548614904</v>
      </c>
      <c r="AE25" s="7">
        <v>20.988311449674171</v>
      </c>
      <c r="AF25" s="7">
        <v>233.33023537207788</v>
      </c>
      <c r="AG25" s="7">
        <v>56.875379049331443</v>
      </c>
      <c r="AH25" s="7">
        <v>12.105069014886645</v>
      </c>
      <c r="AI25" s="7">
        <v>31.850911246373872</v>
      </c>
      <c r="AJ25" s="7">
        <v>44.719135896715379</v>
      </c>
      <c r="AK25" s="7">
        <v>3.4978455499609638E-3</v>
      </c>
      <c r="AL25" s="7">
        <v>100.08263342413578</v>
      </c>
      <c r="AM25" s="7">
        <v>0</v>
      </c>
      <c r="AN25" s="7">
        <v>0.95170651535339279</v>
      </c>
      <c r="AO25" s="7">
        <v>51.276917595158665</v>
      </c>
      <c r="AP25" s="7">
        <v>0.50541689684875823</v>
      </c>
      <c r="AQ25" s="7">
        <v>7.5439450992745858</v>
      </c>
      <c r="AR25" s="7">
        <f t="shared" si="0"/>
        <v>160.3606195307712</v>
      </c>
      <c r="AS25" s="7">
        <v>3182.405999675258</v>
      </c>
    </row>
    <row r="26" spans="1:45" ht="15" x14ac:dyDescent="0.2">
      <c r="A26" s="5" t="s">
        <v>21</v>
      </c>
      <c r="B26" s="6" t="s">
        <v>63</v>
      </c>
      <c r="C26" s="7">
        <v>13.633279436871963</v>
      </c>
      <c r="D26" s="7">
        <v>0</v>
      </c>
      <c r="E26" s="7">
        <v>550.34053531929885</v>
      </c>
      <c r="F26" s="7">
        <v>37.786529431369054</v>
      </c>
      <c r="G26" s="7">
        <v>3.9968638962423464</v>
      </c>
      <c r="H26" s="7">
        <v>28.957413057094779</v>
      </c>
      <c r="I26" s="7">
        <v>260.27236069817269</v>
      </c>
      <c r="J26" s="7">
        <v>3527.0098910751913</v>
      </c>
      <c r="K26" s="7">
        <v>2635.5210558658832</v>
      </c>
      <c r="L26" s="7">
        <v>68.303943057118261</v>
      </c>
      <c r="M26" s="7">
        <v>52.012421534083515</v>
      </c>
      <c r="N26" s="7">
        <v>629.68584631684212</v>
      </c>
      <c r="O26" s="7">
        <v>494.81410118495927</v>
      </c>
      <c r="P26" s="7">
        <v>4498.2192725925061</v>
      </c>
      <c r="Q26" s="7">
        <v>557.35527901620594</v>
      </c>
      <c r="R26" s="7">
        <v>186.06950246662231</v>
      </c>
      <c r="S26" s="7">
        <v>127.20829238080771</v>
      </c>
      <c r="T26" s="7">
        <v>646.16255082746818</v>
      </c>
      <c r="U26" s="7">
        <v>82.173747276642175</v>
      </c>
      <c r="V26" s="7">
        <v>2171.9666544799261</v>
      </c>
      <c r="W26" s="7">
        <v>422.43278929648403</v>
      </c>
      <c r="X26" s="7">
        <v>494.21031277500947</v>
      </c>
      <c r="Y26" s="7">
        <v>219.73171051844673</v>
      </c>
      <c r="Z26" s="7">
        <v>775.66342178356524</v>
      </c>
      <c r="AA26" s="7">
        <v>217.30457292815973</v>
      </c>
      <c r="AB26" s="7">
        <v>186.92973781064995</v>
      </c>
      <c r="AC26" s="7">
        <v>121.83377701851187</v>
      </c>
      <c r="AD26" s="7">
        <v>451.29245495093238</v>
      </c>
      <c r="AE26" s="7">
        <v>149.9789052197375</v>
      </c>
      <c r="AF26" s="7">
        <v>1723.5577595626141</v>
      </c>
      <c r="AG26" s="7">
        <v>411.78953942091562</v>
      </c>
      <c r="AH26" s="7">
        <v>87.738593025460432</v>
      </c>
      <c r="AI26" s="7">
        <v>231.21673842081807</v>
      </c>
      <c r="AJ26" s="7">
        <v>329.36329991786124</v>
      </c>
      <c r="AK26" s="7">
        <v>2.6018080387979068E-2</v>
      </c>
      <c r="AL26" s="7">
        <v>6573.6813173874343</v>
      </c>
      <c r="AM26" s="7">
        <v>0</v>
      </c>
      <c r="AN26" s="7">
        <v>70.8321012631569</v>
      </c>
      <c r="AO26" s="7">
        <v>3808.5475614754891</v>
      </c>
      <c r="AP26" s="7">
        <v>59.148923177121567</v>
      </c>
      <c r="AQ26" s="7">
        <v>102864.7613885873</v>
      </c>
      <c r="AR26" s="7">
        <f t="shared" si="0"/>
        <v>113376.9712918905</v>
      </c>
      <c r="AS26" s="7">
        <v>135771.53046253335</v>
      </c>
    </row>
    <row r="27" spans="1:45" ht="15" x14ac:dyDescent="0.2">
      <c r="A27" s="5" t="s">
        <v>22</v>
      </c>
      <c r="B27" s="6" t="s">
        <v>64</v>
      </c>
      <c r="C27" s="7">
        <v>0.8444022236346137</v>
      </c>
      <c r="D27" s="7">
        <v>0</v>
      </c>
      <c r="E27" s="7">
        <v>14.204538386392896</v>
      </c>
      <c r="F27" s="7">
        <v>0.50373269036678991</v>
      </c>
      <c r="G27" s="7">
        <v>5.538890789744013E-2</v>
      </c>
      <c r="H27" s="7">
        <v>0.99964419364520241</v>
      </c>
      <c r="I27" s="7">
        <v>7.9397437786736393</v>
      </c>
      <c r="J27" s="7">
        <v>10.097572205276949</v>
      </c>
      <c r="K27" s="7">
        <v>43.77901608324612</v>
      </c>
      <c r="L27" s="7">
        <v>3.9665037839377906</v>
      </c>
      <c r="M27" s="7">
        <v>11.599226859349871</v>
      </c>
      <c r="N27" s="7">
        <v>23.01893045299115</v>
      </c>
      <c r="O27" s="7">
        <v>19.96550459221487</v>
      </c>
      <c r="P27" s="7">
        <v>57.038130843067862</v>
      </c>
      <c r="Q27" s="7">
        <v>39.66943896348225</v>
      </c>
      <c r="R27" s="7">
        <v>3.632149030774678</v>
      </c>
      <c r="S27" s="7">
        <v>19.201319375319358</v>
      </c>
      <c r="T27" s="7">
        <v>143.05202207277679</v>
      </c>
      <c r="U27" s="7">
        <v>9.1028123655496298</v>
      </c>
      <c r="V27" s="7">
        <v>229.71418019240414</v>
      </c>
      <c r="W27" s="7">
        <v>127.31383238220812</v>
      </c>
      <c r="X27" s="7">
        <v>50.726188014760943</v>
      </c>
      <c r="Y27" s="7">
        <v>249.11862685471127</v>
      </c>
      <c r="Z27" s="7">
        <v>44.69051963116987</v>
      </c>
      <c r="AA27" s="7">
        <v>59.287538269191522</v>
      </c>
      <c r="AB27" s="7">
        <v>49.862956404222871</v>
      </c>
      <c r="AC27" s="7">
        <v>26.757456300462302</v>
      </c>
      <c r="AD27" s="7">
        <v>194.10943705818937</v>
      </c>
      <c r="AE27" s="7">
        <v>128.04434220854577</v>
      </c>
      <c r="AF27" s="7">
        <v>316.41451768669879</v>
      </c>
      <c r="AG27" s="7">
        <v>384.80344755048213</v>
      </c>
      <c r="AH27" s="7">
        <v>26.462436801469899</v>
      </c>
      <c r="AI27" s="7">
        <v>31.534398562286924</v>
      </c>
      <c r="AJ27" s="7">
        <v>87.776732139684498</v>
      </c>
      <c r="AK27" s="7">
        <v>4.2112136484225119E-4</v>
      </c>
      <c r="AL27" s="7">
        <v>7129.5056957722836</v>
      </c>
      <c r="AM27" s="7">
        <v>0</v>
      </c>
      <c r="AN27" s="7">
        <v>30.722612726189727</v>
      </c>
      <c r="AO27" s="7">
        <v>139.59817437637022</v>
      </c>
      <c r="AP27" s="7">
        <v>0</v>
      </c>
      <c r="AQ27" s="7">
        <v>2616.7805820987955</v>
      </c>
      <c r="AR27" s="7">
        <f t="shared" si="0"/>
        <v>9916.6070649736394</v>
      </c>
      <c r="AS27" s="7">
        <v>12331.89417296009</v>
      </c>
    </row>
    <row r="28" spans="1:45" ht="15" x14ac:dyDescent="0.2">
      <c r="A28" s="5" t="s">
        <v>23</v>
      </c>
      <c r="B28" s="6" t="s">
        <v>65</v>
      </c>
      <c r="C28" s="7">
        <v>3.6590640514891479</v>
      </c>
      <c r="D28" s="7">
        <v>0</v>
      </c>
      <c r="E28" s="7">
        <v>21.152552427959119</v>
      </c>
      <c r="F28" s="7">
        <v>1.2663464176046069</v>
      </c>
      <c r="G28" s="7">
        <v>0.325096369871409</v>
      </c>
      <c r="H28" s="7">
        <v>0.75764893181925608</v>
      </c>
      <c r="I28" s="7">
        <v>106.69131604500369</v>
      </c>
      <c r="J28" s="7">
        <v>49.338543008347237</v>
      </c>
      <c r="K28" s="7">
        <v>65.227970550463908</v>
      </c>
      <c r="L28" s="7">
        <v>7.2475356448938442</v>
      </c>
      <c r="M28" s="7">
        <v>2.9689963771512002</v>
      </c>
      <c r="N28" s="7">
        <v>34.334457316717454</v>
      </c>
      <c r="O28" s="7">
        <v>44.248744944349689</v>
      </c>
      <c r="P28" s="7">
        <v>124.83661144469799</v>
      </c>
      <c r="Q28" s="7">
        <v>76.268817480178583</v>
      </c>
      <c r="R28" s="7">
        <v>5.7294625167872084</v>
      </c>
      <c r="S28" s="7">
        <v>10.865597992330919</v>
      </c>
      <c r="T28" s="7">
        <v>17.236587118576978</v>
      </c>
      <c r="U28" s="7">
        <v>14.335212510291246</v>
      </c>
      <c r="V28" s="7">
        <v>374.81220751577814</v>
      </c>
      <c r="W28" s="7">
        <v>80.143116629885526</v>
      </c>
      <c r="X28" s="7">
        <v>128.83642646060838</v>
      </c>
      <c r="Y28" s="7">
        <v>22.25498000820626</v>
      </c>
      <c r="Z28" s="7">
        <v>229.22824371810827</v>
      </c>
      <c r="AA28" s="7">
        <v>136.2646392051432</v>
      </c>
      <c r="AB28" s="7">
        <v>279.42687925022182</v>
      </c>
      <c r="AC28" s="7">
        <v>79.348070757564727</v>
      </c>
      <c r="AD28" s="7">
        <v>350.82258271220303</v>
      </c>
      <c r="AE28" s="7">
        <v>86.575047074080715</v>
      </c>
      <c r="AF28" s="7">
        <v>520.03949138017265</v>
      </c>
      <c r="AG28" s="7">
        <v>123.47690728960401</v>
      </c>
      <c r="AH28" s="7">
        <v>59.330415634363234</v>
      </c>
      <c r="AI28" s="7">
        <v>48.767815177030691</v>
      </c>
      <c r="AJ28" s="7">
        <v>226.56326590023585</v>
      </c>
      <c r="AK28" s="7">
        <v>2.1027708848873926E-4</v>
      </c>
      <c r="AL28" s="7">
        <v>4180.6681382250754</v>
      </c>
      <c r="AM28" s="7">
        <v>0</v>
      </c>
      <c r="AN28" s="7">
        <v>3.4093154451903622</v>
      </c>
      <c r="AO28" s="7">
        <v>86.495511989106745</v>
      </c>
      <c r="AP28" s="7">
        <v>0</v>
      </c>
      <c r="AQ28" s="7">
        <v>3475.4327218823105</v>
      </c>
      <c r="AR28" s="7">
        <f t="shared" si="0"/>
        <v>7746.0056875416831</v>
      </c>
      <c r="AS28" s="7">
        <v>11078.386547680511</v>
      </c>
    </row>
    <row r="29" spans="1:45" ht="15" x14ac:dyDescent="0.2">
      <c r="A29" s="5" t="s">
        <v>24</v>
      </c>
      <c r="B29" s="6" t="s">
        <v>66</v>
      </c>
      <c r="C29" s="7">
        <v>1.2980550467232452</v>
      </c>
      <c r="D29" s="7">
        <v>0</v>
      </c>
      <c r="E29" s="7">
        <v>12.602732474927135</v>
      </c>
      <c r="F29" s="7">
        <v>2.215477910292027</v>
      </c>
      <c r="G29" s="7">
        <v>0.29358613339780798</v>
      </c>
      <c r="H29" s="7">
        <v>0.54242351569263514</v>
      </c>
      <c r="I29" s="7">
        <v>7.3433381944158498</v>
      </c>
      <c r="J29" s="7">
        <v>331.39324974276775</v>
      </c>
      <c r="K29" s="7">
        <v>46.856032229622798</v>
      </c>
      <c r="L29" s="7">
        <v>3.5131775202270594</v>
      </c>
      <c r="M29" s="7">
        <v>2.2934032593978011</v>
      </c>
      <c r="N29" s="7">
        <v>21.665094051593858</v>
      </c>
      <c r="O29" s="7">
        <v>27.139944843166749</v>
      </c>
      <c r="P29" s="7">
        <v>110.30103209210046</v>
      </c>
      <c r="Q29" s="7">
        <v>42.081779687845902</v>
      </c>
      <c r="R29" s="7">
        <v>2.359265500281801</v>
      </c>
      <c r="S29" s="7">
        <v>104.50519757946211</v>
      </c>
      <c r="T29" s="7">
        <v>95.543371770203564</v>
      </c>
      <c r="U29" s="7">
        <v>30.474290879344313</v>
      </c>
      <c r="V29" s="7">
        <v>817.07439024975872</v>
      </c>
      <c r="W29" s="7">
        <v>71.092246690400358</v>
      </c>
      <c r="X29" s="7">
        <v>54.097642481105105</v>
      </c>
      <c r="Y29" s="7">
        <v>248.07441120370717</v>
      </c>
      <c r="Z29" s="7">
        <v>487.60224718151352</v>
      </c>
      <c r="AA29" s="7">
        <v>57.701359441888883</v>
      </c>
      <c r="AB29" s="7">
        <v>290.92916837324196</v>
      </c>
      <c r="AC29" s="7">
        <v>36.939530045266352</v>
      </c>
      <c r="AD29" s="7">
        <v>66.037848405326841</v>
      </c>
      <c r="AE29" s="7">
        <v>18.278418618816634</v>
      </c>
      <c r="AF29" s="7">
        <v>158.85759679432277</v>
      </c>
      <c r="AG29" s="7">
        <v>1199.03955743858</v>
      </c>
      <c r="AH29" s="7">
        <v>41.923124166067495</v>
      </c>
      <c r="AI29" s="7">
        <v>14.048415150714307</v>
      </c>
      <c r="AJ29" s="7">
        <v>31.091020585649296</v>
      </c>
      <c r="AK29" s="7">
        <v>0.94644051759590953</v>
      </c>
      <c r="AL29" s="7">
        <v>1401.5117574413778</v>
      </c>
      <c r="AM29" s="7">
        <v>0</v>
      </c>
      <c r="AN29" s="7">
        <v>4.1256105535360819E-2</v>
      </c>
      <c r="AO29" s="7">
        <v>29.737217463254858</v>
      </c>
      <c r="AP29" s="7">
        <v>0</v>
      </c>
      <c r="AQ29" s="7">
        <v>892.03054941792539</v>
      </c>
      <c r="AR29" s="7">
        <f t="shared" si="0"/>
        <v>2323.3207804280937</v>
      </c>
      <c r="AS29" s="7">
        <v>6759.4756502035116</v>
      </c>
    </row>
    <row r="30" spans="1:45" ht="15" x14ac:dyDescent="0.2">
      <c r="A30" s="5" t="s">
        <v>25</v>
      </c>
      <c r="B30" s="6" t="s">
        <v>67</v>
      </c>
      <c r="C30" s="7">
        <v>0.86598533801507516</v>
      </c>
      <c r="D30" s="7">
        <v>0</v>
      </c>
      <c r="E30" s="7">
        <v>119.59184849807416</v>
      </c>
      <c r="F30" s="7">
        <v>7.6244725337813861</v>
      </c>
      <c r="G30" s="7">
        <v>1.313150993768426</v>
      </c>
      <c r="H30" s="7">
        <v>3.4088412127165455</v>
      </c>
      <c r="I30" s="7">
        <v>65.694839940338227</v>
      </c>
      <c r="J30" s="7">
        <v>1155.8152848104769</v>
      </c>
      <c r="K30" s="7">
        <v>947.7947626955297</v>
      </c>
      <c r="L30" s="7">
        <v>27.070780455380099</v>
      </c>
      <c r="M30" s="7">
        <v>89.124023556852222</v>
      </c>
      <c r="N30" s="7">
        <v>136.03572156611222</v>
      </c>
      <c r="O30" s="7">
        <v>266.17494514165656</v>
      </c>
      <c r="P30" s="7">
        <v>950.75656899209719</v>
      </c>
      <c r="Q30" s="7">
        <v>150.59328512223516</v>
      </c>
      <c r="R30" s="7">
        <v>14.734548760386</v>
      </c>
      <c r="S30" s="7">
        <v>14.040770461300559</v>
      </c>
      <c r="T30" s="7">
        <v>104.83245935268776</v>
      </c>
      <c r="U30" s="7">
        <v>259.98817917530465</v>
      </c>
      <c r="V30" s="7">
        <v>7074.3424939047891</v>
      </c>
      <c r="W30" s="7">
        <v>223.48130246268235</v>
      </c>
      <c r="X30" s="7">
        <v>8.5778772701690471</v>
      </c>
      <c r="Y30" s="7">
        <v>155.58674605369205</v>
      </c>
      <c r="Z30" s="7">
        <v>15934.657138909517</v>
      </c>
      <c r="AA30" s="7">
        <v>16.694183545910107</v>
      </c>
      <c r="AB30" s="7">
        <v>1622.9242908080432</v>
      </c>
      <c r="AC30" s="7">
        <v>93.930021121252395</v>
      </c>
      <c r="AD30" s="7">
        <v>38.045767337336741</v>
      </c>
      <c r="AE30" s="7">
        <v>58.237331305731026</v>
      </c>
      <c r="AF30" s="7">
        <v>315.32704975545153</v>
      </c>
      <c r="AG30" s="7">
        <v>149.18462774801532</v>
      </c>
      <c r="AH30" s="7">
        <v>17.194999145559496</v>
      </c>
      <c r="AI30" s="7">
        <v>6.9568981337773881</v>
      </c>
      <c r="AJ30" s="7">
        <v>40.700899936533162</v>
      </c>
      <c r="AK30" s="7">
        <v>6.5350642409084156E-2</v>
      </c>
      <c r="AL30" s="7">
        <v>44.254606115050144</v>
      </c>
      <c r="AM30" s="7">
        <v>0</v>
      </c>
      <c r="AN30" s="7">
        <v>4.5401288128261363</v>
      </c>
      <c r="AO30" s="7">
        <v>51.195433368379177</v>
      </c>
      <c r="AP30" s="7">
        <v>19.723200054662275</v>
      </c>
      <c r="AQ30" s="7">
        <v>41852.116933381454</v>
      </c>
      <c r="AR30" s="7">
        <f t="shared" si="0"/>
        <v>41971.830301732371</v>
      </c>
      <c r="AS30" s="7">
        <v>72043.19774841996</v>
      </c>
    </row>
    <row r="31" spans="1:45" ht="15" x14ac:dyDescent="0.2">
      <c r="A31" s="5" t="s">
        <v>26</v>
      </c>
      <c r="B31" s="6" t="s">
        <v>68</v>
      </c>
      <c r="C31" s="7">
        <v>6.1026153221879165</v>
      </c>
      <c r="D31" s="7">
        <v>0</v>
      </c>
      <c r="E31" s="7">
        <v>8.3477781026121374</v>
      </c>
      <c r="F31" s="7">
        <v>1.6388736026052502</v>
      </c>
      <c r="G31" s="7">
        <v>0.16962554732849666</v>
      </c>
      <c r="H31" s="7">
        <v>0.6371353009941767</v>
      </c>
      <c r="I31" s="7">
        <v>5.7147287026785856</v>
      </c>
      <c r="J31" s="7">
        <v>21.54533945228513</v>
      </c>
      <c r="K31" s="7">
        <v>48.188362862638606</v>
      </c>
      <c r="L31" s="7">
        <v>2.3344456446146395</v>
      </c>
      <c r="M31" s="7">
        <v>6.8107664714305498</v>
      </c>
      <c r="N31" s="7">
        <v>9.3899624422394883</v>
      </c>
      <c r="O31" s="7">
        <v>8.9334768491385272</v>
      </c>
      <c r="P31" s="7">
        <v>87.364533272700371</v>
      </c>
      <c r="Q31" s="7">
        <v>9.8399467175411317</v>
      </c>
      <c r="R31" s="7">
        <v>1.3248400059244403</v>
      </c>
      <c r="S31" s="7">
        <v>5.428249036953515</v>
      </c>
      <c r="T31" s="7">
        <v>4.0744259525619855</v>
      </c>
      <c r="U31" s="7">
        <v>55.766194513589113</v>
      </c>
      <c r="V31" s="7">
        <v>1520.7205103661836</v>
      </c>
      <c r="W31" s="7">
        <v>36.109786995736613</v>
      </c>
      <c r="X31" s="7">
        <v>8.4848426287529168</v>
      </c>
      <c r="Y31" s="7">
        <v>4.9201851409679929</v>
      </c>
      <c r="Z31" s="7">
        <v>1.2096384263091493</v>
      </c>
      <c r="AA31" s="7">
        <v>1722.8885262968108</v>
      </c>
      <c r="AB31" s="7">
        <v>153.38504918217527</v>
      </c>
      <c r="AC31" s="7">
        <v>21.153407850174986</v>
      </c>
      <c r="AD31" s="7">
        <v>49.071324414819273</v>
      </c>
      <c r="AE31" s="7">
        <v>53.189410538665996</v>
      </c>
      <c r="AF31" s="7">
        <v>72.87700074761463</v>
      </c>
      <c r="AG31" s="7">
        <v>51.04391460321532</v>
      </c>
      <c r="AH31" s="7">
        <v>22.686481859594931</v>
      </c>
      <c r="AI31" s="7">
        <v>23.306637680458806</v>
      </c>
      <c r="AJ31" s="7">
        <v>30.505323183383897</v>
      </c>
      <c r="AK31" s="7">
        <v>0</v>
      </c>
      <c r="AL31" s="7">
        <v>1342.1153316559071</v>
      </c>
      <c r="AM31" s="7">
        <v>0</v>
      </c>
      <c r="AN31" s="7">
        <v>5.993368476681088E-2</v>
      </c>
      <c r="AO31" s="7">
        <v>13.590757258562816</v>
      </c>
      <c r="AP31" s="7">
        <v>0.31330157648572438</v>
      </c>
      <c r="AQ31" s="7">
        <v>6499.1105304252324</v>
      </c>
      <c r="AR31" s="7">
        <f t="shared" si="0"/>
        <v>7855.1898546009543</v>
      </c>
      <c r="AS31" s="7">
        <v>11910.353194315845</v>
      </c>
    </row>
    <row r="32" spans="1:45" ht="15" x14ac:dyDescent="0.2">
      <c r="A32" s="5" t="s">
        <v>27</v>
      </c>
      <c r="B32" s="6" t="s">
        <v>69</v>
      </c>
      <c r="C32" s="7">
        <v>2.9985594770807631</v>
      </c>
      <c r="D32" s="7">
        <v>0</v>
      </c>
      <c r="E32" s="7">
        <v>73.145000015358733</v>
      </c>
      <c r="F32" s="7">
        <v>6.7850847180009133</v>
      </c>
      <c r="G32" s="7">
        <v>0.31234159624008556</v>
      </c>
      <c r="H32" s="7">
        <v>4.9745850917290158</v>
      </c>
      <c r="I32" s="7">
        <v>47.482057800360877</v>
      </c>
      <c r="J32" s="7">
        <v>222.43118143159842</v>
      </c>
      <c r="K32" s="7">
        <v>327.31462658374369</v>
      </c>
      <c r="L32" s="7">
        <v>8.7033652355203355</v>
      </c>
      <c r="M32" s="7">
        <v>9.1785750923343929</v>
      </c>
      <c r="N32" s="7">
        <v>54.581208783801422</v>
      </c>
      <c r="O32" s="7">
        <v>80.515311718776516</v>
      </c>
      <c r="P32" s="7">
        <v>377.17637064939595</v>
      </c>
      <c r="Q32" s="7">
        <v>188.01212444137681</v>
      </c>
      <c r="R32" s="7">
        <v>12.538016803803094</v>
      </c>
      <c r="S32" s="7">
        <v>28.840410697785742</v>
      </c>
      <c r="T32" s="7">
        <v>138.98072525350045</v>
      </c>
      <c r="U32" s="7">
        <v>105.27055032199996</v>
      </c>
      <c r="V32" s="7">
        <v>2814.695493087555</v>
      </c>
      <c r="W32" s="7">
        <v>283.48706024634402</v>
      </c>
      <c r="X32" s="7">
        <v>73.81946216698293</v>
      </c>
      <c r="Y32" s="7">
        <v>312.49444438315697</v>
      </c>
      <c r="Z32" s="7">
        <v>3682.9206480165226</v>
      </c>
      <c r="AA32" s="7">
        <v>664.5935218118326</v>
      </c>
      <c r="AB32" s="7">
        <v>3845.9867242294199</v>
      </c>
      <c r="AC32" s="7">
        <v>192.34098378916369</v>
      </c>
      <c r="AD32" s="7">
        <v>466.49407972999546</v>
      </c>
      <c r="AE32" s="7">
        <v>271.20644910279213</v>
      </c>
      <c r="AF32" s="7">
        <v>539.61191043939016</v>
      </c>
      <c r="AG32" s="7">
        <v>94.441196915869398</v>
      </c>
      <c r="AH32" s="7">
        <v>29.651858467248218</v>
      </c>
      <c r="AI32" s="7">
        <v>50.545885354877477</v>
      </c>
      <c r="AJ32" s="7">
        <v>80.885569510079094</v>
      </c>
      <c r="AK32" s="7">
        <v>2.8935713177502442E-2</v>
      </c>
      <c r="AL32" s="7">
        <v>611.70777477753109</v>
      </c>
      <c r="AM32" s="7">
        <v>0</v>
      </c>
      <c r="AN32" s="7">
        <v>12.496003524771281</v>
      </c>
      <c r="AO32" s="7">
        <v>348.13024770040755</v>
      </c>
      <c r="AP32" s="7">
        <v>12.560831609745524</v>
      </c>
      <c r="AQ32" s="7">
        <v>5648.3766332606219</v>
      </c>
      <c r="AR32" s="7">
        <f t="shared" si="0"/>
        <v>6633.2714908730777</v>
      </c>
      <c r="AS32" s="7">
        <v>21725.715809549893</v>
      </c>
    </row>
    <row r="33" spans="1:45" ht="15" x14ac:dyDescent="0.2">
      <c r="A33" s="5" t="s">
        <v>28</v>
      </c>
      <c r="B33" s="6" t="s">
        <v>70</v>
      </c>
      <c r="C33" s="7">
        <v>0.26742539994985653</v>
      </c>
      <c r="D33" s="7">
        <v>0</v>
      </c>
      <c r="E33" s="7">
        <v>13.241128044290955</v>
      </c>
      <c r="F33" s="7">
        <v>1.9518967087630064</v>
      </c>
      <c r="G33" s="7">
        <v>0.2034623138472787</v>
      </c>
      <c r="H33" s="7">
        <v>0.8937210843097213</v>
      </c>
      <c r="I33" s="7">
        <v>56.911179674038209</v>
      </c>
      <c r="J33" s="7">
        <v>3.6722533817648522</v>
      </c>
      <c r="K33" s="7">
        <v>56.267514215879686</v>
      </c>
      <c r="L33" s="7">
        <v>5.6265985866909434</v>
      </c>
      <c r="M33" s="7">
        <v>2.3750746583279123</v>
      </c>
      <c r="N33" s="7">
        <v>32.46479424019568</v>
      </c>
      <c r="O33" s="7">
        <v>50.137891366634101</v>
      </c>
      <c r="P33" s="7">
        <v>127.61675327053956</v>
      </c>
      <c r="Q33" s="7">
        <v>72.563824476075141</v>
      </c>
      <c r="R33" s="7">
        <v>5.2581317069121347</v>
      </c>
      <c r="S33" s="7">
        <v>16.720675713302469</v>
      </c>
      <c r="T33" s="7">
        <v>124.42929553737406</v>
      </c>
      <c r="U33" s="7">
        <v>16.352690030242247</v>
      </c>
      <c r="V33" s="7">
        <v>421.38319344628206</v>
      </c>
      <c r="W33" s="7">
        <v>128.66331196924597</v>
      </c>
      <c r="X33" s="7">
        <v>50.432067176384649</v>
      </c>
      <c r="Y33" s="7">
        <v>174.2771796603792</v>
      </c>
      <c r="Z33" s="7">
        <v>72.927997410833143</v>
      </c>
      <c r="AA33" s="7">
        <v>138.24967617601462</v>
      </c>
      <c r="AB33" s="7">
        <v>258.13990487012421</v>
      </c>
      <c r="AC33" s="7">
        <v>2355.1664918657639</v>
      </c>
      <c r="AD33" s="7">
        <v>931.9705293740808</v>
      </c>
      <c r="AE33" s="7">
        <v>74.360629515421849</v>
      </c>
      <c r="AF33" s="7">
        <v>1100.9439100183467</v>
      </c>
      <c r="AG33" s="7">
        <v>209.16797726312601</v>
      </c>
      <c r="AH33" s="7">
        <v>65.4507073534688</v>
      </c>
      <c r="AI33" s="7">
        <v>76.216854798281432</v>
      </c>
      <c r="AJ33" s="7">
        <v>117.5202971723657</v>
      </c>
      <c r="AK33" s="7">
        <v>1.4918968953581211E-3</v>
      </c>
      <c r="AL33" s="7">
        <v>3322.67334191993</v>
      </c>
      <c r="AM33" s="7">
        <v>0</v>
      </c>
      <c r="AN33" s="7">
        <v>3.8686002983129928</v>
      </c>
      <c r="AO33" s="7">
        <v>69.389799720216146</v>
      </c>
      <c r="AP33" s="7">
        <v>0.16105771506875013</v>
      </c>
      <c r="AQ33" s="7">
        <v>3434.8558206533021</v>
      </c>
      <c r="AR33" s="7">
        <f t="shared" si="0"/>
        <v>6830.94862030683</v>
      </c>
      <c r="AS33" s="7">
        <v>13592.775150682983</v>
      </c>
    </row>
    <row r="34" spans="1:45" ht="15" x14ac:dyDescent="0.2">
      <c r="A34" s="5" t="s">
        <v>29</v>
      </c>
      <c r="B34" s="6" t="s">
        <v>71</v>
      </c>
      <c r="C34" s="7">
        <v>16.136527820872693</v>
      </c>
      <c r="D34" s="7">
        <v>0</v>
      </c>
      <c r="E34" s="7">
        <v>185.91551991107008</v>
      </c>
      <c r="F34" s="7">
        <v>8.5084014925212124</v>
      </c>
      <c r="G34" s="7">
        <v>1.5336182075658198</v>
      </c>
      <c r="H34" s="7">
        <v>4.3796554972934372</v>
      </c>
      <c r="I34" s="7">
        <v>213.91238094709766</v>
      </c>
      <c r="J34" s="7">
        <v>812.06685135806731</v>
      </c>
      <c r="K34" s="7">
        <v>1244.2099320672846</v>
      </c>
      <c r="L34" s="7">
        <v>33.715799149418764</v>
      </c>
      <c r="M34" s="7">
        <v>20.108377592594803</v>
      </c>
      <c r="N34" s="7">
        <v>191.25986794462958</v>
      </c>
      <c r="O34" s="7">
        <v>371.82013129858814</v>
      </c>
      <c r="P34" s="7">
        <v>3630.1178964764076</v>
      </c>
      <c r="Q34" s="7">
        <v>452.65118661908804</v>
      </c>
      <c r="R34" s="7">
        <v>51.088432196087091</v>
      </c>
      <c r="S34" s="7">
        <v>412.90127182149843</v>
      </c>
      <c r="T34" s="7">
        <v>689.94945302659471</v>
      </c>
      <c r="U34" s="7">
        <v>180.73043462583027</v>
      </c>
      <c r="V34" s="7">
        <v>4797.4548992967211</v>
      </c>
      <c r="W34" s="7">
        <v>701.60953000244365</v>
      </c>
      <c r="X34" s="7">
        <v>400.51290991939652</v>
      </c>
      <c r="Y34" s="7">
        <v>180.67867910087173</v>
      </c>
      <c r="Z34" s="7">
        <v>577.68194265654586</v>
      </c>
      <c r="AA34" s="7">
        <v>376.11227452395514</v>
      </c>
      <c r="AB34" s="7">
        <v>459.41994419703622</v>
      </c>
      <c r="AC34" s="7">
        <v>303.41829687461131</v>
      </c>
      <c r="AD34" s="7">
        <v>17774.413724714432</v>
      </c>
      <c r="AE34" s="7">
        <v>3776.2192011540305</v>
      </c>
      <c r="AF34" s="7">
        <v>2617.8771011677977</v>
      </c>
      <c r="AG34" s="7">
        <v>4585.336587732595</v>
      </c>
      <c r="AH34" s="7">
        <v>204.06117872411144</v>
      </c>
      <c r="AI34" s="7">
        <v>394.14420568736216</v>
      </c>
      <c r="AJ34" s="7">
        <v>417.0694932461862</v>
      </c>
      <c r="AK34" s="7">
        <v>0</v>
      </c>
      <c r="AL34" s="7">
        <v>10715.148395499791</v>
      </c>
      <c r="AM34" s="7">
        <v>0</v>
      </c>
      <c r="AN34" s="7">
        <v>28.888224448975404</v>
      </c>
      <c r="AO34" s="7">
        <v>432.0027311795879</v>
      </c>
      <c r="AP34" s="7">
        <v>1.2208484687575638</v>
      </c>
      <c r="AQ34" s="7">
        <v>44536.851323319301</v>
      </c>
      <c r="AR34" s="7">
        <f t="shared" si="0"/>
        <v>55714.111522916413</v>
      </c>
      <c r="AS34" s="7">
        <v>101801.12722996701</v>
      </c>
    </row>
    <row r="35" spans="1:45" ht="15" x14ac:dyDescent="0.2">
      <c r="A35" s="5" t="s">
        <v>30</v>
      </c>
      <c r="B35" s="6" t="s">
        <v>72</v>
      </c>
      <c r="C35" s="7">
        <v>0.44525922974261972</v>
      </c>
      <c r="D35" s="7">
        <v>0</v>
      </c>
      <c r="E35" s="7">
        <v>113.75728213057977</v>
      </c>
      <c r="F35" s="7">
        <v>7.600276908651896</v>
      </c>
      <c r="G35" s="7">
        <v>1.3909784481839307</v>
      </c>
      <c r="H35" s="7">
        <v>4.850997845400582</v>
      </c>
      <c r="I35" s="7">
        <v>77.727162004063842</v>
      </c>
      <c r="J35" s="7">
        <v>114.82004077799557</v>
      </c>
      <c r="K35" s="7">
        <v>302.78736545815491</v>
      </c>
      <c r="L35" s="7">
        <v>22.120790469111324</v>
      </c>
      <c r="M35" s="7">
        <v>7.0804431391121927</v>
      </c>
      <c r="N35" s="7">
        <v>111.7428614658149</v>
      </c>
      <c r="O35" s="7">
        <v>133.31497273586231</v>
      </c>
      <c r="P35" s="7">
        <v>925.76136287213137</v>
      </c>
      <c r="Q35" s="7">
        <v>192.4703595612217</v>
      </c>
      <c r="R35" s="7">
        <v>17.303258141514569</v>
      </c>
      <c r="S35" s="7">
        <v>168.3140411790697</v>
      </c>
      <c r="T35" s="7">
        <v>217.32149341380463</v>
      </c>
      <c r="U35" s="7">
        <v>116.04414784359764</v>
      </c>
      <c r="V35" s="7">
        <v>2576.608368706789</v>
      </c>
      <c r="W35" s="7">
        <v>2295.8962031927185</v>
      </c>
      <c r="X35" s="7">
        <v>1203.8496986034306</v>
      </c>
      <c r="Y35" s="7">
        <v>115.12481368089733</v>
      </c>
      <c r="Z35" s="7">
        <v>144.08399536550164</v>
      </c>
      <c r="AA35" s="7">
        <v>352.95220225929398</v>
      </c>
      <c r="AB35" s="7">
        <v>600.98529905257192</v>
      </c>
      <c r="AC35" s="7">
        <v>194.31810909954478</v>
      </c>
      <c r="AD35" s="7">
        <v>1538.7766689591247</v>
      </c>
      <c r="AE35" s="7">
        <v>1662.4506039105149</v>
      </c>
      <c r="AF35" s="7">
        <v>1562.8063642310656</v>
      </c>
      <c r="AG35" s="7">
        <v>581.39278956081569</v>
      </c>
      <c r="AH35" s="7">
        <v>322.51148805679787</v>
      </c>
      <c r="AI35" s="7">
        <v>617.47018060188827</v>
      </c>
      <c r="AJ35" s="7">
        <v>583.87617154379984</v>
      </c>
      <c r="AK35" s="7">
        <v>1.3136275019353129E-4</v>
      </c>
      <c r="AL35" s="7">
        <v>11848.091113340395</v>
      </c>
      <c r="AM35" s="7">
        <v>0</v>
      </c>
      <c r="AN35" s="7">
        <v>80.970914101076545</v>
      </c>
      <c r="AO35" s="7">
        <v>6378.5830409416321</v>
      </c>
      <c r="AP35" s="7">
        <v>4.5738302655141019E-2</v>
      </c>
      <c r="AQ35" s="7">
        <v>1351.1574435901728</v>
      </c>
      <c r="AR35" s="7">
        <f t="shared" si="0"/>
        <v>19658.848250275933</v>
      </c>
      <c r="AS35" s="7">
        <v>36546.804432087447</v>
      </c>
    </row>
    <row r="36" spans="1:45" ht="15" x14ac:dyDescent="0.2">
      <c r="A36" s="5" t="s">
        <v>31</v>
      </c>
      <c r="B36" s="6" t="s">
        <v>73</v>
      </c>
      <c r="C36" s="7">
        <v>12.709870752427618</v>
      </c>
      <c r="D36" s="7">
        <v>0</v>
      </c>
      <c r="E36" s="7">
        <v>296.81940690001022</v>
      </c>
      <c r="F36" s="7">
        <v>6.664288151548118</v>
      </c>
      <c r="G36" s="7">
        <v>1.7994873245573249</v>
      </c>
      <c r="H36" s="7">
        <v>3.9544445789074962</v>
      </c>
      <c r="I36" s="7">
        <v>895.85878983876</v>
      </c>
      <c r="J36" s="7">
        <v>589.44587278345455</v>
      </c>
      <c r="K36" s="7">
        <v>2045.0428308308644</v>
      </c>
      <c r="L36" s="7">
        <v>31.986687838030374</v>
      </c>
      <c r="M36" s="7">
        <v>28.248343166736678</v>
      </c>
      <c r="N36" s="7">
        <v>201.67365406255837</v>
      </c>
      <c r="O36" s="7">
        <v>976.16427316397414</v>
      </c>
      <c r="P36" s="7">
        <v>6229.5863923752786</v>
      </c>
      <c r="Q36" s="7">
        <v>1298.1191051673059</v>
      </c>
      <c r="R36" s="7">
        <v>110.11034991109855</v>
      </c>
      <c r="S36" s="7">
        <v>513.13894800210517</v>
      </c>
      <c r="T36" s="7">
        <v>1081.4864808357172</v>
      </c>
      <c r="U36" s="7">
        <v>182.48110953373273</v>
      </c>
      <c r="V36" s="7">
        <v>4815.8215036369493</v>
      </c>
      <c r="W36" s="7">
        <v>931.66666900853079</v>
      </c>
      <c r="X36" s="7">
        <v>650.48054699301792</v>
      </c>
      <c r="Y36" s="7">
        <v>740.78977262208264</v>
      </c>
      <c r="Z36" s="7">
        <v>1439.9073432148925</v>
      </c>
      <c r="AA36" s="7">
        <v>353.0731050705171</v>
      </c>
      <c r="AB36" s="7">
        <v>999.31661956267953</v>
      </c>
      <c r="AC36" s="7">
        <v>1027.9378701915614</v>
      </c>
      <c r="AD36" s="7">
        <v>5103.4124828193981</v>
      </c>
      <c r="AE36" s="7">
        <v>4153.9526029350609</v>
      </c>
      <c r="AF36" s="7">
        <v>16980.481989607546</v>
      </c>
      <c r="AG36" s="7">
        <v>2647.3300758945338</v>
      </c>
      <c r="AH36" s="7">
        <v>685.82891540818218</v>
      </c>
      <c r="AI36" s="7">
        <v>1310.7492650524989</v>
      </c>
      <c r="AJ36" s="7">
        <v>1717.5138006739205</v>
      </c>
      <c r="AK36" s="7">
        <v>8.8104669795549869E-3</v>
      </c>
      <c r="AL36" s="7">
        <v>557.13499622825611</v>
      </c>
      <c r="AM36" s="7">
        <v>0</v>
      </c>
      <c r="AN36" s="7">
        <v>2413.3602819728885</v>
      </c>
      <c r="AO36" s="7">
        <v>7311.388661346683</v>
      </c>
      <c r="AP36" s="7">
        <v>69.663366777301945</v>
      </c>
      <c r="AQ36" s="7">
        <v>44808.456221290005</v>
      </c>
      <c r="AR36" s="7">
        <f t="shared" si="0"/>
        <v>55160.003527615132</v>
      </c>
      <c r="AS36" s="7">
        <v>113223.56523599055</v>
      </c>
    </row>
    <row r="37" spans="1:45" ht="15" x14ac:dyDescent="0.2">
      <c r="A37" s="5" t="s">
        <v>32</v>
      </c>
      <c r="B37" s="6" t="s">
        <v>74</v>
      </c>
      <c r="C37" s="7">
        <v>0.19575456957035103</v>
      </c>
      <c r="D37" s="7">
        <v>0</v>
      </c>
      <c r="E37" s="7">
        <v>3.3551878099087147</v>
      </c>
      <c r="F37" s="7">
        <v>0.2841717257424628</v>
      </c>
      <c r="G37" s="7">
        <v>4.1410197829880827E-2</v>
      </c>
      <c r="H37" s="7">
        <v>0.17121411586288895</v>
      </c>
      <c r="I37" s="7">
        <v>4.8646819532224059</v>
      </c>
      <c r="J37" s="7">
        <v>13.152646693639532</v>
      </c>
      <c r="K37" s="7">
        <v>7.4448263703079878</v>
      </c>
      <c r="L37" s="7">
        <v>0.52464442832133729</v>
      </c>
      <c r="M37" s="7">
        <v>1.5952175716541446</v>
      </c>
      <c r="N37" s="7">
        <v>3.7235827573454072</v>
      </c>
      <c r="O37" s="7">
        <v>3.5344229221823511</v>
      </c>
      <c r="P37" s="7">
        <v>14.069062072762147</v>
      </c>
      <c r="Q37" s="7">
        <v>6.6344478836752341</v>
      </c>
      <c r="R37" s="7">
        <v>1.1207243786448342</v>
      </c>
      <c r="S37" s="7">
        <v>12.08265612762316</v>
      </c>
      <c r="T37" s="7">
        <v>34.648511867256296</v>
      </c>
      <c r="U37" s="7">
        <v>4.8171838349725489</v>
      </c>
      <c r="V37" s="7">
        <v>118.74117531692048</v>
      </c>
      <c r="W37" s="7">
        <v>52.835004890979533</v>
      </c>
      <c r="X37" s="7">
        <v>26.744951816329078</v>
      </c>
      <c r="Y37" s="7">
        <v>11.088284232136166</v>
      </c>
      <c r="Z37" s="7">
        <v>26.004008906863046</v>
      </c>
      <c r="AA37" s="7">
        <v>49.020576333758115</v>
      </c>
      <c r="AB37" s="7">
        <v>34.770182572221906</v>
      </c>
      <c r="AC37" s="7">
        <v>17.211518646906224</v>
      </c>
      <c r="AD37" s="7">
        <v>83.049132722904901</v>
      </c>
      <c r="AE37" s="7">
        <v>142.10366727973894</v>
      </c>
      <c r="AF37" s="7">
        <v>152.56835407604089</v>
      </c>
      <c r="AG37" s="7">
        <v>174.73356766153938</v>
      </c>
      <c r="AH37" s="7">
        <v>9.2839469666085535</v>
      </c>
      <c r="AI37" s="7">
        <v>14.251082097995111</v>
      </c>
      <c r="AJ37" s="7">
        <v>61.855528909182929</v>
      </c>
      <c r="AK37" s="7">
        <v>3.0377578836990361E-2</v>
      </c>
      <c r="AL37" s="7">
        <v>293.25213412217312</v>
      </c>
      <c r="AM37" s="7">
        <v>0</v>
      </c>
      <c r="AN37" s="7">
        <v>29357.632406486253</v>
      </c>
      <c r="AO37" s="7">
        <v>236.54070447466316</v>
      </c>
      <c r="AP37" s="7">
        <v>0.22424366742408211</v>
      </c>
      <c r="AQ37" s="7">
        <v>354.52482277759293</v>
      </c>
      <c r="AR37" s="7">
        <f t="shared" si="0"/>
        <v>30242.174311528106</v>
      </c>
      <c r="AS37" s="7">
        <v>31328.72601881759</v>
      </c>
    </row>
    <row r="38" spans="1:45" ht="15" x14ac:dyDescent="0.2">
      <c r="A38" s="5" t="s">
        <v>33</v>
      </c>
      <c r="B38" s="6" t="s">
        <v>75</v>
      </c>
      <c r="C38" s="7">
        <v>0.17761016776344238</v>
      </c>
      <c r="D38" s="7">
        <v>0</v>
      </c>
      <c r="E38" s="7">
        <v>3.6568071187853359</v>
      </c>
      <c r="F38" s="7">
        <v>0.20190357384490099</v>
      </c>
      <c r="G38" s="7">
        <v>5.1560024244822415E-2</v>
      </c>
      <c r="H38" s="7">
        <v>0.103447118696271</v>
      </c>
      <c r="I38" s="7">
        <v>4.3020196347770066</v>
      </c>
      <c r="J38" s="7">
        <v>6.7039225498030168</v>
      </c>
      <c r="K38" s="7">
        <v>15.932832197135147</v>
      </c>
      <c r="L38" s="7">
        <v>0.74611338985140108</v>
      </c>
      <c r="M38" s="7">
        <v>0.56156001587144111</v>
      </c>
      <c r="N38" s="7">
        <v>4.9118404964318589</v>
      </c>
      <c r="O38" s="7">
        <v>8.4421072160567245</v>
      </c>
      <c r="P38" s="7">
        <v>20.686130836078028</v>
      </c>
      <c r="Q38" s="7">
        <v>22.776039518486513</v>
      </c>
      <c r="R38" s="7">
        <v>0.51065268202495584</v>
      </c>
      <c r="S38" s="7">
        <v>4.297885079976111</v>
      </c>
      <c r="T38" s="7">
        <v>5.9751224079985894</v>
      </c>
      <c r="U38" s="7">
        <v>1.0218427896177307</v>
      </c>
      <c r="V38" s="7">
        <v>18.77983680326868</v>
      </c>
      <c r="W38" s="7">
        <v>14.606202000799538</v>
      </c>
      <c r="X38" s="7">
        <v>25.158975548317109</v>
      </c>
      <c r="Y38" s="7">
        <v>2.4050781495883875</v>
      </c>
      <c r="Z38" s="7">
        <v>8.3069415346578523</v>
      </c>
      <c r="AA38" s="7">
        <v>2.6878389740480069</v>
      </c>
      <c r="AB38" s="7">
        <v>4.9880390557844008</v>
      </c>
      <c r="AC38" s="7">
        <v>4.2358007672802849</v>
      </c>
      <c r="AD38" s="7">
        <v>29.852376695945928</v>
      </c>
      <c r="AE38" s="7">
        <v>15.218601566167347</v>
      </c>
      <c r="AF38" s="7">
        <v>55.282660899500556</v>
      </c>
      <c r="AG38" s="7">
        <v>1347.8161398098155</v>
      </c>
      <c r="AH38" s="7">
        <v>207.36104891424336</v>
      </c>
      <c r="AI38" s="7">
        <v>15.783098593999492</v>
      </c>
      <c r="AJ38" s="7">
        <v>10.339710859255002</v>
      </c>
      <c r="AK38" s="7">
        <v>3.0968815094171905E-4</v>
      </c>
      <c r="AL38" s="7">
        <v>1593.9329345368396</v>
      </c>
      <c r="AM38" s="7">
        <v>0</v>
      </c>
      <c r="AN38" s="7">
        <v>7130.5258144896916</v>
      </c>
      <c r="AO38" s="7">
        <v>646.65067000470765</v>
      </c>
      <c r="AP38" s="7">
        <v>5.6853398517336937E-2</v>
      </c>
      <c r="AQ38" s="7">
        <v>1576.5812332348382</v>
      </c>
      <c r="AR38" s="7">
        <f t="shared" si="0"/>
        <v>10947.747505664594</v>
      </c>
      <c r="AS38" s="7">
        <v>12811.62956234286</v>
      </c>
    </row>
    <row r="39" spans="1:45" ht="15" x14ac:dyDescent="0.2">
      <c r="A39" s="5" t="s">
        <v>34</v>
      </c>
      <c r="B39" s="6" t="s">
        <v>76</v>
      </c>
      <c r="C39" s="7">
        <v>3.7865309358113466</v>
      </c>
      <c r="D39" s="7">
        <v>0</v>
      </c>
      <c r="E39" s="7">
        <v>1.1051159773605455</v>
      </c>
      <c r="F39" s="7">
        <v>7.8031457684710273E-2</v>
      </c>
      <c r="G39" s="7">
        <v>1.3267225493769975E-2</v>
      </c>
      <c r="H39" s="7">
        <v>5.1309551674800342E-2</v>
      </c>
      <c r="I39" s="7">
        <v>0.96431831951823743</v>
      </c>
      <c r="J39" s="7">
        <v>2.8025336692731639</v>
      </c>
      <c r="K39" s="7">
        <v>3.2355080628112876</v>
      </c>
      <c r="L39" s="7">
        <v>0.19866305328811754</v>
      </c>
      <c r="M39" s="7">
        <v>7.6374498193511609E-2</v>
      </c>
      <c r="N39" s="7">
        <v>1.1485796318219335</v>
      </c>
      <c r="O39" s="7">
        <v>1.1805229263952426</v>
      </c>
      <c r="P39" s="7">
        <v>5.5458115988591654</v>
      </c>
      <c r="Q39" s="7">
        <v>1.9254324765885524</v>
      </c>
      <c r="R39" s="7">
        <v>0.22489786898991537</v>
      </c>
      <c r="S39" s="7">
        <v>3.0170036016399333</v>
      </c>
      <c r="T39" s="7">
        <v>5.3762239623353958</v>
      </c>
      <c r="U39" s="7">
        <v>1.13119981560674</v>
      </c>
      <c r="V39" s="7">
        <v>26.307440384777603</v>
      </c>
      <c r="W39" s="7">
        <v>18.793346818390933</v>
      </c>
      <c r="X39" s="7">
        <v>9.7771587559874114</v>
      </c>
      <c r="Y39" s="7">
        <v>2.1496643073280008</v>
      </c>
      <c r="Z39" s="7">
        <v>7.0982662247859105</v>
      </c>
      <c r="AA39" s="7">
        <v>3.8016386428296145</v>
      </c>
      <c r="AB39" s="7">
        <v>8.7686243458489628</v>
      </c>
      <c r="AC39" s="7">
        <v>1.9150227580775083</v>
      </c>
      <c r="AD39" s="7">
        <v>22.177838432074982</v>
      </c>
      <c r="AE39" s="7">
        <v>12.583419266959025</v>
      </c>
      <c r="AF39" s="7">
        <v>31.987749986619523</v>
      </c>
      <c r="AG39" s="7">
        <v>5758.0216276751435</v>
      </c>
      <c r="AH39" s="7">
        <v>9.7443146586359735</v>
      </c>
      <c r="AI39" s="7">
        <v>1351.2811926595368</v>
      </c>
      <c r="AJ39" s="7">
        <v>97.954945203453633</v>
      </c>
      <c r="AK39" s="7">
        <v>3.8961060380036277E-4</v>
      </c>
      <c r="AL39" s="7">
        <v>4839.8212822636278</v>
      </c>
      <c r="AM39" s="7">
        <v>0</v>
      </c>
      <c r="AN39" s="7">
        <v>1255.831442908534</v>
      </c>
      <c r="AO39" s="7">
        <v>201.01680085740728</v>
      </c>
      <c r="AP39" s="7">
        <v>0</v>
      </c>
      <c r="AQ39" s="7">
        <v>1373.2749398059711</v>
      </c>
      <c r="AR39" s="7">
        <f t="shared" si="0"/>
        <v>7669.9444658355405</v>
      </c>
      <c r="AS39" s="7">
        <v>15064.168430199938</v>
      </c>
    </row>
    <row r="40" spans="1:45" ht="15" x14ac:dyDescent="0.2">
      <c r="A40" s="5" t="s">
        <v>35</v>
      </c>
      <c r="B40" s="6" t="s">
        <v>77</v>
      </c>
      <c r="C40" s="7">
        <v>1.4781638104276504</v>
      </c>
      <c r="D40" s="7">
        <v>0</v>
      </c>
      <c r="E40" s="7">
        <v>12.386258226058358</v>
      </c>
      <c r="F40" s="7">
        <v>1.6142313431354314</v>
      </c>
      <c r="G40" s="7">
        <v>0.36080939788752703</v>
      </c>
      <c r="H40" s="7">
        <v>1.1824936144849914</v>
      </c>
      <c r="I40" s="7">
        <v>45.65733788009657</v>
      </c>
      <c r="J40" s="7">
        <v>17.169560433721244</v>
      </c>
      <c r="K40" s="7">
        <v>46.028866746958506</v>
      </c>
      <c r="L40" s="7">
        <v>1.5107448507950001</v>
      </c>
      <c r="M40" s="7">
        <v>50.947442871538982</v>
      </c>
      <c r="N40" s="7">
        <v>35.39639830835808</v>
      </c>
      <c r="O40" s="7">
        <v>16.917132767778963</v>
      </c>
      <c r="P40" s="7">
        <v>105.07086971982321</v>
      </c>
      <c r="Q40" s="7">
        <v>23.377156169384168</v>
      </c>
      <c r="R40" s="7">
        <v>4.3849936104504108</v>
      </c>
      <c r="S40" s="7">
        <v>148.96473927953625</v>
      </c>
      <c r="T40" s="7">
        <v>35.534878386248813</v>
      </c>
      <c r="U40" s="7">
        <v>18.082258068736728</v>
      </c>
      <c r="V40" s="7">
        <v>461.38268806724534</v>
      </c>
      <c r="W40" s="7">
        <v>155.31734268311425</v>
      </c>
      <c r="X40" s="7">
        <v>77.728998268257399</v>
      </c>
      <c r="Y40" s="7">
        <v>46.897314065892402</v>
      </c>
      <c r="Z40" s="7">
        <v>35.05743472791336</v>
      </c>
      <c r="AA40" s="7">
        <v>20.667066716666188</v>
      </c>
      <c r="AB40" s="7">
        <v>64.40537210535777</v>
      </c>
      <c r="AC40" s="7">
        <v>70.757134363439249</v>
      </c>
      <c r="AD40" s="7">
        <v>227.70058178939004</v>
      </c>
      <c r="AE40" s="7">
        <v>174.64545985591991</v>
      </c>
      <c r="AF40" s="7">
        <v>420.89676081061452</v>
      </c>
      <c r="AG40" s="7">
        <v>664.65840360207471</v>
      </c>
      <c r="AH40" s="7">
        <v>158.43640192439963</v>
      </c>
      <c r="AI40" s="7">
        <v>111.737587813787</v>
      </c>
      <c r="AJ40" s="7">
        <v>1701.9211544686182</v>
      </c>
      <c r="AK40" s="7">
        <v>2.2453188799461819E-4</v>
      </c>
      <c r="AL40" s="7">
        <v>3125.9446852987694</v>
      </c>
      <c r="AM40" s="7">
        <v>0</v>
      </c>
      <c r="AN40" s="7">
        <v>2070.871910816782</v>
      </c>
      <c r="AO40" s="7">
        <v>111.16796710236837</v>
      </c>
      <c r="AP40" s="7">
        <v>5.4228528942666578E-4</v>
      </c>
      <c r="AQ40" s="7">
        <v>5878.2937933582307</v>
      </c>
      <c r="AR40" s="7">
        <f t="shared" si="0"/>
        <v>11186.278898861441</v>
      </c>
      <c r="AS40" s="7">
        <v>16144.55316014144</v>
      </c>
    </row>
    <row r="41" spans="1:45" ht="15" x14ac:dyDescent="0.2">
      <c r="A41" s="5" t="s">
        <v>36</v>
      </c>
      <c r="B41" s="6" t="s">
        <v>78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2030.6010183579804</v>
      </c>
      <c r="AM41" s="7">
        <v>0</v>
      </c>
      <c r="AN41" s="7">
        <v>0</v>
      </c>
      <c r="AO41" s="7">
        <v>0</v>
      </c>
      <c r="AP41" s="7">
        <v>0</v>
      </c>
      <c r="AQ41" s="7">
        <v>2.1108441000111215E-14</v>
      </c>
      <c r="AR41" s="7">
        <f t="shared" si="0"/>
        <v>2030.6010183579804</v>
      </c>
      <c r="AS41" s="7">
        <v>2030.6010183579804</v>
      </c>
    </row>
    <row r="42" spans="1:45" ht="15" x14ac:dyDescent="0.2">
      <c r="A42" s="5" t="s">
        <v>85</v>
      </c>
      <c r="B42" s="6" t="s">
        <v>86</v>
      </c>
      <c r="C42" s="7">
        <v>35.452172471467463</v>
      </c>
      <c r="D42" s="7">
        <v>0</v>
      </c>
      <c r="E42" s="7">
        <v>1907.0584348301368</v>
      </c>
      <c r="F42" s="7">
        <v>113.71588020128209</v>
      </c>
      <c r="G42" s="7">
        <v>13.807883880923313</v>
      </c>
      <c r="H42" s="7">
        <v>28.178100109901347</v>
      </c>
      <c r="I42" s="7">
        <v>2490.1380203466661</v>
      </c>
      <c r="J42" s="7">
        <v>11586.561846071934</v>
      </c>
      <c r="K42" s="7">
        <v>12305.299072173944</v>
      </c>
      <c r="L42" s="7">
        <v>167.95217460300864</v>
      </c>
      <c r="M42" s="7">
        <v>258.02940480846144</v>
      </c>
      <c r="N42" s="7">
        <v>1906.763705900843</v>
      </c>
      <c r="O42" s="7">
        <v>2905.3971164824779</v>
      </c>
      <c r="P42" s="7">
        <v>34767.292246653073</v>
      </c>
      <c r="Q42" s="7">
        <v>4019.6182495024254</v>
      </c>
      <c r="R42" s="7">
        <v>551.00092969962839</v>
      </c>
      <c r="S42" s="7">
        <v>2284.5371426117522</v>
      </c>
      <c r="T42" s="7">
        <v>2899.0159885808107</v>
      </c>
      <c r="U42" s="7">
        <v>853.92086683400112</v>
      </c>
      <c r="V42" s="7">
        <v>46304.100152184939</v>
      </c>
      <c r="W42" s="7">
        <v>596.25391934829941</v>
      </c>
      <c r="X42" s="7">
        <v>1276.3444798318994</v>
      </c>
      <c r="Y42" s="7">
        <v>331.52674435398262</v>
      </c>
      <c r="Z42" s="7">
        <v>40403.676021013693</v>
      </c>
      <c r="AA42" s="7">
        <v>4092.285425343206</v>
      </c>
      <c r="AB42" s="7">
        <v>3324.7237301317928</v>
      </c>
      <c r="AC42" s="7">
        <v>3588.7118992389064</v>
      </c>
      <c r="AD42" s="7">
        <v>22946.561759451379</v>
      </c>
      <c r="AE42" s="7">
        <v>271.89564180842177</v>
      </c>
      <c r="AF42" s="7">
        <v>38227.830776876981</v>
      </c>
      <c r="AG42" s="7">
        <v>2906.0972352419913</v>
      </c>
      <c r="AH42" s="7">
        <v>626.45339946333661</v>
      </c>
      <c r="AI42" s="7">
        <v>1039.6555673342791</v>
      </c>
      <c r="AJ42" s="7">
        <v>1643.9242313157997</v>
      </c>
      <c r="AK42" s="7">
        <v>0</v>
      </c>
      <c r="AL42" s="7">
        <v>39088.967816741475</v>
      </c>
      <c r="AM42" s="7">
        <v>0</v>
      </c>
      <c r="AN42" s="7">
        <v>7.5701286788648197E-13</v>
      </c>
      <c r="AO42" s="7">
        <v>30080.811175082075</v>
      </c>
      <c r="AP42" s="7">
        <v>5677.5919711568349</v>
      </c>
      <c r="AQ42" s="7">
        <v>0</v>
      </c>
      <c r="AR42" s="7"/>
      <c r="AS42" s="7">
        <v>321521.15118168213</v>
      </c>
    </row>
    <row r="43" spans="1:45" ht="15" x14ac:dyDescent="0.2">
      <c r="A43" s="8" t="s">
        <v>87</v>
      </c>
      <c r="B43" s="4" t="s">
        <v>88</v>
      </c>
      <c r="C43" s="9">
        <v>176.67579438659629</v>
      </c>
      <c r="D43" s="9">
        <v>0</v>
      </c>
      <c r="E43" s="9">
        <v>5019.6013099584143</v>
      </c>
      <c r="F43" s="9">
        <v>241.70521850199623</v>
      </c>
      <c r="G43" s="9">
        <v>31.173520269743786</v>
      </c>
      <c r="H43" s="9">
        <v>109.51683588168511</v>
      </c>
      <c r="I43" s="9">
        <v>4992.9496189289384</v>
      </c>
      <c r="J43" s="9">
        <v>21633.103695796377</v>
      </c>
      <c r="K43" s="9">
        <v>37269.644389689114</v>
      </c>
      <c r="L43" s="9">
        <v>896.88901781104255</v>
      </c>
      <c r="M43" s="9">
        <v>640.27638227341686</v>
      </c>
      <c r="N43" s="9">
        <v>4705.0048136348714</v>
      </c>
      <c r="O43" s="9">
        <v>8942.7857669785371</v>
      </c>
      <c r="P43" s="9">
        <v>84158.167005184063</v>
      </c>
      <c r="Q43" s="9">
        <v>9547.7701930448857</v>
      </c>
      <c r="R43" s="9">
        <v>1396.2649918645373</v>
      </c>
      <c r="S43" s="9">
        <v>7053.9391486740433</v>
      </c>
      <c r="T43" s="9">
        <v>19632.398125497806</v>
      </c>
      <c r="U43" s="9">
        <v>2033.4628093022941</v>
      </c>
      <c r="V43" s="9">
        <v>77242.688111916184</v>
      </c>
      <c r="W43" s="9">
        <v>6974.4868329169185</v>
      </c>
      <c r="X43" s="9">
        <v>6194.9850896793459</v>
      </c>
      <c r="Y43" s="9">
        <v>3389.8001333073198</v>
      </c>
      <c r="Z43" s="9">
        <v>66597.502814173116</v>
      </c>
      <c r="AA43" s="9">
        <v>9054.7757632694684</v>
      </c>
      <c r="AB43" s="9">
        <v>12772.521898061525</v>
      </c>
      <c r="AC43" s="9">
        <v>8744.6276288601275</v>
      </c>
      <c r="AD43" s="9">
        <v>50945.65360388095</v>
      </c>
      <c r="AE43" s="9">
        <v>12834.850374659793</v>
      </c>
      <c r="AF43" s="9">
        <v>69363.367032074995</v>
      </c>
      <c r="AG43" s="9">
        <v>22787.555451409098</v>
      </c>
      <c r="AH43" s="9">
        <v>3069.6135712226069</v>
      </c>
      <c r="AI43" s="9">
        <v>6268.3740855196465</v>
      </c>
      <c r="AJ43" s="9">
        <v>8140.8120799061644</v>
      </c>
      <c r="AK43" s="9">
        <v>1.1126538242865538</v>
      </c>
      <c r="AL43" s="9">
        <v>100681.01607485498</v>
      </c>
      <c r="AM43" s="9">
        <v>0</v>
      </c>
      <c r="AN43" s="9">
        <v>42616.600933749571</v>
      </c>
      <c r="AO43" s="9">
        <v>69156.823377186578</v>
      </c>
      <c r="AP43" s="9">
        <v>12380.143625920291</v>
      </c>
      <c r="AQ43" s="9">
        <v>430231.28411719535</v>
      </c>
      <c r="AR43" s="9"/>
      <c r="AS43" s="9">
        <v>1227929.9238912661</v>
      </c>
    </row>
    <row r="44" spans="1:45" ht="15" x14ac:dyDescent="0.2">
      <c r="A44" s="10" t="s">
        <v>89</v>
      </c>
      <c r="B44" s="11" t="s">
        <v>90</v>
      </c>
      <c r="C44" s="7">
        <v>0.54131503076932597</v>
      </c>
      <c r="D44" s="7">
        <v>0</v>
      </c>
      <c r="E44" s="7">
        <v>2.2646139647516481</v>
      </c>
      <c r="F44" s="7">
        <v>2.8080635648486004E-2</v>
      </c>
      <c r="G44" s="7">
        <v>1.463466385765739E-2</v>
      </c>
      <c r="H44" s="7">
        <v>8.9938453344770852E-2</v>
      </c>
      <c r="I44" s="7">
        <v>3.0742268873390706</v>
      </c>
      <c r="J44" s="7">
        <v>0.1331261697099167</v>
      </c>
      <c r="K44" s="7">
        <v>13.014716069274423</v>
      </c>
      <c r="L44" s="7">
        <v>0.41965318475276264</v>
      </c>
      <c r="M44" s="7">
        <v>0.14932541483191808</v>
      </c>
      <c r="N44" s="7">
        <v>0.86151024057507064</v>
      </c>
      <c r="O44" s="7">
        <v>5.2003089392605251</v>
      </c>
      <c r="P44" s="7">
        <v>7.3233539097044389</v>
      </c>
      <c r="Q44" s="7">
        <v>0.90504955614100679</v>
      </c>
      <c r="R44" s="7">
        <v>0.23244322176927457</v>
      </c>
      <c r="S44" s="7">
        <v>2.9127756414985599</v>
      </c>
      <c r="T44" s="7">
        <v>4.0547721757609994</v>
      </c>
      <c r="U44" s="7">
        <v>0.90462387963434532</v>
      </c>
      <c r="V44" s="7">
        <v>42.274030272241447</v>
      </c>
      <c r="W44" s="7">
        <v>7.5625517810600726</v>
      </c>
      <c r="X44" s="7">
        <v>128.52584722863207</v>
      </c>
      <c r="Y44" s="7">
        <v>7.2055599240054828</v>
      </c>
      <c r="Z44" s="7">
        <v>15.25049646988319</v>
      </c>
      <c r="AA44" s="7">
        <v>18.191564028978142</v>
      </c>
      <c r="AB44" s="7">
        <v>18.511416889847698</v>
      </c>
      <c r="AC44" s="7">
        <v>6.5148769889237244</v>
      </c>
      <c r="AD44" s="7">
        <v>254.47947863118586</v>
      </c>
      <c r="AE44" s="7">
        <v>232.77619200604826</v>
      </c>
      <c r="AF44" s="7">
        <v>104.38081504764618</v>
      </c>
      <c r="AG44" s="7">
        <v>28.477065295559726</v>
      </c>
      <c r="AH44" s="7">
        <v>99.537435073305858</v>
      </c>
      <c r="AI44" s="7">
        <v>159.89456631353656</v>
      </c>
      <c r="AJ44" s="7">
        <v>56.003256985163539</v>
      </c>
      <c r="AK44" s="7">
        <v>0</v>
      </c>
      <c r="AL44" s="7">
        <v>11474.689401411326</v>
      </c>
      <c r="AM44" s="7">
        <v>0</v>
      </c>
      <c r="AN44" s="7">
        <v>0</v>
      </c>
      <c r="AO44" s="7">
        <v>3372.7685150153175</v>
      </c>
      <c r="AP44" s="7">
        <v>0</v>
      </c>
      <c r="AQ44" s="7">
        <v>0</v>
      </c>
      <c r="AR44" s="7"/>
      <c r="AS44" s="7">
        <v>16069.167537401285</v>
      </c>
    </row>
    <row r="45" spans="1:45" ht="15" x14ac:dyDescent="0.2">
      <c r="A45" s="10" t="s">
        <v>91</v>
      </c>
      <c r="B45" s="11" t="s">
        <v>92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/>
      <c r="AS45" s="7">
        <v>0</v>
      </c>
    </row>
    <row r="46" spans="1:45" ht="15" x14ac:dyDescent="0.2">
      <c r="A46" s="10" t="s">
        <v>93</v>
      </c>
      <c r="B46" s="11" t="s">
        <v>94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/>
      <c r="AS46" s="7">
        <v>0</v>
      </c>
    </row>
    <row r="47" spans="1:45" ht="15" x14ac:dyDescent="0.2">
      <c r="A47" s="10" t="s">
        <v>95</v>
      </c>
      <c r="B47" s="11" t="s">
        <v>96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/>
      <c r="AS47" s="7">
        <v>0</v>
      </c>
    </row>
    <row r="48" spans="1:45" ht="15" x14ac:dyDescent="0.2">
      <c r="A48" s="10" t="s">
        <v>97</v>
      </c>
      <c r="B48" s="11" t="s">
        <v>98</v>
      </c>
      <c r="C48" s="7">
        <v>114.58666779409162</v>
      </c>
      <c r="D48" s="7">
        <v>0</v>
      </c>
      <c r="E48" s="7">
        <v>2948.7051417248131</v>
      </c>
      <c r="F48" s="7">
        <v>86.651190760004653</v>
      </c>
      <c r="G48" s="7">
        <v>20.164022374387319</v>
      </c>
      <c r="H48" s="7">
        <v>64.999648149622431</v>
      </c>
      <c r="I48" s="7">
        <v>2221.5323137065975</v>
      </c>
      <c r="J48" s="7">
        <v>361.2946806816451</v>
      </c>
      <c r="K48" s="7">
        <v>14030.241622505391</v>
      </c>
      <c r="L48" s="7">
        <v>535.59983972619682</v>
      </c>
      <c r="M48" s="7">
        <v>145.43336240074419</v>
      </c>
      <c r="N48" s="7">
        <v>1679.7284726933142</v>
      </c>
      <c r="O48" s="7">
        <v>3271.8658656847883</v>
      </c>
      <c r="P48" s="7">
        <v>40920.028882678751</v>
      </c>
      <c r="Q48" s="7">
        <v>3854.0396614557512</v>
      </c>
      <c r="R48" s="7">
        <v>730.46391170356696</v>
      </c>
      <c r="S48" s="7">
        <v>3605.7303768001848</v>
      </c>
      <c r="T48" s="7">
        <v>7981.7115522833192</v>
      </c>
      <c r="U48" s="7">
        <v>1148.0385664933292</v>
      </c>
      <c r="V48" s="7">
        <v>58486.56832034485</v>
      </c>
      <c r="W48" s="7">
        <v>5349.8447882621167</v>
      </c>
      <c r="X48" s="7">
        <v>4754.8756107725367</v>
      </c>
      <c r="Y48" s="7">
        <v>3362.4699569721765</v>
      </c>
      <c r="Z48" s="7">
        <v>5430.4444377769832</v>
      </c>
      <c r="AA48" s="7">
        <v>2837.385867017384</v>
      </c>
      <c r="AB48" s="7">
        <v>8934.6824945985118</v>
      </c>
      <c r="AC48" s="7">
        <v>4841.632644833946</v>
      </c>
      <c r="AD48" s="7">
        <v>50600.994147455014</v>
      </c>
      <c r="AE48" s="7">
        <v>23479.17786542161</v>
      </c>
      <c r="AF48" s="7">
        <v>43755.817388867836</v>
      </c>
      <c r="AG48" s="7">
        <v>8512.6935021129266</v>
      </c>
      <c r="AH48" s="7">
        <v>9642.47855604695</v>
      </c>
      <c r="AI48" s="7">
        <v>8635.8997783667583</v>
      </c>
      <c r="AJ48" s="7">
        <v>7947.7378232501087</v>
      </c>
      <c r="AK48" s="7">
        <v>2029.4883645336931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/>
      <c r="AS48" s="7">
        <v>332323.00732624991</v>
      </c>
    </row>
    <row r="49" spans="1:45" ht="15" x14ac:dyDescent="0.2">
      <c r="A49" s="10" t="s">
        <v>99</v>
      </c>
      <c r="B49" s="11" t="s">
        <v>100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/>
      <c r="AS49" s="7">
        <v>0</v>
      </c>
    </row>
    <row r="50" spans="1:45" ht="15" x14ac:dyDescent="0.2">
      <c r="A50" s="8" t="s">
        <v>43</v>
      </c>
      <c r="B50" s="4" t="s">
        <v>101</v>
      </c>
      <c r="C50" s="9">
        <v>291.80377721145726</v>
      </c>
      <c r="D50" s="9">
        <v>0</v>
      </c>
      <c r="E50" s="9">
        <v>7970.5710656479787</v>
      </c>
      <c r="F50" s="9">
        <v>328.38448989764936</v>
      </c>
      <c r="G50" s="9">
        <v>51.352177307988761</v>
      </c>
      <c r="H50" s="9">
        <v>174.60642248465231</v>
      </c>
      <c r="I50" s="9">
        <v>7217.5561595228755</v>
      </c>
      <c r="J50" s="9">
        <v>21994.531502647729</v>
      </c>
      <c r="K50" s="9">
        <v>51312.900728263776</v>
      </c>
      <c r="L50" s="9">
        <v>1432.9085107219921</v>
      </c>
      <c r="M50" s="9">
        <v>785.85907008899289</v>
      </c>
      <c r="N50" s="9">
        <v>6385.5947965687601</v>
      </c>
      <c r="O50" s="9">
        <v>12219.851941602585</v>
      </c>
      <c r="P50" s="9">
        <v>125085.5192417725</v>
      </c>
      <c r="Q50" s="9">
        <v>13402.714904056778</v>
      </c>
      <c r="R50" s="9">
        <v>2126.9613467898735</v>
      </c>
      <c r="S50" s="9">
        <v>10662.582301115726</v>
      </c>
      <c r="T50" s="9">
        <v>27618.164449956887</v>
      </c>
      <c r="U50" s="9">
        <v>3182.4059996752576</v>
      </c>
      <c r="V50" s="9">
        <v>135771.53046253326</v>
      </c>
      <c r="W50" s="9">
        <v>12331.894172960096</v>
      </c>
      <c r="X50" s="9">
        <v>11078.386547680515</v>
      </c>
      <c r="Y50" s="9">
        <v>6759.4756502035016</v>
      </c>
      <c r="Z50" s="9">
        <v>72043.197748419989</v>
      </c>
      <c r="AA50" s="9">
        <v>11910.35319431583</v>
      </c>
      <c r="AB50" s="9">
        <v>21725.715809549882</v>
      </c>
      <c r="AC50" s="9">
        <v>13592.775150682997</v>
      </c>
      <c r="AD50" s="9">
        <v>101801.12722996715</v>
      </c>
      <c r="AE50" s="9">
        <v>36546.804432087447</v>
      </c>
      <c r="AF50" s="9">
        <v>113223.56523599048</v>
      </c>
      <c r="AG50" s="9">
        <v>31328.726018817586</v>
      </c>
      <c r="AH50" s="9">
        <v>12811.629562342863</v>
      </c>
      <c r="AI50" s="9">
        <v>15064.168430199941</v>
      </c>
      <c r="AJ50" s="9">
        <v>16144.553160141437</v>
      </c>
      <c r="AK50" s="9">
        <v>2030.6010183579797</v>
      </c>
      <c r="AL50" s="9">
        <v>112155.7054762663</v>
      </c>
      <c r="AM50" s="9">
        <v>0</v>
      </c>
      <c r="AN50" s="9">
        <v>42616.600933749571</v>
      </c>
      <c r="AO50" s="9">
        <v>72529.59189220189</v>
      </c>
      <c r="AP50" s="9">
        <v>12380.143625920291</v>
      </c>
      <c r="AQ50" s="9">
        <v>430231.28411719535</v>
      </c>
      <c r="AR50" s="9"/>
      <c r="AS50" s="12">
        <v>1576322.0987549173</v>
      </c>
    </row>
    <row r="51" spans="1:45" ht="15" x14ac:dyDescent="0.2"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</row>
    <row r="52" spans="1:45" ht="15" x14ac:dyDescent="0.2">
      <c r="C52" s="14">
        <f>SUM(C7:C42)-C43</f>
        <v>0</v>
      </c>
      <c r="D52" s="14">
        <f t="shared" ref="D52:AS52" si="1">SUM(D7:D42)-D43</f>
        <v>0</v>
      </c>
      <c r="E52" s="14">
        <f t="shared" si="1"/>
        <v>0</v>
      </c>
      <c r="F52" s="14">
        <f t="shared" si="1"/>
        <v>0</v>
      </c>
      <c r="G52" s="14">
        <f t="shared" si="1"/>
        <v>0</v>
      </c>
      <c r="H52" s="14">
        <f t="shared" si="1"/>
        <v>0</v>
      </c>
      <c r="I52" s="14">
        <f t="shared" si="1"/>
        <v>0</v>
      </c>
      <c r="J52" s="14">
        <f t="shared" si="1"/>
        <v>0</v>
      </c>
      <c r="K52" s="14">
        <f t="shared" si="1"/>
        <v>0</v>
      </c>
      <c r="L52" s="14">
        <f t="shared" si="1"/>
        <v>0</v>
      </c>
      <c r="M52" s="14">
        <f t="shared" si="1"/>
        <v>0</v>
      </c>
      <c r="N52" s="14">
        <f t="shared" si="1"/>
        <v>0</v>
      </c>
      <c r="O52" s="14">
        <f t="shared" si="1"/>
        <v>0</v>
      </c>
      <c r="P52" s="14">
        <f t="shared" si="1"/>
        <v>0</v>
      </c>
      <c r="Q52" s="14">
        <f t="shared" si="1"/>
        <v>0</v>
      </c>
      <c r="R52" s="14">
        <f t="shared" si="1"/>
        <v>0</v>
      </c>
      <c r="S52" s="14">
        <f t="shared" si="1"/>
        <v>0</v>
      </c>
      <c r="T52" s="14">
        <f t="shared" si="1"/>
        <v>0</v>
      </c>
      <c r="U52" s="14">
        <f t="shared" si="1"/>
        <v>0</v>
      </c>
      <c r="V52" s="14">
        <f t="shared" si="1"/>
        <v>0</v>
      </c>
      <c r="W52" s="14">
        <f t="shared" si="1"/>
        <v>0</v>
      </c>
      <c r="X52" s="14">
        <f t="shared" si="1"/>
        <v>0</v>
      </c>
      <c r="Y52" s="14">
        <f t="shared" si="1"/>
        <v>0</v>
      </c>
      <c r="Z52" s="14">
        <f t="shared" si="1"/>
        <v>0</v>
      </c>
      <c r="AA52" s="14">
        <f t="shared" si="1"/>
        <v>0</v>
      </c>
      <c r="AB52" s="14">
        <f t="shared" si="1"/>
        <v>0</v>
      </c>
      <c r="AC52" s="14">
        <f t="shared" si="1"/>
        <v>0</v>
      </c>
      <c r="AD52" s="14">
        <f t="shared" si="1"/>
        <v>0</v>
      </c>
      <c r="AE52" s="14">
        <f t="shared" si="1"/>
        <v>0</v>
      </c>
      <c r="AF52" s="14">
        <f t="shared" si="1"/>
        <v>0</v>
      </c>
      <c r="AG52" s="14">
        <f t="shared" si="1"/>
        <v>0</v>
      </c>
      <c r="AH52" s="14">
        <f t="shared" si="1"/>
        <v>0</v>
      </c>
      <c r="AI52" s="14">
        <f t="shared" si="1"/>
        <v>0</v>
      </c>
      <c r="AJ52" s="14">
        <f t="shared" si="1"/>
        <v>0</v>
      </c>
      <c r="AK52" s="14">
        <f t="shared" si="1"/>
        <v>0</v>
      </c>
      <c r="AL52" s="14">
        <f t="shared" si="1"/>
        <v>0</v>
      </c>
      <c r="AM52" s="14">
        <f t="shared" si="1"/>
        <v>0</v>
      </c>
      <c r="AN52" s="14">
        <f t="shared" si="1"/>
        <v>0</v>
      </c>
      <c r="AO52" s="14">
        <f t="shared" si="1"/>
        <v>0</v>
      </c>
      <c r="AP52" s="14">
        <f t="shared" si="1"/>
        <v>0</v>
      </c>
      <c r="AQ52" s="14">
        <f t="shared" si="1"/>
        <v>0</v>
      </c>
      <c r="AR52" s="14"/>
      <c r="AS52" s="14">
        <f t="shared" si="1"/>
        <v>0</v>
      </c>
    </row>
    <row r="53" spans="1:45" ht="15" x14ac:dyDescent="0.2">
      <c r="C53" s="14">
        <f>SUM(C43:C49)-C50</f>
        <v>0</v>
      </c>
      <c r="D53" s="14">
        <f t="shared" ref="D53:AS53" si="2">SUM(D43:D49)-D50</f>
        <v>0</v>
      </c>
      <c r="E53" s="14">
        <f t="shared" si="2"/>
        <v>0</v>
      </c>
      <c r="F53" s="14">
        <f t="shared" si="2"/>
        <v>0</v>
      </c>
      <c r="G53" s="14">
        <f t="shared" si="2"/>
        <v>0</v>
      </c>
      <c r="H53" s="14">
        <f t="shared" si="2"/>
        <v>0</v>
      </c>
      <c r="I53" s="14">
        <f t="shared" si="2"/>
        <v>0</v>
      </c>
      <c r="J53" s="14">
        <f t="shared" si="2"/>
        <v>0</v>
      </c>
      <c r="K53" s="14">
        <f t="shared" si="2"/>
        <v>0</v>
      </c>
      <c r="L53" s="14">
        <f t="shared" si="2"/>
        <v>0</v>
      </c>
      <c r="M53" s="14">
        <f t="shared" si="2"/>
        <v>0</v>
      </c>
      <c r="N53" s="14">
        <f t="shared" si="2"/>
        <v>0</v>
      </c>
      <c r="O53" s="14">
        <f t="shared" si="2"/>
        <v>0</v>
      </c>
      <c r="P53" s="14">
        <f t="shared" si="2"/>
        <v>0</v>
      </c>
      <c r="Q53" s="14">
        <f t="shared" si="2"/>
        <v>0</v>
      </c>
      <c r="R53" s="14">
        <f t="shared" si="2"/>
        <v>0</v>
      </c>
      <c r="S53" s="14">
        <f t="shared" si="2"/>
        <v>0</v>
      </c>
      <c r="T53" s="14">
        <f t="shared" si="2"/>
        <v>0</v>
      </c>
      <c r="U53" s="14">
        <f t="shared" si="2"/>
        <v>0</v>
      </c>
      <c r="V53" s="14">
        <f t="shared" si="2"/>
        <v>0</v>
      </c>
      <c r="W53" s="14">
        <f t="shared" si="2"/>
        <v>0</v>
      </c>
      <c r="X53" s="14">
        <f t="shared" si="2"/>
        <v>0</v>
      </c>
      <c r="Y53" s="14">
        <f t="shared" si="2"/>
        <v>0</v>
      </c>
      <c r="Z53" s="14">
        <f t="shared" si="2"/>
        <v>0</v>
      </c>
      <c r="AA53" s="14">
        <f t="shared" si="2"/>
        <v>0</v>
      </c>
      <c r="AB53" s="14">
        <f t="shared" si="2"/>
        <v>0</v>
      </c>
      <c r="AC53" s="14">
        <f t="shared" si="2"/>
        <v>0</v>
      </c>
      <c r="AD53" s="14">
        <f t="shared" si="2"/>
        <v>0</v>
      </c>
      <c r="AE53" s="14">
        <f t="shared" si="2"/>
        <v>0</v>
      </c>
      <c r="AF53" s="14">
        <f t="shared" si="2"/>
        <v>0</v>
      </c>
      <c r="AG53" s="14">
        <f t="shared" si="2"/>
        <v>0</v>
      </c>
      <c r="AH53" s="14">
        <f t="shared" si="2"/>
        <v>0</v>
      </c>
      <c r="AI53" s="14">
        <f t="shared" si="2"/>
        <v>0</v>
      </c>
      <c r="AJ53" s="14">
        <f t="shared" si="2"/>
        <v>0</v>
      </c>
      <c r="AK53" s="14">
        <f t="shared" si="2"/>
        <v>0</v>
      </c>
      <c r="AL53" s="14">
        <f t="shared" si="2"/>
        <v>0</v>
      </c>
      <c r="AM53" s="14">
        <f t="shared" si="2"/>
        <v>0</v>
      </c>
      <c r="AN53" s="14">
        <f t="shared" si="2"/>
        <v>0</v>
      </c>
      <c r="AO53" s="14">
        <f t="shared" si="2"/>
        <v>0</v>
      </c>
      <c r="AP53" s="14">
        <f t="shared" si="2"/>
        <v>0</v>
      </c>
      <c r="AQ53" s="14">
        <f t="shared" si="2"/>
        <v>0</v>
      </c>
      <c r="AR53" s="14"/>
      <c r="AS53" s="14">
        <f t="shared" si="2"/>
        <v>0</v>
      </c>
    </row>
    <row r="54" spans="1:45" ht="15" x14ac:dyDescent="0.2"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</row>
    <row r="55" spans="1:45" ht="15" x14ac:dyDescent="0.2"/>
    <row r="56" spans="1:45" ht="14.5" customHeight="1" x14ac:dyDescent="0.2"/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9A95-D03A-814D-AD67-FBA955990125}">
  <dimension ref="A1:E36"/>
  <sheetViews>
    <sheetView tabSelected="1" workbookViewId="0">
      <selection activeCell="B49" sqref="B49"/>
    </sheetView>
  </sheetViews>
  <sheetFormatPr baseColWidth="10" defaultRowHeight="15" x14ac:dyDescent="0.2"/>
  <cols>
    <col min="1" max="2" width="38.5" style="15" customWidth="1"/>
    <col min="4" max="4" width="12.83203125" customWidth="1"/>
  </cols>
  <sheetData>
    <row r="1" spans="1:5" ht="16" x14ac:dyDescent="0.2">
      <c r="A1" s="15" t="s">
        <v>104</v>
      </c>
      <c r="B1" s="15" t="s">
        <v>109</v>
      </c>
      <c r="C1" t="s">
        <v>106</v>
      </c>
      <c r="D1" t="s">
        <v>107</v>
      </c>
      <c r="E1" t="s">
        <v>108</v>
      </c>
    </row>
    <row r="2" spans="1:5" ht="32" x14ac:dyDescent="0.2">
      <c r="A2" s="15" t="s">
        <v>2</v>
      </c>
      <c r="B2" s="16" t="s">
        <v>110</v>
      </c>
      <c r="C2">
        <v>196.21499408816209</v>
      </c>
      <c r="D2">
        <v>191.15462173725683</v>
      </c>
      <c r="E2">
        <v>5.0603723509052543</v>
      </c>
    </row>
    <row r="3" spans="1:5" ht="32" x14ac:dyDescent="0.2">
      <c r="A3" s="15" t="s">
        <v>3</v>
      </c>
      <c r="B3" s="16" t="s">
        <v>110</v>
      </c>
      <c r="C3">
        <v>0</v>
      </c>
      <c r="D3">
        <v>0</v>
      </c>
      <c r="E3">
        <v>0</v>
      </c>
    </row>
    <row r="4" spans="1:5" ht="16" x14ac:dyDescent="0.2">
      <c r="A4" s="15" t="s">
        <v>4</v>
      </c>
      <c r="B4" s="16" t="s">
        <v>111</v>
      </c>
      <c r="C4">
        <v>5768.4275083215243</v>
      </c>
      <c r="D4">
        <v>5186.5190544028674</v>
      </c>
      <c r="E4">
        <v>581.90845391865696</v>
      </c>
    </row>
    <row r="5" spans="1:5" ht="16" x14ac:dyDescent="0.2">
      <c r="A5" s="15" t="s">
        <v>5</v>
      </c>
      <c r="B5" s="16" t="s">
        <v>111</v>
      </c>
      <c r="C5">
        <v>281.39687652828883</v>
      </c>
      <c r="D5">
        <v>240.68046405528167</v>
      </c>
      <c r="E5">
        <v>40.716412473007153</v>
      </c>
    </row>
    <row r="6" spans="1:5" ht="16" x14ac:dyDescent="0.2">
      <c r="A6" s="15" t="s">
        <v>6</v>
      </c>
      <c r="B6" s="16" t="s">
        <v>111</v>
      </c>
      <c r="C6">
        <v>76.136134861408564</v>
      </c>
      <c r="D6">
        <v>44.112312009877122</v>
      </c>
      <c r="E6">
        <v>32.023822851531442</v>
      </c>
    </row>
    <row r="7" spans="1:5" ht="16" x14ac:dyDescent="0.2">
      <c r="A7" s="15" t="s">
        <v>7</v>
      </c>
      <c r="B7" s="16" t="s">
        <v>111</v>
      </c>
      <c r="C7">
        <v>22.947054968752319</v>
      </c>
      <c r="D7">
        <v>21.47327461038947</v>
      </c>
      <c r="E7">
        <v>1.4737803583628484</v>
      </c>
    </row>
    <row r="8" spans="1:5" ht="32" x14ac:dyDescent="0.2">
      <c r="A8" s="15" t="s">
        <v>8</v>
      </c>
      <c r="B8" s="16" t="s">
        <v>111</v>
      </c>
      <c r="C8">
        <v>5277.5634982444762</v>
      </c>
      <c r="D8">
        <v>4575.589496298393</v>
      </c>
      <c r="E8">
        <v>701.97400194608326</v>
      </c>
    </row>
    <row r="9" spans="1:5" ht="16" x14ac:dyDescent="0.2">
      <c r="A9" s="15" t="s">
        <v>9</v>
      </c>
      <c r="B9" s="16" t="s">
        <v>111</v>
      </c>
      <c r="C9">
        <v>16045.233725416598</v>
      </c>
      <c r="D9">
        <v>13060.219873900529</v>
      </c>
      <c r="E9">
        <v>2985.0138515160688</v>
      </c>
    </row>
    <row r="10" spans="1:5" ht="16" x14ac:dyDescent="0.2">
      <c r="A10" s="15" t="s">
        <v>10</v>
      </c>
      <c r="B10" s="16" t="s">
        <v>111</v>
      </c>
      <c r="C10">
        <v>30767.800654696061</v>
      </c>
      <c r="D10">
        <v>33195.971334733447</v>
      </c>
      <c r="E10">
        <v>-2428.1706800373868</v>
      </c>
    </row>
    <row r="11" spans="1:5" ht="16" x14ac:dyDescent="0.2">
      <c r="A11" s="15" t="s">
        <v>11</v>
      </c>
      <c r="B11" s="16" t="s">
        <v>111</v>
      </c>
      <c r="C11">
        <v>702.09355786549372</v>
      </c>
      <c r="D11">
        <v>644.07272502991009</v>
      </c>
      <c r="E11">
        <v>58.020832835583633</v>
      </c>
    </row>
    <row r="12" spans="1:5" ht="32" x14ac:dyDescent="0.2">
      <c r="A12" s="15" t="s">
        <v>12</v>
      </c>
      <c r="B12" s="16" t="s">
        <v>110</v>
      </c>
      <c r="C12">
        <v>379.37925192156547</v>
      </c>
      <c r="D12">
        <v>262.11258457332224</v>
      </c>
      <c r="E12">
        <v>117.26666734824323</v>
      </c>
    </row>
    <row r="13" spans="1:5" ht="16" x14ac:dyDescent="0.2">
      <c r="A13" s="15" t="s">
        <v>13</v>
      </c>
      <c r="B13" s="16" t="s">
        <v>111</v>
      </c>
      <c r="C13">
        <v>3606.6274763774727</v>
      </c>
      <c r="D13">
        <v>3153.7689978058602</v>
      </c>
      <c r="E13">
        <v>452.85847857161252</v>
      </c>
    </row>
    <row r="14" spans="1:5" ht="16" x14ac:dyDescent="0.2">
      <c r="A14" s="15" t="s">
        <v>14</v>
      </c>
      <c r="B14" s="16" t="s">
        <v>111</v>
      </c>
      <c r="C14">
        <v>7246.5874203984622</v>
      </c>
      <c r="D14">
        <v>7418.7541597257205</v>
      </c>
      <c r="E14">
        <v>-172.16673932725826</v>
      </c>
    </row>
    <row r="15" spans="1:5" ht="16" x14ac:dyDescent="0.2">
      <c r="A15" s="15" t="s">
        <v>15</v>
      </c>
      <c r="B15" s="16" t="s">
        <v>111</v>
      </c>
      <c r="C15">
        <v>101551.63387254691</v>
      </c>
      <c r="D15">
        <v>95822.090252351452</v>
      </c>
      <c r="E15">
        <v>5729.5436201954581</v>
      </c>
    </row>
    <row r="16" spans="1:5" ht="16" x14ac:dyDescent="0.2">
      <c r="A16" s="15" t="s">
        <v>16</v>
      </c>
      <c r="B16" s="16" t="s">
        <v>111</v>
      </c>
      <c r="C16">
        <v>13307.654192323833</v>
      </c>
      <c r="D16">
        <v>10403.557356146714</v>
      </c>
      <c r="E16">
        <v>2904.0968361771193</v>
      </c>
    </row>
    <row r="17" spans="1:5" ht="16" x14ac:dyDescent="0.2">
      <c r="A17" s="15" t="s">
        <v>17</v>
      </c>
      <c r="B17" s="16" t="s">
        <v>111</v>
      </c>
      <c r="C17">
        <v>1673.1793347431058</v>
      </c>
      <c r="D17">
        <v>1369.5854468878265</v>
      </c>
      <c r="E17">
        <v>303.59388785527926</v>
      </c>
    </row>
    <row r="18" spans="1:5" ht="32" x14ac:dyDescent="0.2">
      <c r="A18" s="15" t="s">
        <v>18</v>
      </c>
      <c r="B18" s="16" t="s">
        <v>110</v>
      </c>
      <c r="C18">
        <v>1298.9580411482289</v>
      </c>
      <c r="D18">
        <v>968.19240046279037</v>
      </c>
      <c r="E18">
        <v>330.76564068543848</v>
      </c>
    </row>
    <row r="19" spans="1:5" ht="16" x14ac:dyDescent="0.2">
      <c r="A19" s="15" t="s">
        <v>19</v>
      </c>
      <c r="B19" s="16" t="s">
        <v>19</v>
      </c>
      <c r="C19">
        <v>22665.32144745531</v>
      </c>
      <c r="D19">
        <v>14236.427598261578</v>
      </c>
      <c r="E19">
        <v>8428.8938491937315</v>
      </c>
    </row>
    <row r="20" spans="1:5" ht="32" x14ac:dyDescent="0.2">
      <c r="A20" s="15" t="s">
        <v>20</v>
      </c>
      <c r="B20" s="16" t="s">
        <v>112</v>
      </c>
      <c r="C20">
        <v>1208.2864225272924</v>
      </c>
      <c r="D20">
        <v>160.3606195307712</v>
      </c>
      <c r="E20">
        <v>1047.9258029965213</v>
      </c>
    </row>
    <row r="21" spans="1:5" ht="32" x14ac:dyDescent="0.2">
      <c r="A21" s="15" t="s">
        <v>21</v>
      </c>
      <c r="B21" s="16" t="s">
        <v>112</v>
      </c>
      <c r="C21">
        <v>116523.97394948555</v>
      </c>
      <c r="D21">
        <v>113376.9712918905</v>
      </c>
      <c r="E21">
        <v>3147.0026575950469</v>
      </c>
    </row>
    <row r="22" spans="1:5" ht="32" x14ac:dyDescent="0.2">
      <c r="A22" s="15" t="s">
        <v>22</v>
      </c>
      <c r="B22" s="16" t="s">
        <v>112</v>
      </c>
      <c r="C22">
        <v>6108.9792326014285</v>
      </c>
      <c r="D22">
        <v>9916.6070649736394</v>
      </c>
      <c r="E22">
        <v>-3807.6278323722108</v>
      </c>
    </row>
    <row r="23" spans="1:5" ht="16" x14ac:dyDescent="0.2">
      <c r="A23" s="15" t="s">
        <v>23</v>
      </c>
      <c r="B23" s="16" t="s">
        <v>114</v>
      </c>
      <c r="C23">
        <v>12198.063347736577</v>
      </c>
      <c r="D23">
        <v>7746.0056875416831</v>
      </c>
      <c r="E23">
        <v>4452.0576601948942</v>
      </c>
    </row>
    <row r="24" spans="1:5" ht="16" x14ac:dyDescent="0.2">
      <c r="A24" s="15" t="s">
        <v>24</v>
      </c>
      <c r="B24" s="16" t="s">
        <v>113</v>
      </c>
      <c r="C24">
        <v>2719.4529974860116</v>
      </c>
      <c r="D24">
        <v>2323.3207804280937</v>
      </c>
      <c r="E24">
        <v>396.13221705791784</v>
      </c>
    </row>
    <row r="25" spans="1:5" ht="16" x14ac:dyDescent="0.2">
      <c r="A25" s="15" t="s">
        <v>25</v>
      </c>
      <c r="B25" s="16" t="s">
        <v>113</v>
      </c>
      <c r="C25">
        <v>45782.882340628719</v>
      </c>
      <c r="D25">
        <v>41971.830301732371</v>
      </c>
      <c r="E25">
        <v>3811.0520388963487</v>
      </c>
    </row>
    <row r="26" spans="1:5" ht="16" x14ac:dyDescent="0.2">
      <c r="A26" s="15" t="s">
        <v>26</v>
      </c>
      <c r="B26" s="16" t="s">
        <v>113</v>
      </c>
      <c r="C26">
        <v>8691.540929578241</v>
      </c>
      <c r="D26">
        <v>7855.1898546009543</v>
      </c>
      <c r="E26">
        <v>836.35107497728677</v>
      </c>
    </row>
    <row r="27" spans="1:5" ht="32" x14ac:dyDescent="0.2">
      <c r="A27" s="15" t="s">
        <v>27</v>
      </c>
      <c r="B27" s="16" t="s">
        <v>113</v>
      </c>
      <c r="C27">
        <v>7334.8228836835751</v>
      </c>
      <c r="D27">
        <v>6633.2714908730777</v>
      </c>
      <c r="E27">
        <v>701.55139281049742</v>
      </c>
    </row>
    <row r="28" spans="1:5" ht="16" x14ac:dyDescent="0.2">
      <c r="A28" s="15" t="s">
        <v>28</v>
      </c>
      <c r="B28" s="16" t="s">
        <v>115</v>
      </c>
      <c r="C28">
        <v>6628.7900999202702</v>
      </c>
      <c r="D28">
        <v>6830.94862030683</v>
      </c>
      <c r="E28">
        <v>-202.15852038655976</v>
      </c>
    </row>
    <row r="29" spans="1:5" ht="16" x14ac:dyDescent="0.2">
      <c r="A29" s="15" t="s">
        <v>29</v>
      </c>
      <c r="B29" s="16" t="s">
        <v>116</v>
      </c>
      <c r="C29">
        <v>55564.529391646371</v>
      </c>
      <c r="D29">
        <v>55714.111522916413</v>
      </c>
      <c r="E29">
        <v>-149.58213127004274</v>
      </c>
    </row>
    <row r="30" spans="1:5" ht="16" x14ac:dyDescent="0.2">
      <c r="A30" s="15" t="s">
        <v>30</v>
      </c>
      <c r="B30" s="16" t="s">
        <v>117</v>
      </c>
      <c r="C30">
        <v>22934.069915306736</v>
      </c>
      <c r="D30">
        <v>19658.848250275933</v>
      </c>
      <c r="E30">
        <v>3275.2216650308037</v>
      </c>
    </row>
    <row r="31" spans="1:5" ht="16" x14ac:dyDescent="0.2">
      <c r="A31" s="15" t="s">
        <v>31</v>
      </c>
      <c r="B31" s="16" t="s">
        <v>118</v>
      </c>
      <c r="C31">
        <v>57209.73860840375</v>
      </c>
      <c r="D31">
        <v>55160.003527615132</v>
      </c>
      <c r="E31">
        <v>2049.7350807886178</v>
      </c>
    </row>
    <row r="32" spans="1:5" ht="32" x14ac:dyDescent="0.2">
      <c r="A32" s="15" t="s">
        <v>32</v>
      </c>
      <c r="B32" s="16" t="s">
        <v>119</v>
      </c>
      <c r="C32">
        <v>32842.636644909297</v>
      </c>
      <c r="D32">
        <v>30242.174311528106</v>
      </c>
      <c r="E32">
        <v>2600.4623333811905</v>
      </c>
    </row>
    <row r="33" spans="1:5" ht="16" x14ac:dyDescent="0.2">
      <c r="A33" s="15" t="s">
        <v>33</v>
      </c>
      <c r="B33" s="16" t="s">
        <v>119</v>
      </c>
      <c r="C33">
        <v>10877.556539973042</v>
      </c>
      <c r="D33">
        <v>10947.747505664594</v>
      </c>
      <c r="E33">
        <v>-70.190965691552265</v>
      </c>
    </row>
    <row r="34" spans="1:5" ht="16" x14ac:dyDescent="0.2">
      <c r="A34" s="15" t="s">
        <v>34</v>
      </c>
      <c r="B34" s="16" t="s">
        <v>120</v>
      </c>
      <c r="C34">
        <v>8791.4467364585216</v>
      </c>
      <c r="D34">
        <v>7669.9444658355405</v>
      </c>
      <c r="E34">
        <v>1121.5022706229811</v>
      </c>
    </row>
    <row r="35" spans="1:5" ht="16" x14ac:dyDescent="0.2">
      <c r="A35" s="15" t="s">
        <v>35</v>
      </c>
      <c r="B35" s="16" t="s">
        <v>121</v>
      </c>
      <c r="C35">
        <v>12090.802311417228</v>
      </c>
      <c r="D35">
        <v>11186.278898861441</v>
      </c>
      <c r="E35">
        <v>904.52341255578722</v>
      </c>
    </row>
    <row r="36" spans="1:5" ht="16" x14ac:dyDescent="0.2">
      <c r="A36" s="15" t="s">
        <v>36</v>
      </c>
      <c r="B36" s="16" t="s">
        <v>121</v>
      </c>
      <c r="C36">
        <v>2274.1710578561929</v>
      </c>
      <c r="D36">
        <v>2030.6010183579804</v>
      </c>
      <c r="E36">
        <v>243.57003949821251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115af50e-efb3-4a0e-b425-875ff625e09e" ContentTypeId="0x0101008911345A3DAEDD4C94E405931CFDF635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78542b1fffc4a1c84659474212e3133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ERCD</TermName>
          <TermId xmlns="http://schemas.microsoft.com/office/infopath/2007/PartnerControls">ab3ec0c9-2ce1-477e-8dd0-15d1f7f6b467</TermId>
        </TermInfo>
      </Terms>
    </j78542b1fffc4a1c84659474212e3133>
    <ia017ac09b1942648b563fe0b2b14d52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EROD-SDI</TermName>
          <TermId xmlns="http://schemas.microsoft.com/office/infopath/2007/PartnerControls">aff15768-80d3-4034-98c2-68c6515e070d</TermId>
        </TermInfo>
      </Terms>
    </ia017ac09b1942648b563fe0b2b14d52>
    <lcf76f155ced4ddcb4097134ff3c332f xmlns="167faf68-1382-435f-8f09-a46b79a55ee8">
      <Terms xmlns="http://schemas.microsoft.com/office/infopath/2007/PartnerControls"/>
    </lcf76f155ced4ddcb4097134ff3c332f>
    <ADBSourceLink xmlns="c1fdd505-2570-46c2-bd04-3e0f2d874cf5">
      <Url xsi:nil="true"/>
      <Description xsi:nil="true"/>
    </ADBSourceLink>
    <TaxCatchAll xmlns="c1fdd505-2570-46c2-bd04-3e0f2d874cf5">
      <Value>18</Value>
      <Value>4</Value>
      <Value>3</Value>
      <Value>1</Value>
    </TaxCatchAll>
    <MediaLengthInSeconds xmlns="167faf68-1382-435f-8f09-a46b79a55ee8" xsi:nil="true"/>
    <ADBCirculatedLink xmlns="c1fdd505-2570-46c2-bd04-3e0f2d874cf5">
      <Url xsi:nil="true"/>
      <Description xsi:nil="true"/>
    </ADBCirculatedLink>
    <h00e4aaaf4624e24a7df7f06faa038c6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English</TermName>
          <TermId xmlns="http://schemas.microsoft.com/office/infopath/2007/PartnerControls">16ac8743-31bb-43f8-9a73-533a041667d6</TermId>
        </TermInfo>
      </Terms>
    </h00e4aaaf4624e24a7df7f06faa038c6>
    <d01a0ce1b141461dbfb235a3ab729a2c xmlns="c1fdd505-2570-46c2-bd04-3e0f2d874cf5">
      <Terms xmlns="http://schemas.microsoft.com/office/infopath/2007/PartnerControls"/>
    </d01a0ce1b141461dbfb235a3ab729a2c>
    <p030e467f78f45b4ae8f7e2c17ea4d82 xmlns="c1fdd505-2570-46c2-bd04-3e0f2d874cf5">
      <Terms xmlns="http://schemas.microsoft.com/office/infopath/2007/PartnerControls"/>
    </p030e467f78f45b4ae8f7e2c17ea4d82>
    <a37ff23a602146d4934a49238d370ca5 xmlns="c1fdd505-2570-46c2-bd04-3e0f2d874cf5">
      <Terms xmlns="http://schemas.microsoft.com/office/infopath/2007/PartnerControls"/>
    </a37ff23a602146d4934a49238d370ca5>
    <k985dbdc596c44d7acaf8184f33920f0 xmlns="c1fdd505-2570-46c2-bd04-3e0f2d874cf5">
      <Terms xmlns="http://schemas.microsoft.com/office/infopath/2007/PartnerControls"/>
    </k985dbdc596c44d7acaf8184f33920f0>
    <d61536b25a8a4fedb48bb564279be82a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ERCD</TermName>
          <TermId xmlns="http://schemas.microsoft.com/office/infopath/2007/PartnerControls">ab3ec0c9-2ce1-477e-8dd0-15d1f7f6b467</TermId>
        </TermInfo>
      </Terms>
    </d61536b25a8a4fedb48bb564279be82a>
    <ADBDocumentDate xmlns="c1fdd505-2570-46c2-bd04-3e0f2d874cf5" xsi:nil="true"/>
    <ADBMonth xmlns="c1fdd505-2570-46c2-bd04-3e0f2d874cf5" xsi:nil="true"/>
    <ADBYear xmlns="c1fdd505-2570-46c2-bd04-3e0f2d874cf5" xsi:nil="true"/>
    <ADBAuthors xmlns="c1fdd505-2570-46c2-bd04-3e0f2d874cf5">
      <UserInfo>
        <DisplayName/>
        <AccountId xsi:nil="true"/>
        <AccountType/>
      </UserInfo>
    </ADBAuthors>
    <ADBDocumentTypeValue xmlns="c1fdd505-2570-46c2-bd04-3e0f2d874cf5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ADB Document" ma:contentTypeID="0x0101008911345A3DAEDD4C94E405931CFDF63500ABC5BDE0A65056449F41FF865698E92A" ma:contentTypeVersion="15" ma:contentTypeDescription="" ma:contentTypeScope="" ma:versionID="8322c1ab582ee20281004ff4d4d290e6">
  <xsd:schema xmlns:xsd="http://www.w3.org/2001/XMLSchema" xmlns:xs="http://www.w3.org/2001/XMLSchema" xmlns:p="http://schemas.microsoft.com/office/2006/metadata/properties" xmlns:ns2="c1fdd505-2570-46c2-bd04-3e0f2d874cf5" xmlns:ns3="167faf68-1382-435f-8f09-a46b79a55ee8" targetNamespace="http://schemas.microsoft.com/office/2006/metadata/properties" ma:root="true" ma:fieldsID="2c95d85422ab9f421a74b42d02185856" ns2:_="" ns3:_="">
    <xsd:import namespace="c1fdd505-2570-46c2-bd04-3e0f2d874cf5"/>
    <xsd:import namespace="167faf68-1382-435f-8f09-a46b79a55ee8"/>
    <xsd:element name="properties">
      <xsd:complexType>
        <xsd:sequence>
          <xsd:element name="documentManagement">
            <xsd:complexType>
              <xsd:all>
                <xsd:element ref="ns2:ADBDocumentDate" minOccurs="0"/>
                <xsd:element ref="ns2:ADBMonth" minOccurs="0"/>
                <xsd:element ref="ns2:ADBYear" minOccurs="0"/>
                <xsd:element ref="ns2:ADBAuthors" minOccurs="0"/>
                <xsd:element ref="ns2:ADBSourceLink" minOccurs="0"/>
                <xsd:element ref="ns2:ADBCirculatedLink" minOccurs="0"/>
                <xsd:element ref="ns2:d61536b25a8a4fedb48bb564279be82a" minOccurs="0"/>
                <xsd:element ref="ns2:h00e4aaaf4624e24a7df7f06faa038c6" minOccurs="0"/>
                <xsd:element ref="ns2:k985dbdc596c44d7acaf8184f33920f0" minOccurs="0"/>
                <xsd:element ref="ns2:a37ff23a602146d4934a49238d370ca5" minOccurs="0"/>
                <xsd:element ref="ns2:TaxCatchAll" minOccurs="0"/>
                <xsd:element ref="ns2:d01a0ce1b141461dbfb235a3ab729a2c" minOccurs="0"/>
                <xsd:element ref="ns2:p030e467f78f45b4ae8f7e2c17ea4d82" minOccurs="0"/>
                <xsd:element ref="ns2:j78542b1fffc4a1c84659474212e3133" minOccurs="0"/>
                <xsd:element ref="ns2:ADBDocumentTypeValue" minOccurs="0"/>
                <xsd:element ref="ns2:ia017ac09b1942648b563fe0b2b14d52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dd505-2570-46c2-bd04-3e0f2d874cf5" elementFormDefault="qualified">
    <xsd:import namespace="http://schemas.microsoft.com/office/2006/documentManagement/types"/>
    <xsd:import namespace="http://schemas.microsoft.com/office/infopath/2007/PartnerControls"/>
    <xsd:element name="ADBDocumentDate" ma:index="3" nillable="true" ma:displayName="Document Date" ma:format="DateOnly" ma:internalName="ADBDocumentDate">
      <xsd:simpleType>
        <xsd:restriction base="dms:DateTime"/>
      </xsd:simpleType>
    </xsd:element>
    <xsd:element name="ADBMonth" ma:index="4" nillable="true" ma:displayName="Month" ma:format="Dropdown" ma:internalName="ADBMonth">
      <xsd:simpleType>
        <xsd:restriction base="dms:Choice">
          <xsd:enumeration value="01-Jan"/>
          <xsd:enumeration value="02-Feb"/>
          <xsd:enumeration value="03-Mar"/>
          <xsd:enumeration value="04-Apr"/>
          <xsd:enumeration value="05-May"/>
          <xsd:enumeration value="06-Jun"/>
          <xsd:enumeration value="07-Jul"/>
          <xsd:enumeration value="08-Aug"/>
          <xsd:enumeration value="09-Sep"/>
          <xsd:enumeration value="10-Oct"/>
          <xsd:enumeration value="11-Nov"/>
          <xsd:enumeration value="12-Dec"/>
        </xsd:restriction>
      </xsd:simpleType>
    </xsd:element>
    <xsd:element name="ADBYear" ma:index="5" nillable="true" ma:displayName="Year" ma:internalName="ADBYear">
      <xsd:simpleType>
        <xsd:restriction base="dms:Text">
          <xsd:maxLength value="4"/>
        </xsd:restriction>
      </xsd:simpleType>
    </xsd:element>
    <xsd:element name="ADBAuthors" ma:index="6" nillable="true" ma:displayName="Authors" ma:list="UserInfo" ma:SharePointGroup="0" ma:internalName="ADBAuthors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DBSourceLink" ma:index="13" nillable="true" ma:displayName="Source Link" ma:format="Hyperlink" ma:internalName="ADBSource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DBCirculatedLink" ma:index="14" nillable="true" ma:displayName="Final Document Link" ma:format="Hyperlink" ma:internalName="ADBCirculated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61536b25a8a4fedb48bb564279be82a" ma:index="16" nillable="true" ma:taxonomy="true" ma:internalName="d61536b25a8a4fedb48bb564279be82a" ma:taxonomyFieldName="ADBDepartmentOwner" ma:displayName="Department Owner" ma:default="" ma:fieldId="{d61536b2-5a8a-4fed-b48b-b564279be82a}" ma:sspId="115af50e-efb3-4a0e-b425-875ff625e09e" ma:termSetId="b965cdb6-1071-4c6a-a9a3-189d53a950d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00e4aaaf4624e24a7df7f06faa038c6" ma:index="18" nillable="true" ma:taxonomy="true" ma:internalName="h00e4aaaf4624e24a7df7f06faa038c6" ma:taxonomyFieldName="ADBDocumentLanguage" ma:displayName="Document Language" ma:default="1;#English|16ac8743-31bb-43f8-9a73-533a041667d6" ma:fieldId="{100e4aaa-f462-4e24-a7df-7f06faa038c6}" ma:sspId="115af50e-efb3-4a0e-b425-875ff625e09e" ma:termSetId="fdf74959-6eb2-4689-a0fc-b9e1ab230b0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985dbdc596c44d7acaf8184f33920f0" ma:index="20" nillable="true" ma:taxonomy="true" ma:internalName="k985dbdc596c44d7acaf8184f33920f0" ma:taxonomyFieldName="ADBCountry" ma:displayName="Country" ma:default="" ma:fieldId="{4985dbdc-596c-44d7-acaf-8184f33920f0}" ma:sspId="115af50e-efb3-4a0e-b425-875ff625e09e" ma:termSetId="169202c7-46da-431e-ac86-348c41a1f49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37ff23a602146d4934a49238d370ca5" ma:index="21" nillable="true" ma:taxonomy="true" ma:internalName="a37ff23a602146d4934a49238d370ca5" ma:taxonomyFieldName="ADBDocumentType" ma:displayName="ADB Document Type" ma:default="" ma:fieldId="{a37ff23a-6021-46d4-934a-49238d370ca5}" ma:sspId="115af50e-efb3-4a0e-b425-875ff625e09e" ma:termSetId="ebf26521-a829-4b24-b73e-5e500b1bc1d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2" nillable="true" ma:displayName="Taxonomy Catch All Column" ma:hidden="true" ma:list="{14ef68db-a5c8-4581-a1cb-b68bbe7e2715}" ma:internalName="TaxCatchAll" ma:showField="CatchAllData" ma:web="514b7c65-86d8-4dda-92f1-aa92439df0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01a0ce1b141461dbfb235a3ab729a2c" ma:index="23" nillable="true" ma:taxonomy="true" ma:internalName="d01a0ce1b141461dbfb235a3ab729a2c" ma:taxonomyFieldName="ADBSector" ma:displayName="Sector" ma:default="" ma:fieldId="{d01a0ce1-b141-461d-bfb2-35a3ab729a2c}" ma:sspId="115af50e-efb3-4a0e-b425-875ff625e09e" ma:termSetId="bae01210-cdc5-4479-86d7-616c28c0a9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030e467f78f45b4ae8f7e2c17ea4d82" ma:index="27" nillable="true" ma:taxonomy="true" ma:internalName="p030e467f78f45b4ae8f7e2c17ea4d82" ma:taxonomyFieldName="ADBDocumentSecurity" ma:displayName="Document Security" ma:default="" ma:fieldId="{9030e467-f78f-45b4-ae8f-7e2c17ea4d82}" ma:sspId="115af50e-efb3-4a0e-b425-875ff625e09e" ma:termSetId="9b0b4686-afa9-4a02-bc15-8fbc99f1721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78542b1fffc4a1c84659474212e3133" ma:index="29" nillable="true" ma:taxonomy="true" ma:internalName="j78542b1fffc4a1c84659474212e3133" ma:taxonomyFieldName="ADBContentGroup" ma:displayName="Content Group" ma:readOnly="false" ma:default="3;#ERCD|ab3ec0c9-2ce1-477e-8dd0-15d1f7f6b467" ma:fieldId="{378542b1-fffc-4a1c-8465-9474212e3133}" ma:taxonomyMulti="true" ma:sspId="115af50e-efb3-4a0e-b425-875ff625e09e" ma:termSetId="2a9ffbee-93a5-418b-bcdb-8d6817936e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DBDocumentTypeValue" ma:index="30" nillable="true" ma:displayName="Document Type" ma:hidden="true" ma:internalName="ADBDocumentTypeValue" ma:readOnly="false">
      <xsd:simpleType>
        <xsd:restriction base="dms:Text">
          <xsd:maxLength value="255"/>
        </xsd:restriction>
      </xsd:simpleType>
    </xsd:element>
    <xsd:element name="ia017ac09b1942648b563fe0b2b14d52" ma:index="31" nillable="true" ma:taxonomy="true" ma:internalName="ia017ac09b1942648b563fe0b2b14d52" ma:taxonomyFieldName="ADBDivision" ma:displayName="Division" ma:default="" ma:fieldId="{2a017ac0-9b19-4264-8b56-3fe0b2b14d52}" ma:sspId="115af50e-efb3-4a0e-b425-875ff625e09e" ma:termSetId="d736278f-2140-40cc-b46b-6a0ab0de2d2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faf68-1382-435f-8f09-a46b79a55ee8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3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115af50e-efb3-4a0e-b425-875ff625e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774A1F-7433-4480-AAE1-5D23DA82DF7D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6E5C8B2-6334-4C83-B47D-506760A7A8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8CD11B-1C88-448F-849C-15434C951D5F}">
  <ds:schemaRefs>
    <ds:schemaRef ds:uri="http://schemas.microsoft.com/office/2006/metadata/properties"/>
    <ds:schemaRef ds:uri="http://schemas.microsoft.com/office/infopath/2007/PartnerControls"/>
    <ds:schemaRef ds:uri="c1fdd505-2570-46c2-bd04-3e0f2d874cf5"/>
    <ds:schemaRef ds:uri="167faf68-1382-435f-8f09-a46b79a55ee8"/>
  </ds:schemaRefs>
</ds:datastoreItem>
</file>

<file path=customXml/itemProps4.xml><?xml version="1.0" encoding="utf-8"?>
<ds:datastoreItem xmlns:ds="http://schemas.openxmlformats.org/officeDocument/2006/customXml" ds:itemID="{2B5842EC-5C3E-46D0-AD36-2B3EAE596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fdd505-2570-46c2-bd04-3e0f2d874cf5"/>
    <ds:schemaRef ds:uri="167faf68-1382-435f-8f09-a46b79a55e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</vt:lpstr>
      <vt:lpstr>2020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Elyssa Mariel Mores</dc:creator>
  <cp:keywords/>
  <dc:description/>
  <cp:lastModifiedBy>#YEOH YU YONG#</cp:lastModifiedBy>
  <cp:revision/>
  <dcterms:created xsi:type="dcterms:W3CDTF">2021-12-01T04:47:48Z</dcterms:created>
  <dcterms:modified xsi:type="dcterms:W3CDTF">2025-10-22T08:37:02Z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7d4574-7375-4d17-b29c-6e4c6df0fcb0_Enabled">
    <vt:lpwstr>true</vt:lpwstr>
  </property>
  <property fmtid="{D5CDD505-2E9C-101B-9397-08002B2CF9AE}" pid="3" name="MSIP_Label_817d4574-7375-4d17-b29c-6e4c6df0fcb0_SetDate">
    <vt:lpwstr>2021-12-01T04:47:48Z</vt:lpwstr>
  </property>
  <property fmtid="{D5CDD505-2E9C-101B-9397-08002B2CF9AE}" pid="4" name="MSIP_Label_817d4574-7375-4d17-b29c-6e4c6df0fcb0_Method">
    <vt:lpwstr>Standard</vt:lpwstr>
  </property>
  <property fmtid="{D5CDD505-2E9C-101B-9397-08002B2CF9AE}" pid="5" name="MSIP_Label_817d4574-7375-4d17-b29c-6e4c6df0fcb0_Name">
    <vt:lpwstr>ADB Internal</vt:lpwstr>
  </property>
  <property fmtid="{D5CDD505-2E9C-101B-9397-08002B2CF9AE}" pid="6" name="MSIP_Label_817d4574-7375-4d17-b29c-6e4c6df0fcb0_SiteId">
    <vt:lpwstr>9495d6bb-41c2-4c58-848f-92e52cf3d640</vt:lpwstr>
  </property>
  <property fmtid="{D5CDD505-2E9C-101B-9397-08002B2CF9AE}" pid="7" name="MSIP_Label_817d4574-7375-4d17-b29c-6e4c6df0fcb0_ActionId">
    <vt:lpwstr>f253c335-18ff-462b-99f5-daf931ad03eb</vt:lpwstr>
  </property>
  <property fmtid="{D5CDD505-2E9C-101B-9397-08002B2CF9AE}" pid="8" name="MSIP_Label_817d4574-7375-4d17-b29c-6e4c6df0fcb0_ContentBits">
    <vt:lpwstr>2</vt:lpwstr>
  </property>
  <property fmtid="{D5CDD505-2E9C-101B-9397-08002B2CF9AE}" pid="9" name="ContentTypeId">
    <vt:lpwstr>0x0101008911345A3DAEDD4C94E405931CFDF63500ABC5BDE0A65056449F41FF865698E92A</vt:lpwstr>
  </property>
  <property fmtid="{D5CDD505-2E9C-101B-9397-08002B2CF9AE}" pid="10" name="ADBCountry">
    <vt:lpwstr/>
  </property>
  <property fmtid="{D5CDD505-2E9C-101B-9397-08002B2CF9AE}" pid="11" name="ADBContentGroup">
    <vt:lpwstr>3;#ERCD|ab3ec0c9-2ce1-477e-8dd0-15d1f7f6b467</vt:lpwstr>
  </property>
  <property fmtid="{D5CDD505-2E9C-101B-9397-08002B2CF9AE}" pid="12" name="ADBDivision">
    <vt:lpwstr>18;#EROD-SDI|aff15768-80d3-4034-98c2-68c6515e070d</vt:lpwstr>
  </property>
  <property fmtid="{D5CDD505-2E9C-101B-9397-08002B2CF9AE}" pid="13" name="ADBSector">
    <vt:lpwstr/>
  </property>
  <property fmtid="{D5CDD505-2E9C-101B-9397-08002B2CF9AE}" pid="14" name="ADBDocumentSecurity">
    <vt:lpwstr/>
  </property>
  <property fmtid="{D5CDD505-2E9C-101B-9397-08002B2CF9AE}" pid="15" name="ADBDocumentLanguage">
    <vt:lpwstr>1;#English|16ac8743-31bb-43f8-9a73-533a041667d6</vt:lpwstr>
  </property>
  <property fmtid="{D5CDD505-2E9C-101B-9397-08002B2CF9AE}" pid="16" name="ADBDocumentType">
    <vt:lpwstr/>
  </property>
  <property fmtid="{D5CDD505-2E9C-101B-9397-08002B2CF9AE}" pid="17" name="ADBDepartmentOwner">
    <vt:lpwstr>4;#ERCD|ab3ec0c9-2ce1-477e-8dd0-15d1f7f6b467</vt:lpwstr>
  </property>
  <property fmtid="{D5CDD505-2E9C-101B-9397-08002B2CF9AE}" pid="18" name="ADBSourceLink">
    <vt:lpwstr>, </vt:lpwstr>
  </property>
  <property fmtid="{D5CDD505-2E9C-101B-9397-08002B2CF9AE}" pid="19" name="Order">
    <vt:r8>286200</vt:r8>
  </property>
  <property fmtid="{D5CDD505-2E9C-101B-9397-08002B2CF9AE}" pid="20" name="j78542b1fffc4a1c84659474212e3133">
    <vt:lpwstr>ERCD|ab3ec0c9-2ce1-477e-8dd0-15d1f7f6b467</vt:lpwstr>
  </property>
  <property fmtid="{D5CDD505-2E9C-101B-9397-08002B2CF9AE}" pid="21" name="ia017ac09b1942648b563fe0b2b14d52">
    <vt:lpwstr>EROD-SDI|aff15768-80d3-4034-98c2-68c6515e070d</vt:lpwstr>
  </property>
  <property fmtid="{D5CDD505-2E9C-101B-9397-08002B2CF9AE}" pid="22" name="xd_Signature">
    <vt:bool>false</vt:bool>
  </property>
  <property fmtid="{D5CDD505-2E9C-101B-9397-08002B2CF9AE}" pid="23" name="xd_ProgID">
    <vt:lpwstr/>
  </property>
  <property fmtid="{D5CDD505-2E9C-101B-9397-08002B2CF9AE}" pid="24" name="d61536b25a8a4fedb48bb564279be82a">
    <vt:lpwstr>ERCD|ab3ec0c9-2ce1-477e-8dd0-15d1f7f6b467</vt:lpwstr>
  </property>
  <property fmtid="{D5CDD505-2E9C-101B-9397-08002B2CF9AE}" pid="25" name="ADBCirculatedLink">
    <vt:lpwstr>, </vt:lpwstr>
  </property>
  <property fmtid="{D5CDD505-2E9C-101B-9397-08002B2CF9AE}" pid="26" name="ComplianceAssetId">
    <vt:lpwstr/>
  </property>
  <property fmtid="{D5CDD505-2E9C-101B-9397-08002B2CF9AE}" pid="27" name="TemplateUrl">
    <vt:lpwstr/>
  </property>
  <property fmtid="{D5CDD505-2E9C-101B-9397-08002B2CF9AE}" pid="28" name="h00e4aaaf4624e24a7df7f06faa038c6">
    <vt:lpwstr>English|16ac8743-31bb-43f8-9a73-533a041667d6</vt:lpwstr>
  </property>
  <property fmtid="{D5CDD505-2E9C-101B-9397-08002B2CF9AE}" pid="29" name="_ExtendedDescription">
    <vt:lpwstr/>
  </property>
  <property fmtid="{D5CDD505-2E9C-101B-9397-08002B2CF9AE}" pid="30" name="TriggerFlowInfo">
    <vt:lpwstr/>
  </property>
  <property fmtid="{D5CDD505-2E9C-101B-9397-08002B2CF9AE}" pid="31" name="MediaServiceImageTags">
    <vt:lpwstr/>
  </property>
  <property fmtid="{D5CDD505-2E9C-101B-9397-08002B2CF9AE}" pid="32" name="TaxCatchAll">
    <vt:lpwstr>18;#EROD-SDI|aff15768-80d3-4034-98c2-68c6515e070d;#4;#ERCD|ab3ec0c9-2ce1-477e-8dd0-15d1f7f6b467;#3;#ERCD|ab3ec0c9-2ce1-477e-8dd0-15d1f7f6b467;#1;#English|16ac8743-31bb-43f8-9a73-533a041667d6</vt:lpwstr>
  </property>
  <property fmtid="{D5CDD505-2E9C-101B-9397-08002B2CF9AE}" pid="33" name="d01a0ce1b141461dbfb235a3ab729a2c">
    <vt:lpwstr/>
  </property>
  <property fmtid="{D5CDD505-2E9C-101B-9397-08002B2CF9AE}" pid="34" name="p030e467f78f45b4ae8f7e2c17ea4d82">
    <vt:lpwstr/>
  </property>
  <property fmtid="{D5CDD505-2E9C-101B-9397-08002B2CF9AE}" pid="35" name="a37ff23a602146d4934a49238d370ca5">
    <vt:lpwstr/>
  </property>
  <property fmtid="{D5CDD505-2E9C-101B-9397-08002B2CF9AE}" pid="36" name="k985dbdc596c44d7acaf8184f33920f0">
    <vt:lpwstr/>
  </property>
  <property fmtid="{D5CDD505-2E9C-101B-9397-08002B2CF9AE}" pid="37" name="_SourceUrl">
    <vt:lpwstr/>
  </property>
  <property fmtid="{D5CDD505-2E9C-101B-9397-08002B2CF9AE}" pid="38" name="_SharedFileIndex">
    <vt:lpwstr/>
  </property>
  <property fmtid="{D5CDD505-2E9C-101B-9397-08002B2CF9AE}" pid="39" name="SharedWithUsers">
    <vt:lpwstr/>
  </property>
</Properties>
</file>