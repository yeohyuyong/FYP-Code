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filterPrivacy="1" defaultThemeVersion="202300"/>
  <xr:revisionPtr revIDLastSave="0" documentId="13_ncr:1_{515B6766-EC05-8446-B8AE-60F1AC8BEEF8}" xr6:coauthVersionLast="47" xr6:coauthVersionMax="47" xr10:uidLastSave="{00000000-0000-0000-0000-000000000000}"/>
  <bookViews>
    <workbookView xWindow="0" yWindow="480" windowWidth="51200" windowHeight="21120" activeTab="12" xr2:uid="{45D88869-7CE2-4DA5-A5BE-96925000BFBD}"/>
  </bookViews>
  <sheets>
    <sheet name="Content" sheetId="2" r:id="rId1"/>
    <sheet name="Table 1" sheetId="3" r:id="rId2"/>
    <sheet name="Table 2" sheetId="4" r:id="rId3"/>
    <sheet name="Table 3" sheetId="5" r:id="rId4"/>
    <sheet name="Table 4" sheetId="6" r:id="rId5"/>
    <sheet name="Table 5" sheetId="7" r:id="rId6"/>
    <sheet name="Table 6" sheetId="8" r:id="rId7"/>
    <sheet name="Table 7" sheetId="9" r:id="rId8"/>
    <sheet name="Table 8" sheetId="10" r:id="rId9"/>
    <sheet name="Table 9" sheetId="11" r:id="rId10"/>
    <sheet name="Table 11" sheetId="13" r:id="rId11"/>
    <sheet name="Table 12" sheetId="14" r:id="rId12"/>
    <sheet name="Table 13" sheetId="15" r:id="rId13"/>
    <sheet name="Table 10" sheetId="12" r:id="rId14"/>
    <sheet name="Table 14" sheetId="16"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4" i="7" l="1" a="1"/>
  <c r="F64" i="7" s="1"/>
  <c r="F43" i="7" a="1"/>
  <c r="F43"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<sst xmlns="http://schemas.openxmlformats.org/spreadsheetml/2006/main" count="678" uniqueCount="156">
  <si>
    <t>Content</t>
  </si>
  <si>
    <t>Singapore Supply, Use and Input-Output Tables 2022</t>
  </si>
  <si>
    <t>Supply and Use Tables</t>
  </si>
  <si>
    <t>TABLE 1      TOTAL SUPPLY TABLE AT PURCHASERS' PRICES, 2022</t>
  </si>
  <si>
    <t>OUTPUT BY INDUSTRY</t>
  </si>
  <si>
    <t>CT1</t>
  </si>
  <si>
    <t>CT2</t>
  </si>
  <si>
    <t>CT3</t>
  </si>
  <si>
    <t>Manufacturing</t>
  </si>
  <si>
    <t>Utilities</t>
  </si>
  <si>
    <t>Construction</t>
  </si>
  <si>
    <t>Wholesale Trade</t>
  </si>
  <si>
    <t>Retail Trade</t>
  </si>
  <si>
    <t>Ownership of Dwellings</t>
  </si>
  <si>
    <t>Professional Services</t>
  </si>
  <si>
    <t>Administrative &amp; Support Services</t>
  </si>
  <si>
    <t>Education</t>
  </si>
  <si>
    <t>Health &amp; Social Services</t>
  </si>
  <si>
    <t>Total domestic output at basic prices</t>
  </si>
  <si>
    <t>Imports of goods and services</t>
  </si>
  <si>
    <t>Total supply at basic prices</t>
  </si>
  <si>
    <t>Trade and transport margins, taxes less subsidies on products</t>
  </si>
  <si>
    <t>Total supply at purchasers' prices</t>
  </si>
  <si>
    <t>SUPPLY BY PRODUCT</t>
  </si>
  <si>
    <t>RT1</t>
  </si>
  <si>
    <t>RT2</t>
  </si>
  <si>
    <t>Total supply before adjustments</t>
  </si>
  <si>
    <t>CIF/FOB adjustments on imports</t>
  </si>
  <si>
    <t>Total supply after adjustments</t>
  </si>
  <si>
    <t>Table 1</t>
  </si>
  <si>
    <t>Total Supply Table at Purchasers' Prices, 2022</t>
  </si>
  <si>
    <t>This table records information on total domestic output at basic prices, imports of goods and services at CIF, and trade and transport margins and taxes less subsidies on products. Domestic output at basic prices also shows all domestic production broken down by industries.</t>
  </si>
  <si>
    <t xml:space="preserve"> TABLE 2      TOTAL USE TABLE AT PURCHASERS' PRICES, 2022 </t>
  </si>
  <si>
    <t>PURCHASES BY INDUSTRY</t>
  </si>
  <si>
    <t>Total intermediate use at purchasers' prices</t>
  </si>
  <si>
    <t>PURCHASES BY FINAL DEMAND</t>
  </si>
  <si>
    <t>Household and NPISHs final consumption expenditure</t>
  </si>
  <si>
    <t>Government final consumption expenditure</t>
  </si>
  <si>
    <t>Gross fixed capital formation</t>
  </si>
  <si>
    <t xml:space="preserve">Changes in inventories </t>
  </si>
  <si>
    <t>Exports of goods &amp; services</t>
  </si>
  <si>
    <t>Total final use at purchasers' prices</t>
  </si>
  <si>
    <t>Total use at purchasers' prices</t>
  </si>
  <si>
    <t xml:space="preserve">     SALES BY PRODUCT </t>
  </si>
  <si>
    <t>RT3</t>
  </si>
  <si>
    <t>RT4</t>
  </si>
  <si>
    <t>Total use at purchasers' prices before adjustments</t>
  </si>
  <si>
    <t>CIF/FOB adjustments on exports</t>
  </si>
  <si>
    <t>Total use at purchasers' prices after adjustments</t>
  </si>
  <si>
    <t>Compensation of employees</t>
  </si>
  <si>
    <t>Other taxes less subsidies on production</t>
  </si>
  <si>
    <t>Gross operating surplus</t>
  </si>
  <si>
    <t>Value added at basic prices</t>
  </si>
  <si>
    <t>Total inputs at basic prices</t>
  </si>
  <si>
    <t>Table 2</t>
  </si>
  <si>
    <t>Total Use Table at Purchasers' Prices, 2022</t>
  </si>
  <si>
    <t>This table records the products purchased or used for intermediate consumption and final demand at purchasers’ prices. Income components of value added, namely compensation of employees; other taxes less subsidies on production; and gross operating surplus, are also included to provide a better overview.</t>
  </si>
  <si>
    <t xml:space="preserve">  TABLE 3      DOMESTIC USE TABLE AT BASIC PRICES, 2022  </t>
  </si>
  <si>
    <t>Total intermediate use at basic prices</t>
  </si>
  <si>
    <t>Total final use at basic prices</t>
  </si>
  <si>
    <t>Total use at basic prices</t>
  </si>
  <si>
    <t>Total domestic use at basic prices</t>
  </si>
  <si>
    <t>Taxes less subsidies on products</t>
  </si>
  <si>
    <t>Table 3</t>
  </si>
  <si>
    <t>Domestic Use Table at Basic Prices, 2022</t>
  </si>
  <si>
    <t>This table records the domestically produced products purchased or used for intermediate consumption and final demand at basic prices. In addition to income components of value added, imports of goods and services and taxes less subsidies on products are also included to provide a better overview.</t>
  </si>
  <si>
    <t xml:space="preserve"> TABLE 4      IMPORT USE TABLE AT BASIC PRICES, 2022 </t>
  </si>
  <si>
    <t>Re-exports of goods &amp; services</t>
  </si>
  <si>
    <t>Total imports at basic prices</t>
  </si>
  <si>
    <t>Table 4</t>
  </si>
  <si>
    <t>Import Use Table at Basic Prices, 2022</t>
  </si>
  <si>
    <t>This table is an expansion of the row vector for imports of goods and services in Table 3. It records the imports by product entering industries as intermediate inputs and the final demand sectors at basic prices.</t>
  </si>
  <si>
    <t xml:space="preserve"> TABLE 5     INDUSTRY BY INDUSTRY INPUT-OUTPUT TABLE, 2022 </t>
  </si>
  <si>
    <t>Total final output at basic prices</t>
  </si>
  <si>
    <t>Total output at basic prices</t>
  </si>
  <si>
    <t xml:space="preserve">     SALES BY INDUSTRY </t>
  </si>
  <si>
    <t>Input-Output Tables</t>
  </si>
  <si>
    <t>Table 5</t>
  </si>
  <si>
    <t>Industry by Industry Input-Output Table, 2022</t>
  </si>
  <si>
    <t xml:space="preserve">This table presents Table 3 in the industry by industry format. Each entry represents the monetary amount of inputs (in rows) going to uses (in columns) by industry. </t>
  </si>
  <si>
    <t>Coefficient Tables</t>
  </si>
  <si>
    <t xml:space="preserve"> TABLE 6      DIRECT REQUIREMENT COEFFICIENTS, 2022 </t>
  </si>
  <si>
    <t>Total</t>
  </si>
  <si>
    <t>Table 6</t>
  </si>
  <si>
    <t>Direct Requirement Coefficients, 2022</t>
  </si>
  <si>
    <t xml:space="preserve">This table shows Table 5 in coefficient form. Each of these coefficients shows the input requirements for every additional 1,000 units of an industry’s output produced (in columns) in terms of direct inputs from domestic supplying industries, imports of goods and services, taxes less subsidies on products and income components of value added (in rows). </t>
  </si>
  <si>
    <t xml:space="preserve"> TABLE 7     TOTAL REQUIREMENT COEFFICIENTS, 2022 </t>
  </si>
  <si>
    <t>Table 7</t>
  </si>
  <si>
    <t>Total Requirement Coefficients, 2022</t>
  </si>
  <si>
    <t xml:space="preserve">This table shows the Leontief Inverse and is also commonly known as the Output Multipliers Table. The table captures both the direct and indirect requirements. Each entry shows the total input requirements (in rows) for every additional 1,000 units of an industry’s final output (in columns). </t>
  </si>
  <si>
    <t xml:space="preserve"> TABLE 8     TOTAL REQUIREMENT COEFFICIENTS IN TERMS </t>
  </si>
  <si>
    <t xml:space="preserve">                     OF VALUE ADDED, 2022</t>
  </si>
  <si>
    <t>Table 8</t>
  </si>
  <si>
    <t>Total Requirement Coefficients in Terms of Value Added, 2022</t>
  </si>
  <si>
    <t>This table, which is commonly known as the value added multipliers table, shows the interdependence of industrial output in terms of value added. Each industry’s input requirements for final output is given in terms of value added generated in the supply industries. The table presents the proportion of value added required for every extra 1,000 units of an industry’s final output (in columns). The table also shows the proportions of imports and taxes on products required to produce that extra 1,000 units of final output.</t>
  </si>
  <si>
    <t xml:space="preserve"> TABLE 9     PRIMARY INPUT REQUIREMENT COEFFICIENTS OF FINAL DEMAND, 2022 </t>
  </si>
  <si>
    <t>Imports of goods &amp; services</t>
  </si>
  <si>
    <t>Table 9</t>
  </si>
  <si>
    <t>Primary Input Requirement Coefficients of Final Demand, 2022</t>
  </si>
  <si>
    <t>While Table 8 shows the value added generated in the supplying industries, this table shows the primary input content of final demand. Primary input includes imports, taxes on products, and income components of value added.</t>
  </si>
  <si>
    <t xml:space="preserve"> TABLE 10     FORWARD AND BACKWARD LINKAGES, 2022 </t>
  </si>
  <si>
    <t xml:space="preserve"> </t>
  </si>
  <si>
    <t>Forward linkage</t>
  </si>
  <si>
    <t>FL Coefficient of variation</t>
  </si>
  <si>
    <t xml:space="preserve">  </t>
  </si>
  <si>
    <t>Backward linkage</t>
  </si>
  <si>
    <t>BL Coefficient of variation</t>
  </si>
  <si>
    <t xml:space="preserve"> Forward</t>
  </si>
  <si>
    <t xml:space="preserve"> Backward</t>
  </si>
  <si>
    <t>Table 10</t>
  </si>
  <si>
    <t>Forward and Backward Linkages, 2022</t>
  </si>
  <si>
    <t xml:space="preserve">This table shows the forward and backward linkages of each industry. The corresponding coefficients of variation which are indicators of how spread or congregated the dependencies are (with small values corresponding to a more even spread) are also illustrated. </t>
  </si>
  <si>
    <t>Impact of Final Demand Tables</t>
  </si>
  <si>
    <t xml:space="preserve"> TABLE 11     OUTPUT OF INDUSTRY BY FINAL DEMAND, 2022 </t>
  </si>
  <si>
    <t>Total output</t>
  </si>
  <si>
    <t>Table 11</t>
  </si>
  <si>
    <t>Output of Industry by Final Demand, 2022</t>
  </si>
  <si>
    <t xml:space="preserve">This table shows the total output generated in each industry by final demand categories, namely household and NPISHs final consumption expenditure, government final consumption expenditure, gross fixed capital formation, changes in inventories and domestic exports.  </t>
  </si>
  <si>
    <t xml:space="preserve"> TABLE 12     VALUE ADDED OF INDUSTRY BY FINAL DEMAND, 2022 </t>
  </si>
  <si>
    <t>Total value added at basic prices</t>
  </si>
  <si>
    <t>Table 12</t>
  </si>
  <si>
    <t>Value Added of Industry by Final Demand, 2022</t>
  </si>
  <si>
    <t xml:space="preserve">This table shows the value added generated in each industry by final demand categories. </t>
  </si>
  <si>
    <t xml:space="preserve"> TABLE 13      PRIMARY INPUTS BY FINAL DEMAND, 2022 </t>
  </si>
  <si>
    <t>Total final demand</t>
  </si>
  <si>
    <t xml:space="preserve"> Total primary input at purchasers' prices </t>
  </si>
  <si>
    <t>Table 13</t>
  </si>
  <si>
    <t>Primary Inputs by Final Demand, 2022</t>
  </si>
  <si>
    <t>This table shows the extent to which each category of final demand is linked with particular levels of primary inputs, namely imports, taxes less subsidies on products, and income components of value added.</t>
  </si>
  <si>
    <t xml:space="preserve"> TABLE 14      NET FOREIGN EXCHANGE EARNINGS FROM EXPORTS, 2022 </t>
  </si>
  <si>
    <t xml:space="preserve"> Ratio </t>
  </si>
  <si>
    <t>Domestic exports</t>
  </si>
  <si>
    <t>Import requirements for exports</t>
  </si>
  <si>
    <t>Net foreign exchange earnings</t>
  </si>
  <si>
    <t>Net foreign exchange earings as a proportion of domestic exports</t>
  </si>
  <si>
    <t>Table 14</t>
  </si>
  <si>
    <t>Net Foreign Exchange Earnings from Exports, 2022</t>
  </si>
  <si>
    <t xml:space="preserve">This table shows net foreign exchange earnings from domestic exports of each industry and an index of such net foreign exchange earnings. </t>
  </si>
  <si>
    <t>($ million)</t>
  </si>
  <si>
    <t>$ million</t>
  </si>
  <si>
    <t>Other Goods Industries</t>
  </si>
  <si>
    <t>Transportation &amp; Storage</t>
  </si>
  <si>
    <t>Accommodation</t>
  </si>
  <si>
    <t>Food &amp; Beverage Services</t>
  </si>
  <si>
    <t>Information &amp; Communications</t>
  </si>
  <si>
    <t>Finance &amp; Insurance</t>
  </si>
  <si>
    <t>Real Estate</t>
  </si>
  <si>
    <t>Public Administration &amp; Defence</t>
  </si>
  <si>
    <t>Arts, Entertainment &amp; Recreation</t>
  </si>
  <si>
    <t>Other Services – Others</t>
  </si>
  <si>
    <t>March 2025 Issue</t>
  </si>
  <si>
    <t>indistry vs product</t>
  </si>
  <si>
    <t>industry = products + services</t>
  </si>
  <si>
    <t>how all diff products supplied by various induistries</t>
  </si>
  <si>
    <t>Table 1 * Table 3 = Table 5</t>
  </si>
  <si>
    <t>The manufacturing industry produces 489.5688 million worth of products classified as “Utilities.”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</si>
</sst>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_(* \(#,##0\);_(* &quot;-&quot;_);_(@_)"/>
    <numFmt numFmtId="164" formatCode="#,##0.0;\ \-\ #,##0.0\ ;&quot;-&quot;"/>
    <numFmt numFmtId="165" formatCode="#,##0.0000;\ \-\ #,##0.0000\ ;&quot;-&quot;"/>
    <numFmt numFmtId="166" formatCode="#,##0.0_ ;\-#,##0.0\ "/>
    <numFmt numFmtId="167" formatCode="#,##0.0000_ ;\-#,##0.0000\ "/>
    <numFmt numFmtId="168" formatCode="#,##0.000000000000000000_ ;\-#,##0.000000000000000000\ "/>
    <numFmt numFmtId="169" formatCode="#,##0.000000_ ;\-#,##0.000000\ "/>
    <numFmt numFmtId="170" formatCode="#,##0.0000000_ ;\-#,##0.0000000\ "/>
    <numFmt numFmtId="171" formatCode="#,##0_ ;\-#,##0\ "/>
    <numFmt numFmtId="172" formatCode="#,##0.00000_ ;\-#,##0.00000\ "/>
    <numFmt numFmtId="173" formatCode="#,##0.0000000000"/>
    <numFmt numFmtId="174" formatCode="0.00000"/>
  </numFmts>
  <fonts count="12" x14ac:knownFonts="1">
    <font>
      <sz val="11"/>
      <color theme="1"/>
      <name val="Aptos Narrow"/>
      <family val="2"/>
      <scheme val="minor"/>
    </font>
    <font>
      <sz val="12"/>
      <color theme="1"/>
      <name val="Aptos Narrow"/>
      <family val="2"/>
      <scheme val="minor"/>
    </font>
    <font>
      <sz val="8"/>
      <color theme="1"/>
      <name val="Times New Roman"/>
      <family val="1"/>
    </font>
    <font>
      <u/>
      <sz val="11"/>
      <color theme="10"/>
      <name val="Aptos Narrow"/>
      <family val="2"/>
      <scheme val="minor"/>
    </font>
    <font>
      <sz val="12"/>
      <color theme="1"/>
      <name val="Times New Roman"/>
      <family val="1"/>
    </font>
    <font>
      <b/>
      <sz val="12"/>
      <color theme="1"/>
      <name val="Times New Roman"/>
      <family val="1"/>
    </font>
    <font>
      <b/>
      <u/>
      <sz val="12"/>
      <color theme="1"/>
      <name val="Times New Roman"/>
      <family val="1"/>
    </font>
    <font>
      <u/>
      <sz val="12"/>
      <color theme="10"/>
      <name val="Times New Roman"/>
      <family val="1"/>
    </font>
    <font>
      <sz val="10"/>
      <name val="Times New Roman"/>
      <family val="1"/>
    </font>
    <font>
      <sz val="12"/>
      <name val="Times New Roman"/>
      <family val="1"/>
    </font>
    <font>
      <sz val="14"/>
      <color theme="1"/>
      <name val="Times New Roman"/>
      <family val="1"/>
    </font>
    <font>
      <sz val="14"/>
      <color theme="1"/>
      <name val="Aptos Narrow"/>
      <family val="2"/>
      <scheme val="minor"/>
    </font>
  </fonts>
  <fills count="4">
    <fill>
      <patternFill patternType="none"/>
    </fill>
    <fill>
      <patternFill patternType="gray125"/>
    </fill>
    <fill>
      <patternFill patternType="solid">
        <fgColor rgb="FFFFFFFF"/>
        <bgColor indexed="64"/>
      </patternFill>
    </fill>
    <fill>
      <patternFill patternType="solid">
        <fgColor rgb="FFFFFF00"/>
        <bgColor indexed="64"/>
      </patternFill>
    </fill>
  </fills>
  <borders count="9">
    <border>
      <left/>
      <right/>
      <top/>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
      <left/>
      <right/>
      <top style="thin">
        <color indexed="64"/>
      </top>
      <bottom/>
      <diagonal/>
    </border>
    <border>
      <left/>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diagonal/>
    </border>
  </borders>
  <cellStyleXfs count="2">
    <xf numFmtId="0" fontId="0" fillId="0" borderId="0"/>
    <xf numFmtId="0" fontId="3" fillId="0" borderId="0" applyNumberFormat="0" applyFill="0" applyBorder="0" applyAlignment="0" applyProtection="0"/>
  </cellStyleXfs>
  <cellXfs count="109">
    <xf numFmtId="0" fontId="0" fillId="0" borderId="0" xfId="0"/>
    <xf numFmtId="0" fontId="2" fillId="2" borderId="0" xfId="0" applyFont="1" applyFill="1"/>
    <xf numFmtId="0" fontId="2" fillId="2" borderId="3" xfId="0" applyFont="1" applyFill="1" applyBorder="1"/>
    <xf numFmtId="0" fontId="2" fillId="2" borderId="1" xfId="0" applyFont="1" applyFill="1" applyBorder="1"/>
    <xf numFmtId="0" fontId="2" fillId="2" borderId="4" xfId="0" applyFont="1" applyFill="1" applyBorder="1"/>
    <xf numFmtId="0" fontId="2" fillId="2" borderId="2" xfId="0" applyFont="1" applyFill="1" applyBorder="1"/>
    <xf numFmtId="0" fontId="2" fillId="2" borderId="5" xfId="0" applyFont="1" applyFill="1" applyBorder="1"/>
    <xf numFmtId="0" fontId="2" fillId="2" borderId="3" xfId="0" applyFont="1" applyFill="1" applyBorder="1" applyAlignment="1">
      <alignment horizontal="right"/>
    </xf>
    <xf numFmtId="0" fontId="2" fillId="2" borderId="0" xfId="0" applyFont="1" applyFill="1" applyAlignment="1">
      <alignment horizontal="right"/>
    </xf>
    <xf numFmtId="0" fontId="2" fillId="2" borderId="1" xfId="0" applyFont="1" applyFill="1" applyBorder="1" applyAlignment="1">
      <alignment horizontal="right"/>
    </xf>
    <xf numFmtId="0" fontId="2" fillId="2" borderId="4" xfId="0" applyFont="1" applyFill="1" applyBorder="1" applyAlignment="1">
      <alignment horizontal="right"/>
    </xf>
    <xf numFmtId="0" fontId="2" fillId="2" borderId="2" xfId="0" applyFont="1" applyFill="1" applyBorder="1" applyAlignment="1">
      <alignment horizontal="right"/>
    </xf>
    <xf numFmtId="0" fontId="2" fillId="2" borderId="5" xfId="0" applyFont="1" applyFill="1" applyBorder="1" applyAlignment="1">
      <alignment horizontal="right"/>
    </xf>
    <xf numFmtId="0" fontId="2" fillId="2" borderId="0" xfId="0" applyFont="1" applyFill="1" applyAlignment="1">
      <alignment textRotation="90" wrapText="1"/>
    </xf>
    <xf numFmtId="164" fontId="2" fillId="2" borderId="0" xfId="0" applyNumberFormat="1" applyFont="1" applyFill="1"/>
    <xf numFmtId="164" fontId="2" fillId="2" borderId="1" xfId="0" applyNumberFormat="1" applyFont="1" applyFill="1" applyBorder="1"/>
    <xf numFmtId="164" fontId="2" fillId="2" borderId="4" xfId="0" applyNumberFormat="1" applyFont="1" applyFill="1" applyBorder="1"/>
    <xf numFmtId="164" fontId="2" fillId="2" borderId="2" xfId="0" applyNumberFormat="1" applyFont="1" applyFill="1" applyBorder="1"/>
    <xf numFmtId="164" fontId="2" fillId="2" borderId="5" xfId="0" applyNumberFormat="1" applyFont="1" applyFill="1" applyBorder="1"/>
    <xf numFmtId="0" fontId="2" fillId="2" borderId="0" xfId="0" applyFont="1" applyFill="1" applyAlignment="1">
      <alignment horizontal="center"/>
    </xf>
    <xf numFmtId="0" fontId="2" fillId="2" borderId="3" xfId="0" applyFont="1" applyFill="1" applyBorder="1" applyAlignment="1">
      <alignment horizontal="center"/>
    </xf>
    <xf numFmtId="0" fontId="2" fillId="2" borderId="0" xfId="0" applyFont="1" applyFill="1" applyAlignment="1">
      <alignment wrapText="1"/>
    </xf>
    <xf numFmtId="0" fontId="2" fillId="2" borderId="0" xfId="0" applyFont="1" applyFill="1" applyAlignment="1">
      <alignment horizontal="center" wrapText="1"/>
    </xf>
    <xf numFmtId="0" fontId="2" fillId="2" borderId="1" xfId="0" applyFont="1" applyFill="1" applyBorder="1" applyAlignment="1">
      <alignment wrapText="1"/>
    </xf>
    <xf numFmtId="0" fontId="2" fillId="2" borderId="1" xfId="0" applyFont="1" applyFill="1" applyBorder="1" applyAlignment="1">
      <alignment horizontal="center" wrapText="1"/>
    </xf>
    <xf numFmtId="165" fontId="2" fillId="2" borderId="0" xfId="0" applyNumberFormat="1" applyFont="1" applyFill="1" applyAlignment="1">
      <alignment horizontal="center"/>
    </xf>
    <xf numFmtId="165" fontId="2" fillId="2" borderId="1" xfId="0" applyNumberFormat="1" applyFont="1" applyFill="1" applyBorder="1" applyAlignment="1">
      <alignment horizontal="center"/>
    </xf>
    <xf numFmtId="165" fontId="2" fillId="2" borderId="4" xfId="0" applyNumberFormat="1" applyFont="1" applyFill="1" applyBorder="1" applyAlignment="1">
      <alignment horizontal="center"/>
    </xf>
    <xf numFmtId="165" fontId="2" fillId="2" borderId="3" xfId="0" applyNumberFormat="1" applyFont="1" applyFill="1" applyBorder="1" applyAlignment="1">
      <alignment horizontal="center"/>
    </xf>
    <xf numFmtId="0" fontId="2" fillId="2" borderId="8" xfId="0" applyFont="1" applyFill="1" applyBorder="1"/>
    <xf numFmtId="164" fontId="2" fillId="2" borderId="0" xfId="0" applyNumberFormat="1" applyFont="1" applyFill="1" applyAlignment="1">
      <alignment horizontal="center"/>
    </xf>
    <xf numFmtId="164" fontId="2" fillId="2" borderId="1" xfId="0" applyNumberFormat="1" applyFont="1" applyFill="1" applyBorder="1" applyAlignment="1">
      <alignment horizontal="center"/>
    </xf>
    <xf numFmtId="164" fontId="2" fillId="2" borderId="5" xfId="0" applyNumberFormat="1" applyFont="1" applyFill="1" applyBorder="1" applyAlignment="1">
      <alignment horizontal="center"/>
    </xf>
    <xf numFmtId="165" fontId="2" fillId="2" borderId="5" xfId="0" applyNumberFormat="1" applyFont="1" applyFill="1" applyBorder="1" applyAlignment="1">
      <alignment horizontal="center"/>
    </xf>
    <xf numFmtId="0" fontId="4" fillId="2" borderId="0" xfId="0" applyFont="1" applyFill="1"/>
    <xf numFmtId="0" fontId="4" fillId="2" borderId="0" xfId="0" applyFont="1" applyFill="1" applyAlignment="1">
      <alignment vertical="top"/>
    </xf>
    <xf numFmtId="0" fontId="4" fillId="2" borderId="0" xfId="0" applyFont="1" applyFill="1" applyAlignment="1">
      <alignment vertical="top" wrapText="1"/>
    </xf>
    <xf numFmtId="0" fontId="5" fillId="2" borderId="0" xfId="0" applyFont="1" applyFill="1"/>
    <xf numFmtId="0" fontId="6" fillId="2" borderId="0" xfId="0" applyFont="1" applyFill="1"/>
    <xf numFmtId="0" fontId="4" fillId="2" borderId="1" xfId="0" applyFont="1" applyFill="1" applyBorder="1" applyAlignment="1">
      <alignment vertical="top"/>
    </xf>
    <xf numFmtId="0" fontId="4" fillId="2" borderId="1" xfId="0" applyFont="1" applyFill="1" applyBorder="1" applyAlignment="1">
      <alignment vertical="top" wrapText="1"/>
    </xf>
    <xf numFmtId="0" fontId="4" fillId="2" borderId="2" xfId="0" applyFont="1" applyFill="1" applyBorder="1" applyAlignment="1">
      <alignment vertical="top"/>
    </xf>
    <xf numFmtId="0" fontId="4" fillId="2" borderId="2" xfId="0" applyFont="1" applyFill="1" applyBorder="1" applyAlignment="1">
      <alignment vertical="top" wrapText="1"/>
    </xf>
    <xf numFmtId="0" fontId="7" fillId="2" borderId="6" xfId="1" quotePrefix="1" applyFont="1" applyFill="1" applyBorder="1" applyAlignment="1">
      <alignment vertical="top"/>
    </xf>
    <xf numFmtId="0" fontId="4" fillId="2" borderId="7" xfId="0" applyFont="1" applyFill="1" applyBorder="1" applyAlignment="1">
      <alignment vertical="top" wrapText="1"/>
    </xf>
    <xf numFmtId="166" fontId="0" fillId="0" borderId="0" xfId="0" applyNumberFormat="1"/>
    <xf numFmtId="168" fontId="0" fillId="0" borderId="0" xfId="0" applyNumberFormat="1"/>
    <xf numFmtId="169" fontId="0" fillId="0" borderId="0" xfId="0" applyNumberFormat="1"/>
    <xf numFmtId="3" fontId="0" fillId="0" borderId="0" xfId="0" applyNumberFormat="1"/>
    <xf numFmtId="170" fontId="0" fillId="0" borderId="0" xfId="0" applyNumberFormat="1"/>
    <xf numFmtId="41" fontId="8" fillId="0" borderId="0" xfId="0" applyNumberFormat="1" applyFont="1" applyAlignment="1">
      <alignment horizontal="left"/>
    </xf>
    <xf numFmtId="0" fontId="2" fillId="2" borderId="4" xfId="0" applyFont="1" applyFill="1" applyBorder="1" applyAlignment="1">
      <alignment horizontal="center"/>
    </xf>
    <xf numFmtId="171" fontId="0" fillId="0" borderId="0" xfId="0" applyNumberFormat="1"/>
    <xf numFmtId="172" fontId="0" fillId="0" borderId="0" xfId="0" applyNumberFormat="1"/>
    <xf numFmtId="0" fontId="1" fillId="0" borderId="0" xfId="0" applyFont="1"/>
    <xf numFmtId="41" fontId="9" fillId="0" borderId="0" xfId="0" applyNumberFormat="1" applyFont="1" applyAlignment="1">
      <alignment horizontal="left"/>
    </xf>
    <xf numFmtId="0" fontId="4" fillId="2" borderId="3" xfId="0" applyFont="1" applyFill="1" applyBorder="1"/>
    <xf numFmtId="0" fontId="4" fillId="2" borderId="0" xfId="0" applyFont="1" applyFill="1" applyAlignment="1">
      <alignment wrapText="1"/>
    </xf>
    <xf numFmtId="0" fontId="4" fillId="2" borderId="1" xfId="0" applyFont="1" applyFill="1" applyBorder="1"/>
    <xf numFmtId="0" fontId="4" fillId="2" borderId="3" xfId="0" applyFont="1" applyFill="1" applyBorder="1" applyAlignment="1">
      <alignment horizontal="right"/>
    </xf>
    <xf numFmtId="0" fontId="4" fillId="2" borderId="0" xfId="0" applyFont="1" applyFill="1" applyAlignment="1">
      <alignment horizontal="right"/>
    </xf>
    <xf numFmtId="164" fontId="4" fillId="2" borderId="0" xfId="0" applyNumberFormat="1" applyFont="1" applyFill="1"/>
    <xf numFmtId="166" fontId="1" fillId="0" borderId="0" xfId="0" applyNumberFormat="1" applyFont="1"/>
    <xf numFmtId="0" fontId="4" fillId="2" borderId="1" xfId="0" applyFont="1" applyFill="1" applyBorder="1" applyAlignment="1">
      <alignment horizontal="right"/>
    </xf>
    <xf numFmtId="164" fontId="4" fillId="2" borderId="1" xfId="0" applyNumberFormat="1" applyFont="1" applyFill="1" applyBorder="1"/>
    <xf numFmtId="0" fontId="4" fillId="2" borderId="4" xfId="0" applyFont="1" applyFill="1" applyBorder="1" applyAlignment="1">
      <alignment horizontal="right"/>
    </xf>
    <xf numFmtId="0" fontId="4" fillId="2" borderId="4" xfId="0" applyFont="1" applyFill="1" applyBorder="1"/>
    <xf numFmtId="164" fontId="4" fillId="2" borderId="4" xfId="0" applyNumberFormat="1" applyFont="1" applyFill="1" applyBorder="1"/>
    <xf numFmtId="0" fontId="4" fillId="2" borderId="2" xfId="0" applyFont="1" applyFill="1" applyBorder="1" applyAlignment="1">
      <alignment horizontal="right"/>
    </xf>
    <xf numFmtId="0" fontId="4" fillId="2" borderId="2" xfId="0" applyFont="1" applyFill="1" applyBorder="1"/>
    <xf numFmtId="164" fontId="4" fillId="2" borderId="2" xfId="0" applyNumberFormat="1" applyFont="1" applyFill="1" applyBorder="1"/>
    <xf numFmtId="168" fontId="1" fillId="0" borderId="0" xfId="0" applyNumberFormat="1" applyFont="1"/>
    <xf numFmtId="0" fontId="4" fillId="2" borderId="5" xfId="0" applyFont="1" applyFill="1" applyBorder="1" applyAlignment="1">
      <alignment horizontal="right"/>
    </xf>
    <xf numFmtId="0" fontId="4" fillId="2" borderId="5" xfId="0" applyFont="1" applyFill="1" applyBorder="1"/>
    <xf numFmtId="164" fontId="4" fillId="2" borderId="5" xfId="0" applyNumberFormat="1" applyFont="1" applyFill="1" applyBorder="1"/>
    <xf numFmtId="169" fontId="1" fillId="0" borderId="0" xfId="0" applyNumberFormat="1" applyFont="1"/>
    <xf numFmtId="3" fontId="1" fillId="0" borderId="0" xfId="0" applyNumberFormat="1" applyFont="1"/>
    <xf numFmtId="0" fontId="10" fillId="2" borderId="0" xfId="0" applyFont="1" applyFill="1"/>
    <xf numFmtId="0" fontId="11" fillId="0" borderId="0" xfId="0" applyFont="1"/>
    <xf numFmtId="0" fontId="10" fillId="2" borderId="3" xfId="0" applyFont="1" applyFill="1" applyBorder="1"/>
    <xf numFmtId="0" fontId="10" fillId="2" borderId="0" xfId="0" applyFont="1" applyFill="1" applyAlignment="1">
      <alignment wrapText="1"/>
    </xf>
    <xf numFmtId="0" fontId="10" fillId="2" borderId="1" xfId="0" applyFont="1" applyFill="1" applyBorder="1"/>
    <xf numFmtId="0" fontId="10" fillId="2" borderId="3" xfId="0" applyFont="1" applyFill="1" applyBorder="1" applyAlignment="1">
      <alignment horizontal="right"/>
    </xf>
    <xf numFmtId="0" fontId="10" fillId="2" borderId="0" xfId="0" applyFont="1" applyFill="1" applyAlignment="1">
      <alignment horizontal="right"/>
    </xf>
    <xf numFmtId="164" fontId="10" fillId="2" borderId="0" xfId="0" applyNumberFormat="1" applyFont="1" applyFill="1"/>
    <xf numFmtId="0" fontId="10" fillId="2" borderId="1" xfId="0" applyFont="1" applyFill="1" applyBorder="1" applyAlignment="1">
      <alignment horizontal="right"/>
    </xf>
    <xf numFmtId="164" fontId="10" fillId="2" borderId="1" xfId="0" applyNumberFormat="1" applyFont="1" applyFill="1" applyBorder="1"/>
    <xf numFmtId="0" fontId="10" fillId="2" borderId="4" xfId="0" applyFont="1" applyFill="1" applyBorder="1" applyAlignment="1">
      <alignment horizontal="right"/>
    </xf>
    <xf numFmtId="0" fontId="10" fillId="2" borderId="4" xfId="0" applyFont="1" applyFill="1" applyBorder="1"/>
    <xf numFmtId="164" fontId="10" fillId="2" borderId="4" xfId="0" applyNumberFormat="1" applyFont="1" applyFill="1" applyBorder="1"/>
    <xf numFmtId="0" fontId="10" fillId="2" borderId="5" xfId="0" applyFont="1" applyFill="1" applyBorder="1" applyAlignment="1">
      <alignment horizontal="right"/>
    </xf>
    <xf numFmtId="0" fontId="10" fillId="2" borderId="5" xfId="0" applyFont="1" applyFill="1" applyBorder="1"/>
    <xf numFmtId="164" fontId="10" fillId="2" borderId="5" xfId="0" applyNumberFormat="1" applyFont="1" applyFill="1" applyBorder="1"/>
    <xf numFmtId="164" fontId="4" fillId="3" borderId="0" xfId="0" applyNumberFormat="1" applyFont="1" applyFill="1"/>
    <xf numFmtId="164" fontId="4" fillId="3" borderId="1" xfId="0" applyNumberFormat="1" applyFont="1" applyFill="1" applyBorder="1"/>
    <xf numFmtId="164" fontId="4" fillId="3" borderId="4" xfId="0" applyNumberFormat="1" applyFont="1" applyFill="1" applyBorder="1"/>
    <xf numFmtId="164" fontId="10" fillId="2" borderId="3" xfId="0" applyNumberFormat="1" applyFont="1" applyFill="1" applyBorder="1"/>
    <xf numFmtId="167" fontId="11" fillId="0" borderId="0" xfId="0" applyNumberFormat="1" applyFont="1"/>
    <xf numFmtId="173" fontId="1" fillId="0" borderId="0" xfId="0" applyNumberFormat="1" applyFont="1"/>
    <xf numFmtId="174" fontId="1" fillId="0" borderId="0" xfId="0" applyNumberFormat="1" applyFont="1"/>
    <xf numFmtId="0" fontId="10" fillId="2" borderId="0" xfId="0" applyFont="1" applyFill="1" applyAlignment="1">
      <alignment horizontal="left" vertical="top"/>
    </xf>
    <xf numFmtId="0" fontId="10" fillId="2" borderId="3" xfId="0" applyFont="1" applyFill="1" applyBorder="1" applyAlignment="1">
      <alignment horizontal="left" vertical="top"/>
    </xf>
    <xf numFmtId="0" fontId="10" fillId="2" borderId="0" xfId="0" applyFont="1" applyFill="1" applyAlignment="1">
      <alignment horizontal="left" vertical="top" wrapText="1"/>
    </xf>
    <xf numFmtId="0" fontId="10" fillId="2" borderId="1" xfId="0" applyFont="1" applyFill="1" applyBorder="1" applyAlignment="1">
      <alignment horizontal="left" vertical="top"/>
    </xf>
    <xf numFmtId="164" fontId="10" fillId="2" borderId="0" xfId="0" applyNumberFormat="1" applyFont="1" applyFill="1" applyAlignment="1">
      <alignment horizontal="left" vertical="top"/>
    </xf>
    <xf numFmtId="164" fontId="10" fillId="2" borderId="1" xfId="0" applyNumberFormat="1" applyFont="1" applyFill="1" applyBorder="1" applyAlignment="1">
      <alignment horizontal="left" vertical="top"/>
    </xf>
    <xf numFmtId="164" fontId="10" fillId="2" borderId="4" xfId="0" applyNumberFormat="1" applyFont="1" applyFill="1" applyBorder="1" applyAlignment="1">
      <alignment horizontal="left" vertical="top"/>
    </xf>
    <xf numFmtId="164" fontId="10" fillId="2" borderId="5" xfId="0" applyNumberFormat="1" applyFont="1" applyFill="1" applyBorder="1" applyAlignment="1">
      <alignment horizontal="left" vertical="top"/>
    </xf>
    <xf numFmtId="0" fontId="11" fillId="0" borderId="0" xfId="0" applyFont="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50ABF-2817-4C74-9E99-056E6C542799}">
  <dimension ref="A1:H24"/>
  <sheetViews>
    <sheetView workbookViewId="0">
      <pane ySplit="5" topLeftCell="A6" activePane="bottomLeft" state="frozenSplit"/>
      <selection pane="bottomLeft" activeCell="D21" sqref="D21"/>
    </sheetView>
  </sheetViews>
  <sheetFormatPr baseColWidth="10" defaultColWidth="8.83203125" defaultRowHeight="15" x14ac:dyDescent="0.2"/>
  <cols>
    <col min="1" max="1" width="5.6640625" customWidth="1"/>
    <col min="3" max="3" width="52.83203125" bestFit="1" customWidth="1"/>
    <col min="4" max="4" width="180.6640625" customWidth="1"/>
  </cols>
  <sheetData>
    <row r="1" spans="1:8" ht="16" x14ac:dyDescent="0.2">
      <c r="A1" s="37" t="s">
        <v>150</v>
      </c>
      <c r="B1" s="35"/>
      <c r="C1" s="36"/>
      <c r="D1" s="36"/>
    </row>
    <row r="2" spans="1:8" ht="16" x14ac:dyDescent="0.2">
      <c r="A2" s="34"/>
      <c r="B2" s="35"/>
      <c r="C2" s="36"/>
      <c r="D2" s="36"/>
    </row>
    <row r="3" spans="1:8" ht="16" x14ac:dyDescent="0.2">
      <c r="A3" s="37" t="s">
        <v>0</v>
      </c>
      <c r="B3" s="35"/>
      <c r="C3" s="36"/>
      <c r="D3" s="36"/>
    </row>
    <row r="4" spans="1:8" ht="16" x14ac:dyDescent="0.2">
      <c r="A4" s="34"/>
      <c r="B4" s="35"/>
      <c r="C4" s="36"/>
      <c r="D4" s="36"/>
    </row>
    <row r="5" spans="1:8" ht="16" x14ac:dyDescent="0.2">
      <c r="A5" s="38" t="s">
        <v>1</v>
      </c>
      <c r="B5" s="35"/>
      <c r="C5" s="36"/>
      <c r="D5" s="36"/>
    </row>
    <row r="6" spans="1:8" ht="16" x14ac:dyDescent="0.2">
      <c r="A6" s="34"/>
      <c r="B6" s="39"/>
      <c r="C6" s="40"/>
      <c r="D6" s="40"/>
    </row>
    <row r="7" spans="1:8" ht="16" x14ac:dyDescent="0.2">
      <c r="A7" s="34"/>
      <c r="B7" s="41" t="s">
        <v>2</v>
      </c>
      <c r="C7" s="42"/>
      <c r="D7" s="42"/>
    </row>
    <row r="8" spans="1:8" ht="34" x14ac:dyDescent="0.2">
      <c r="A8" s="34"/>
      <c r="B8" s="43" t="s">
        <v>29</v>
      </c>
      <c r="C8" s="44" t="s">
        <v>30</v>
      </c>
      <c r="D8" s="42" t="s">
        <v>31</v>
      </c>
    </row>
    <row r="9" spans="1:8" ht="34" x14ac:dyDescent="0.2">
      <c r="A9" s="34"/>
      <c r="B9" s="43" t="s">
        <v>54</v>
      </c>
      <c r="C9" s="44" t="s">
        <v>55</v>
      </c>
      <c r="D9" s="42" t="s">
        <v>56</v>
      </c>
    </row>
    <row r="10" spans="1:8" ht="34" x14ac:dyDescent="0.2">
      <c r="A10" s="34"/>
      <c r="B10" s="43" t="s">
        <v>63</v>
      </c>
      <c r="C10" s="44" t="s">
        <v>64</v>
      </c>
      <c r="D10" s="42" t="s">
        <v>65</v>
      </c>
    </row>
    <row r="11" spans="1:8" ht="17" x14ac:dyDescent="0.2">
      <c r="A11" s="34"/>
      <c r="B11" s="43" t="s">
        <v>69</v>
      </c>
      <c r="C11" s="44" t="s">
        <v>70</v>
      </c>
      <c r="D11" s="42" t="s">
        <v>71</v>
      </c>
      <c r="H11" t="s">
        <v>151</v>
      </c>
    </row>
    <row r="12" spans="1:8" ht="16" x14ac:dyDescent="0.2">
      <c r="A12" s="34"/>
      <c r="B12" s="41" t="s">
        <v>76</v>
      </c>
      <c r="C12" s="42"/>
      <c r="D12" s="42"/>
      <c r="H12" t="s">
        <v>152</v>
      </c>
    </row>
    <row r="13" spans="1:8" ht="17" x14ac:dyDescent="0.2">
      <c r="A13" s="34"/>
      <c r="B13" s="43" t="s">
        <v>77</v>
      </c>
      <c r="C13" s="44" t="s">
        <v>78</v>
      </c>
      <c r="D13" s="42" t="s">
        <v>79</v>
      </c>
    </row>
    <row r="14" spans="1:8" ht="16" x14ac:dyDescent="0.2">
      <c r="A14" s="34"/>
      <c r="B14" s="41" t="s">
        <v>80</v>
      </c>
      <c r="C14" s="42"/>
      <c r="D14" s="42"/>
    </row>
    <row r="15" spans="1:8" ht="34" x14ac:dyDescent="0.2">
      <c r="A15" s="34"/>
      <c r="B15" s="43" t="s">
        <v>83</v>
      </c>
      <c r="C15" s="44" t="s">
        <v>84</v>
      </c>
      <c r="D15" s="42" t="s">
        <v>85</v>
      </c>
    </row>
    <row r="16" spans="1:8" ht="34" x14ac:dyDescent="0.2">
      <c r="A16" s="34"/>
      <c r="B16" s="43" t="s">
        <v>87</v>
      </c>
      <c r="C16" s="44" t="s">
        <v>88</v>
      </c>
      <c r="D16" s="42" t="s">
        <v>89</v>
      </c>
    </row>
    <row r="17" spans="1:4" ht="51" x14ac:dyDescent="0.2">
      <c r="A17" s="34"/>
      <c r="B17" s="43" t="s">
        <v>92</v>
      </c>
      <c r="C17" s="44" t="s">
        <v>93</v>
      </c>
      <c r="D17" s="42" t="s">
        <v>94</v>
      </c>
    </row>
    <row r="18" spans="1:4" ht="34" x14ac:dyDescent="0.2">
      <c r="A18" s="34"/>
      <c r="B18" s="43" t="s">
        <v>97</v>
      </c>
      <c r="C18" s="44" t="s">
        <v>98</v>
      </c>
      <c r="D18" s="42" t="s">
        <v>99</v>
      </c>
    </row>
    <row r="19" spans="1:4" ht="34" x14ac:dyDescent="0.2">
      <c r="A19" s="34"/>
      <c r="B19" s="43" t="s">
        <v>109</v>
      </c>
      <c r="C19" s="44" t="s">
        <v>110</v>
      </c>
      <c r="D19" s="42" t="s">
        <v>111</v>
      </c>
    </row>
    <row r="20" spans="1:4" ht="16" x14ac:dyDescent="0.2">
      <c r="A20" s="34"/>
      <c r="B20" s="41" t="s">
        <v>112</v>
      </c>
      <c r="C20" s="42"/>
      <c r="D20" s="42"/>
    </row>
    <row r="21" spans="1:4" ht="34" x14ac:dyDescent="0.2">
      <c r="A21" s="34"/>
      <c r="B21" s="43" t="s">
        <v>115</v>
      </c>
      <c r="C21" s="44" t="s">
        <v>116</v>
      </c>
      <c r="D21" s="42" t="s">
        <v>117</v>
      </c>
    </row>
    <row r="22" spans="1:4" ht="17" x14ac:dyDescent="0.2">
      <c r="A22" s="34"/>
      <c r="B22" s="43" t="s">
        <v>120</v>
      </c>
      <c r="C22" s="44" t="s">
        <v>121</v>
      </c>
      <c r="D22" s="42" t="s">
        <v>122</v>
      </c>
    </row>
    <row r="23" spans="1:4" ht="17" x14ac:dyDescent="0.2">
      <c r="A23" s="34"/>
      <c r="B23" s="43" t="s">
        <v>126</v>
      </c>
      <c r="C23" s="44" t="s">
        <v>127</v>
      </c>
      <c r="D23" s="42" t="s">
        <v>128</v>
      </c>
    </row>
    <row r="24" spans="1:4" ht="17" x14ac:dyDescent="0.2">
      <c r="A24" s="34"/>
      <c r="B24" s="43" t="s">
        <v>135</v>
      </c>
      <c r="C24" s="44" t="s">
        <v>136</v>
      </c>
      <c r="D24" s="42" t="s">
        <v>137</v>
      </c>
    </row>
  </sheetData>
  <hyperlinks>
    <hyperlink ref="B8" location="'Table 1'!A1" tooltip="#'Table 1'!A1 - Click once to follow. Click and hold to select this cell." display="Table 1" xr:uid="{AEDC9F3B-5617-4C8C-AC79-B8CCEF1FB12E}"/>
    <hyperlink ref="B9" location="'Table 2'!A1" tooltip="#'Table 2'!A1 - Click once to follow. Click and hold to select this cell." display="Table 2" xr:uid="{F7C80E70-F96E-4638-ADFC-E8CA2F0C0824}"/>
    <hyperlink ref="B10" location="'Table 3'!A1" tooltip="#'Table 3'!A1 - Click once to follow. Click and hold to select this cell." display="Table 3" xr:uid="{0108BB8D-148B-45D7-8D4C-7E204E04A148}"/>
    <hyperlink ref="B11" location="'Table 4'!A1" tooltip="#'Table 4'!A1 - Click once to follow. Click and hold to select this cell." display="Table 4" xr:uid="{8CA6368B-410C-4126-BEC2-A87CE6A4EC61}"/>
    <hyperlink ref="B13" location="'Table 5'!A1" tooltip="#'Table 5'!A1 - Click once to follow. Click and hold to select this cell." display="Table 5" xr:uid="{32E1D265-3ADF-405A-9D57-863DACF575A0}"/>
    <hyperlink ref="B15" location="'Table 6'!A1" tooltip="#'Table 6'!A1 - Click once to follow. Click and hold to select this cell." display="Table 6" xr:uid="{5FA02A77-D1EF-4B55-8057-A3392560A6B5}"/>
    <hyperlink ref="B16" location="'Table 7'!A1" tooltip="#'Table 7'!A1 - Click once to follow. Click and hold to select this cell." display="Table 7" xr:uid="{5161A1DC-B3D6-47EC-822A-3D97C791977C}"/>
    <hyperlink ref="B17" location="'Table 8'!A1" tooltip="#'Table 8'!A1 - Click once to follow. Click and hold to select this cell." display="Table 8" xr:uid="{0351BE53-D9FE-4A67-82D1-C891BCEAE297}"/>
    <hyperlink ref="B18" location="'Table 9'!A1" tooltip="#'Table 9'!A1 - Click once to follow. Click and hold to select this cell." display="Table 9" xr:uid="{D811B0C7-1FEF-4C7A-9CA8-C6DFCCA540BB}"/>
    <hyperlink ref="B19" location="'Table 10'!A1" tooltip="#'Table 10'!A1 - Click once to follow. Click and hold to select this cell." display="Table 10" xr:uid="{E1EB3E45-3688-4C1A-91F0-AC628B4725F7}"/>
    <hyperlink ref="B21" location="'Table 11'!A1" tooltip="#'Table 11'!A1 - Click once to follow. Click and hold to select this cell." display="Table 11" xr:uid="{B0BA9F4F-EB9F-4155-91F9-92998EFDAA57}"/>
    <hyperlink ref="B22" location="'Table 12'!A1" tooltip="#'Table 12'!A1 - Click once to follow. Click and hold to select this cell." display="Table 12" xr:uid="{CE2155DF-C291-45A2-9045-7D29CF7E2C9A}"/>
    <hyperlink ref="B23" location="'Table 13'!A1" tooltip="#'Table 13'!A1 - Click once to follow. Click and hold to select this cell." display="Table 13" xr:uid="{A3D08640-FF83-425A-A9CE-3AC0A0259478}"/>
    <hyperlink ref="B24" location="'Table 14'!A1" tooltip="#'Table 14'!A1 - Click once to follow. Click and hold to select this cell." display="Table 14" xr:uid="{1E833C56-22B8-4391-B860-BFD5C27EB8D1}"/>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F7788-2A85-4C14-8E53-C116E7BDCEE5}">
  <dimension ref="A1:AC34"/>
  <sheetViews>
    <sheetView zoomScale="125" workbookViewId="0">
      <pane xSplit="3" ySplit="9" topLeftCell="D10" activePane="bottomRight" state="frozenSplit"/>
      <selection pane="topRight" activeCell="D1" sqref="D1"/>
      <selection pane="bottomLeft" activeCell="A10" sqref="A10"/>
      <selection pane="bottomRight" activeCell="C6" sqref="C6"/>
    </sheetView>
  </sheetViews>
  <sheetFormatPr baseColWidth="10" defaultColWidth="8.83203125" defaultRowHeight="15" x14ac:dyDescent="0.2"/>
  <cols>
    <col min="1" max="1" width="4.6640625" customWidth="1"/>
    <col min="2" max="2" width="40.6640625" customWidth="1"/>
    <col min="4" max="28" width="12.6640625" customWidth="1"/>
    <col min="29" max="29" width="21.6640625" bestFit="1" customWidth="1"/>
  </cols>
  <sheetData>
    <row r="1" spans="1:29" x14ac:dyDescent="0.2">
      <c r="A1" s="1" t="s">
        <v>3</v>
      </c>
      <c r="B1" s="1"/>
      <c r="C1" s="1"/>
      <c r="D1" s="1" t="s">
        <v>153</v>
      </c>
      <c r="E1" s="1"/>
      <c r="F1" s="1"/>
      <c r="G1" s="1"/>
      <c r="H1" s="1"/>
      <c r="J1" s="1"/>
      <c r="K1" s="1"/>
      <c r="L1" s="1"/>
      <c r="M1" s="1"/>
      <c r="N1" s="1"/>
      <c r="O1" s="1"/>
      <c r="P1" s="1"/>
      <c r="Q1" s="1"/>
      <c r="R1" s="1"/>
      <c r="S1" s="1"/>
      <c r="T1" s="1"/>
      <c r="U1" s="1"/>
      <c r="V1" s="1"/>
      <c r="W1" s="1"/>
      <c r="X1" s="1"/>
      <c r="Y1" s="1"/>
      <c r="Z1" s="1"/>
      <c r="AA1" s="1"/>
      <c r="AB1" s="1"/>
    </row>
    <row r="2" spans="1:29" x14ac:dyDescent="0.2">
      <c r="A2" s="50" t="s">
        <v>138</v>
      </c>
      <c r="B2" s="1"/>
      <c r="C2" s="1"/>
      <c r="D2" s="1"/>
      <c r="E2" s="1"/>
      <c r="F2" s="1"/>
      <c r="G2" s="1"/>
      <c r="H2" s="1"/>
      <c r="I2" s="1"/>
      <c r="J2" s="1"/>
      <c r="K2" s="1"/>
      <c r="L2" s="1"/>
      <c r="M2" s="1"/>
      <c r="N2" s="1"/>
      <c r="O2" s="1"/>
      <c r="P2" s="1"/>
      <c r="Q2" s="1"/>
      <c r="R2" s="1"/>
      <c r="S2" s="1"/>
      <c r="T2" s="1"/>
      <c r="U2" s="1"/>
      <c r="V2" s="1"/>
      <c r="W2" s="1"/>
      <c r="X2" s="1"/>
      <c r="Y2" s="1"/>
      <c r="Z2" s="1"/>
      <c r="AA2" s="1"/>
      <c r="AB2" s="1"/>
    </row>
    <row r="3" spans="1:29" x14ac:dyDescent="0.2">
      <c r="A3" s="1"/>
      <c r="B3" s="1"/>
      <c r="C3" s="1"/>
      <c r="D3" s="1"/>
      <c r="E3" s="1"/>
      <c r="F3" s="1"/>
      <c r="G3" s="1"/>
      <c r="H3" s="1"/>
      <c r="I3" s="1"/>
      <c r="J3" s="1"/>
      <c r="K3" s="1"/>
      <c r="L3" s="1"/>
      <c r="M3" s="1"/>
      <c r="N3" s="1"/>
      <c r="O3" s="1"/>
      <c r="P3" s="1"/>
      <c r="Q3" s="1"/>
      <c r="R3" s="1"/>
      <c r="S3" s="1"/>
      <c r="T3" s="1"/>
      <c r="U3" s="1"/>
      <c r="V3" s="1"/>
      <c r="W3" s="1"/>
      <c r="X3" s="1"/>
      <c r="Y3" s="1"/>
      <c r="Z3" s="1"/>
      <c r="AA3" s="1"/>
      <c r="AB3" s="1"/>
    </row>
    <row r="4" spans="1:29" ht="16" thickBot="1" x14ac:dyDescent="0.25">
      <c r="A4" s="2"/>
      <c r="B4" s="2"/>
      <c r="C4" s="2"/>
      <c r="D4" s="2" t="s">
        <v>155</v>
      </c>
      <c r="E4" s="2"/>
      <c r="F4" s="2"/>
      <c r="G4" s="2"/>
      <c r="H4" s="2"/>
      <c r="I4" s="2"/>
      <c r="J4" s="2"/>
      <c r="K4" s="2"/>
      <c r="L4" s="2"/>
      <c r="M4" s="2"/>
      <c r="N4" s="2"/>
      <c r="O4" s="2"/>
      <c r="P4" s="2"/>
      <c r="Q4" s="2"/>
      <c r="R4" s="2"/>
      <c r="S4" s="2"/>
      <c r="T4" s="2"/>
      <c r="U4" s="2"/>
      <c r="V4" s="2"/>
      <c r="W4" s="2"/>
      <c r="X4" s="2"/>
      <c r="Y4" s="2"/>
      <c r="Z4" s="2"/>
      <c r="AA4" s="2"/>
      <c r="AB4" s="2"/>
    </row>
    <row r="5" spans="1:29" x14ac:dyDescent="0.2">
      <c r="A5" s="1"/>
      <c r="B5" s="1"/>
      <c r="C5" s="1"/>
      <c r="D5" s="1"/>
      <c r="E5" s="1"/>
      <c r="F5" s="1"/>
      <c r="G5" s="1"/>
      <c r="H5" s="1"/>
      <c r="I5" s="1"/>
      <c r="J5" s="1"/>
      <c r="K5" s="1"/>
      <c r="L5" s="1"/>
      <c r="M5" s="1"/>
      <c r="N5" s="1"/>
      <c r="O5" s="1"/>
      <c r="P5" s="1"/>
      <c r="Q5" s="1"/>
      <c r="R5" s="1"/>
      <c r="S5" s="1"/>
      <c r="T5" s="1"/>
      <c r="U5" s="1"/>
      <c r="V5" s="1"/>
      <c r="W5" s="1"/>
      <c r="X5" s="1"/>
      <c r="Y5" s="1"/>
      <c r="Z5" s="1"/>
      <c r="AA5" s="1"/>
      <c r="AB5" s="1"/>
    </row>
    <row r="6" spans="1:29" ht="80.25" customHeight="1" x14ac:dyDescent="0.2">
      <c r="A6" s="1"/>
      <c r="B6" s="1"/>
      <c r="C6" s="21" t="s">
        <v>4</v>
      </c>
      <c r="D6" s="21" t="s">
        <v>140</v>
      </c>
      <c r="E6" s="21" t="s">
        <v>8</v>
      </c>
      <c r="F6" s="21" t="s">
        <v>9</v>
      </c>
      <c r="G6" s="21" t="s">
        <v>10</v>
      </c>
      <c r="H6" s="21" t="s">
        <v>11</v>
      </c>
      <c r="I6" s="21" t="s">
        <v>12</v>
      </c>
      <c r="J6" s="21" t="s">
        <v>141</v>
      </c>
      <c r="K6" s="21" t="s">
        <v>142</v>
      </c>
      <c r="L6" s="21" t="s">
        <v>143</v>
      </c>
      <c r="M6" s="21" t="s">
        <v>144</v>
      </c>
      <c r="N6" s="21" t="s">
        <v>145</v>
      </c>
      <c r="O6" s="21" t="s">
        <v>146</v>
      </c>
      <c r="P6" s="21" t="s">
        <v>13</v>
      </c>
      <c r="Q6" s="21" t="s">
        <v>14</v>
      </c>
      <c r="R6" s="21" t="s">
        <v>15</v>
      </c>
      <c r="S6" s="21" t="s">
        <v>147</v>
      </c>
      <c r="T6" s="21" t="s">
        <v>16</v>
      </c>
      <c r="U6" s="21" t="s">
        <v>17</v>
      </c>
      <c r="V6" s="21" t="s">
        <v>148</v>
      </c>
      <c r="W6" s="21" t="s">
        <v>149</v>
      </c>
      <c r="X6" s="21" t="s">
        <v>18</v>
      </c>
      <c r="Y6" s="21" t="s">
        <v>19</v>
      </c>
      <c r="Z6" s="21" t="s">
        <v>20</v>
      </c>
      <c r="AA6" s="21" t="s">
        <v>21</v>
      </c>
      <c r="AB6" s="21" t="s">
        <v>22</v>
      </c>
    </row>
    <row r="7" spans="1:29" x14ac:dyDescent="0.2">
      <c r="A7" s="1"/>
      <c r="B7" s="1"/>
      <c r="C7" s="3"/>
      <c r="D7" s="3"/>
      <c r="E7" s="3"/>
      <c r="F7" s="3"/>
      <c r="G7" s="3"/>
      <c r="H7" s="3"/>
      <c r="I7" s="3"/>
      <c r="J7" s="3"/>
      <c r="K7" s="3"/>
      <c r="L7" s="3"/>
      <c r="M7" s="3"/>
      <c r="N7" s="3"/>
      <c r="O7" s="3"/>
      <c r="P7" s="3"/>
      <c r="Q7" s="3"/>
      <c r="R7" s="3"/>
      <c r="S7" s="3"/>
      <c r="T7" s="3"/>
      <c r="U7" s="3"/>
      <c r="V7" s="3"/>
      <c r="W7" s="3"/>
      <c r="X7" s="3"/>
      <c r="Y7" s="3"/>
      <c r="Z7" s="3"/>
      <c r="AA7" s="3"/>
      <c r="AB7" s="3"/>
    </row>
    <row r="8" spans="1:29" x14ac:dyDescent="0.2">
      <c r="A8" s="1"/>
      <c r="B8" s="1"/>
      <c r="C8" s="1"/>
      <c r="D8" s="1"/>
      <c r="E8" s="1"/>
      <c r="F8" s="1"/>
      <c r="G8" s="1"/>
      <c r="H8" s="1"/>
      <c r="I8" s="1"/>
      <c r="J8" s="1"/>
      <c r="K8" s="1"/>
      <c r="L8" s="1"/>
      <c r="M8" s="1"/>
      <c r="N8" s="1"/>
      <c r="O8" s="1"/>
      <c r="P8" s="1"/>
      <c r="Q8" s="1"/>
      <c r="R8" s="1"/>
      <c r="S8" s="1"/>
      <c r="T8" s="1"/>
      <c r="U8" s="1"/>
      <c r="V8" s="1"/>
      <c r="W8" s="1"/>
      <c r="X8" s="1"/>
      <c r="Y8" s="1"/>
      <c r="Z8" s="1"/>
      <c r="AA8" s="1"/>
      <c r="AB8" s="1"/>
    </row>
    <row r="9" spans="1:29" ht="16" thickBot="1" x14ac:dyDescent="0.25">
      <c r="A9" s="7"/>
      <c r="B9" s="2" t="s">
        <v>23</v>
      </c>
      <c r="C9" s="2"/>
      <c r="D9" s="7">
        <v>1</v>
      </c>
      <c r="E9" s="7">
        <v>2</v>
      </c>
      <c r="F9" s="7">
        <v>3</v>
      </c>
      <c r="G9" s="7">
        <v>4</v>
      </c>
      <c r="H9" s="7">
        <v>5</v>
      </c>
      <c r="I9" s="7">
        <v>6</v>
      </c>
      <c r="J9" s="7">
        <v>7</v>
      </c>
      <c r="K9" s="7">
        <v>8</v>
      </c>
      <c r="L9" s="7">
        <v>9</v>
      </c>
      <c r="M9" s="7">
        <v>10</v>
      </c>
      <c r="N9" s="7">
        <v>11</v>
      </c>
      <c r="O9" s="7">
        <v>12</v>
      </c>
      <c r="P9" s="7">
        <v>13</v>
      </c>
      <c r="Q9" s="7">
        <v>14</v>
      </c>
      <c r="R9" s="7">
        <v>15</v>
      </c>
      <c r="S9" s="7">
        <v>16</v>
      </c>
      <c r="T9" s="7">
        <v>17</v>
      </c>
      <c r="U9" s="7">
        <v>18</v>
      </c>
      <c r="V9" s="7">
        <v>19</v>
      </c>
      <c r="W9" s="7">
        <v>20</v>
      </c>
      <c r="X9" s="7" t="s">
        <v>5</v>
      </c>
      <c r="Y9" s="7">
        <v>21</v>
      </c>
      <c r="Z9" s="7" t="s">
        <v>6</v>
      </c>
      <c r="AA9" s="7">
        <v>22</v>
      </c>
      <c r="AB9" s="7" t="s">
        <v>7</v>
      </c>
    </row>
    <row r="10" spans="1:29" x14ac:dyDescent="0.2">
      <c r="A10" s="8">
        <v>1</v>
      </c>
      <c r="B10" s="1" t="s">
        <v>140</v>
      </c>
      <c r="C10" s="1"/>
      <c r="D10" s="14">
        <v>674.30219999999997</v>
      </c>
      <c r="E10" s="14">
        <v>0</v>
      </c>
      <c r="F10" s="14">
        <v>0</v>
      </c>
      <c r="G10" s="14">
        <v>0</v>
      </c>
      <c r="H10" s="14">
        <v>0</v>
      </c>
      <c r="I10" s="14">
        <v>0</v>
      </c>
      <c r="J10" s="14">
        <v>0</v>
      </c>
      <c r="K10" s="14">
        <v>0</v>
      </c>
      <c r="L10" s="14">
        <v>0</v>
      </c>
      <c r="M10" s="14">
        <v>0</v>
      </c>
      <c r="N10" s="14">
        <v>0</v>
      </c>
      <c r="O10" s="14">
        <v>0</v>
      </c>
      <c r="P10" s="14">
        <v>0</v>
      </c>
      <c r="Q10" s="14">
        <v>0</v>
      </c>
      <c r="R10" s="14">
        <v>0</v>
      </c>
      <c r="S10" s="14">
        <v>0</v>
      </c>
      <c r="T10" s="14">
        <v>0</v>
      </c>
      <c r="U10" s="14">
        <v>0</v>
      </c>
      <c r="V10" s="14">
        <v>0</v>
      </c>
      <c r="W10" s="14">
        <v>0</v>
      </c>
      <c r="X10" s="14">
        <v>674.30219999999997</v>
      </c>
      <c r="Y10" s="14">
        <v>4716.8773000000001</v>
      </c>
      <c r="Z10" s="14">
        <v>5391.1796000000004</v>
      </c>
      <c r="AA10" s="14">
        <v>8389.0831999999991</v>
      </c>
      <c r="AB10" s="14">
        <v>13780.2628</v>
      </c>
      <c r="AC10" s="45"/>
    </row>
    <row r="11" spans="1:29" x14ac:dyDescent="0.2">
      <c r="A11" s="8">
        <v>2</v>
      </c>
      <c r="B11" s="1" t="s">
        <v>8</v>
      </c>
      <c r="C11" s="1"/>
      <c r="D11" s="14">
        <v>0</v>
      </c>
      <c r="E11" s="14">
        <v>457858.86099999998</v>
      </c>
      <c r="F11" s="14">
        <v>6.4428999999999998</v>
      </c>
      <c r="G11" s="14">
        <v>0</v>
      </c>
      <c r="H11" s="14">
        <v>856.12620000000004</v>
      </c>
      <c r="I11" s="14">
        <v>0</v>
      </c>
      <c r="J11" s="14">
        <v>738.42960000000005</v>
      </c>
      <c r="K11" s="14">
        <v>0</v>
      </c>
      <c r="L11" s="14">
        <v>0</v>
      </c>
      <c r="M11" s="14">
        <v>21.9863</v>
      </c>
      <c r="N11" s="14">
        <v>0</v>
      </c>
      <c r="O11" s="14">
        <v>0.1991</v>
      </c>
      <c r="P11" s="14">
        <v>0</v>
      </c>
      <c r="Q11" s="14">
        <v>3293.8038999999999</v>
      </c>
      <c r="R11" s="14">
        <v>147.34790000000001</v>
      </c>
      <c r="S11" s="14">
        <v>4.1288999999999998</v>
      </c>
      <c r="T11" s="14">
        <v>0.25850000000000001</v>
      </c>
      <c r="U11" s="14">
        <v>0</v>
      </c>
      <c r="V11" s="14">
        <v>0</v>
      </c>
      <c r="W11" s="14">
        <v>0</v>
      </c>
      <c r="X11" s="14">
        <v>462927.58419999998</v>
      </c>
      <c r="Y11" s="14">
        <v>666036.99560000002</v>
      </c>
      <c r="Z11" s="14">
        <v>1128964.5797999999</v>
      </c>
      <c r="AA11" s="14">
        <v>300014.42219999997</v>
      </c>
      <c r="AB11" s="14">
        <v>1428979.0020000001</v>
      </c>
      <c r="AC11" s="45"/>
    </row>
    <row r="12" spans="1:29" x14ac:dyDescent="0.2">
      <c r="A12" s="8">
        <v>3</v>
      </c>
      <c r="B12" s="1" t="s">
        <v>9</v>
      </c>
      <c r="C12" s="1"/>
      <c r="D12" s="14">
        <v>0</v>
      </c>
      <c r="E12" s="14">
        <v>489.56880000000001</v>
      </c>
      <c r="F12" s="14">
        <v>23455.824799999999</v>
      </c>
      <c r="G12" s="14">
        <v>0</v>
      </c>
      <c r="H12" s="14">
        <v>0</v>
      </c>
      <c r="I12" s="14">
        <v>0</v>
      </c>
      <c r="J12" s="14">
        <v>0</v>
      </c>
      <c r="K12" s="14">
        <v>0</v>
      </c>
      <c r="L12" s="14">
        <v>0</v>
      </c>
      <c r="M12" s="14">
        <v>0</v>
      </c>
      <c r="N12" s="14">
        <v>0</v>
      </c>
      <c r="O12" s="14">
        <v>0</v>
      </c>
      <c r="P12" s="14">
        <v>0</v>
      </c>
      <c r="Q12" s="14">
        <v>0</v>
      </c>
      <c r="R12" s="14">
        <v>0</v>
      </c>
      <c r="S12" s="14">
        <v>230.4845</v>
      </c>
      <c r="T12" s="14">
        <v>0</v>
      </c>
      <c r="U12" s="14">
        <v>0</v>
      </c>
      <c r="V12" s="14">
        <v>0</v>
      </c>
      <c r="W12" s="14">
        <v>0</v>
      </c>
      <c r="X12" s="14">
        <v>24175.878100000002</v>
      </c>
      <c r="Y12" s="14">
        <v>10887.836499999999</v>
      </c>
      <c r="Z12" s="14">
        <v>35063.714599999999</v>
      </c>
      <c r="AA12" s="14">
        <v>4004.7804000000001</v>
      </c>
      <c r="AB12" s="14">
        <v>39068.495000000003</v>
      </c>
      <c r="AC12" s="45"/>
    </row>
    <row r="13" spans="1:29" x14ac:dyDescent="0.2">
      <c r="A13" s="8">
        <v>4</v>
      </c>
      <c r="B13" s="1" t="s">
        <v>10</v>
      </c>
      <c r="C13" s="1"/>
      <c r="D13" s="14">
        <v>0</v>
      </c>
      <c r="E13" s="14">
        <v>246.27680000000001</v>
      </c>
      <c r="F13" s="14">
        <v>33.706099999999999</v>
      </c>
      <c r="G13" s="14">
        <v>69866.753500000006</v>
      </c>
      <c r="H13" s="14">
        <v>72.208600000000004</v>
      </c>
      <c r="I13" s="14">
        <v>0</v>
      </c>
      <c r="J13" s="14">
        <v>3.3999999999999998E-3</v>
      </c>
      <c r="K13" s="14">
        <v>0</v>
      </c>
      <c r="L13" s="14">
        <v>0</v>
      </c>
      <c r="M13" s="14">
        <v>7.9268000000000001</v>
      </c>
      <c r="N13" s="14">
        <v>0</v>
      </c>
      <c r="O13" s="14">
        <v>0</v>
      </c>
      <c r="P13" s="14">
        <v>0</v>
      </c>
      <c r="Q13" s="14">
        <v>2750.3438000000001</v>
      </c>
      <c r="R13" s="14">
        <v>27.5961</v>
      </c>
      <c r="S13" s="14">
        <v>80.843699999999998</v>
      </c>
      <c r="T13" s="14">
        <v>0</v>
      </c>
      <c r="U13" s="14">
        <v>0</v>
      </c>
      <c r="V13" s="14">
        <v>2.3561999999999999</v>
      </c>
      <c r="W13" s="14">
        <v>1.722</v>
      </c>
      <c r="X13" s="14">
        <v>73089.736999999994</v>
      </c>
      <c r="Y13" s="14">
        <v>258.8777</v>
      </c>
      <c r="Z13" s="14">
        <v>73348.614700000006</v>
      </c>
      <c r="AA13" s="14">
        <v>0</v>
      </c>
      <c r="AB13" s="14">
        <v>73348.614700000006</v>
      </c>
      <c r="AC13" s="45"/>
    </row>
    <row r="14" spans="1:29" x14ac:dyDescent="0.2">
      <c r="A14" s="8">
        <v>5</v>
      </c>
      <c r="B14" s="1" t="s">
        <v>11</v>
      </c>
      <c r="C14" s="1"/>
      <c r="D14" s="14">
        <v>19.755099999999999</v>
      </c>
      <c r="E14" s="14">
        <v>10619.0069</v>
      </c>
      <c r="F14" s="14">
        <v>0.40989999999999999</v>
      </c>
      <c r="G14" s="14">
        <v>250.66669999999999</v>
      </c>
      <c r="H14" s="14">
        <v>277602.951</v>
      </c>
      <c r="I14" s="14">
        <v>567.47360000000003</v>
      </c>
      <c r="J14" s="14">
        <v>1186.6819</v>
      </c>
      <c r="K14" s="14">
        <v>4.1223999999999998</v>
      </c>
      <c r="L14" s="14">
        <v>42.736199999999997</v>
      </c>
      <c r="M14" s="14">
        <v>4027.3130000000001</v>
      </c>
      <c r="N14" s="14">
        <v>227.33090000000001</v>
      </c>
      <c r="O14" s="14">
        <v>7.5800000000000006E-2</v>
      </c>
      <c r="P14" s="14">
        <v>0</v>
      </c>
      <c r="Q14" s="14">
        <v>778.75609999999995</v>
      </c>
      <c r="R14" s="14">
        <v>22.222000000000001</v>
      </c>
      <c r="S14" s="14">
        <v>0</v>
      </c>
      <c r="T14" s="14">
        <v>29.610800000000001</v>
      </c>
      <c r="U14" s="14">
        <v>11.742100000000001</v>
      </c>
      <c r="V14" s="14">
        <v>37.412799999999997</v>
      </c>
      <c r="W14" s="14">
        <v>82.884299999999996</v>
      </c>
      <c r="X14" s="14">
        <v>295511.15159999998</v>
      </c>
      <c r="Y14" s="14">
        <v>4150.8056999999999</v>
      </c>
      <c r="Z14" s="14">
        <v>299661.95730000001</v>
      </c>
      <c r="AA14" s="14">
        <v>-283451.62040000001</v>
      </c>
      <c r="AB14" s="14">
        <v>16210.3369</v>
      </c>
      <c r="AC14" s="45"/>
    </row>
    <row r="15" spans="1:29" x14ac:dyDescent="0.2">
      <c r="A15" s="8">
        <v>6</v>
      </c>
      <c r="B15" s="1" t="s">
        <v>12</v>
      </c>
      <c r="C15" s="1"/>
      <c r="D15" s="14">
        <v>0</v>
      </c>
      <c r="E15" s="14">
        <v>0</v>
      </c>
      <c r="F15" s="14">
        <v>0</v>
      </c>
      <c r="G15" s="14">
        <v>0</v>
      </c>
      <c r="H15" s="14">
        <v>1058.0962999999999</v>
      </c>
      <c r="I15" s="14">
        <v>15194.4375</v>
      </c>
      <c r="J15" s="14">
        <v>34.421900000000001</v>
      </c>
      <c r="K15" s="14">
        <v>20.292899999999999</v>
      </c>
      <c r="L15" s="14">
        <v>79.088700000000003</v>
      </c>
      <c r="M15" s="14">
        <v>141.0412</v>
      </c>
      <c r="N15" s="14">
        <v>8.2849000000000004</v>
      </c>
      <c r="O15" s="14">
        <v>123.5159</v>
      </c>
      <c r="P15" s="14">
        <v>0</v>
      </c>
      <c r="Q15" s="14">
        <v>69.88</v>
      </c>
      <c r="R15" s="14">
        <v>398.39440000000002</v>
      </c>
      <c r="S15" s="14">
        <v>73.006900000000002</v>
      </c>
      <c r="T15" s="14">
        <v>0.14369999999999999</v>
      </c>
      <c r="U15" s="14">
        <v>0.99070000000000003</v>
      </c>
      <c r="V15" s="14">
        <v>0.68430000000000002</v>
      </c>
      <c r="W15" s="14">
        <v>7.2195</v>
      </c>
      <c r="X15" s="14">
        <v>17209.498899999999</v>
      </c>
      <c r="Y15" s="14">
        <v>0</v>
      </c>
      <c r="Z15" s="14">
        <v>17209.498899999999</v>
      </c>
      <c r="AA15" s="14">
        <v>-16245.4663</v>
      </c>
      <c r="AB15" s="14">
        <v>964.03269999999998</v>
      </c>
      <c r="AC15" s="45"/>
    </row>
    <row r="16" spans="1:29" x14ac:dyDescent="0.2">
      <c r="A16" s="8">
        <v>7</v>
      </c>
      <c r="B16" s="1" t="s">
        <v>141</v>
      </c>
      <c r="C16" s="1"/>
      <c r="D16" s="14">
        <v>0</v>
      </c>
      <c r="E16" s="14">
        <v>313.34230000000002</v>
      </c>
      <c r="F16" s="14">
        <v>44.896500000000003</v>
      </c>
      <c r="G16" s="14">
        <v>75.816199999999995</v>
      </c>
      <c r="H16" s="14">
        <v>12204.891900000001</v>
      </c>
      <c r="I16" s="14">
        <v>26.3675</v>
      </c>
      <c r="J16" s="14">
        <v>312170.69569999998</v>
      </c>
      <c r="K16" s="14">
        <v>22.47</v>
      </c>
      <c r="L16" s="14">
        <v>1.3115000000000001</v>
      </c>
      <c r="M16" s="14">
        <v>145.87520000000001</v>
      </c>
      <c r="N16" s="14">
        <v>3.0137</v>
      </c>
      <c r="O16" s="14">
        <v>540.40980000000002</v>
      </c>
      <c r="P16" s="14">
        <v>0</v>
      </c>
      <c r="Q16" s="14">
        <v>36.2438</v>
      </c>
      <c r="R16" s="14">
        <v>195.70330000000001</v>
      </c>
      <c r="S16" s="14">
        <v>844.94060000000002</v>
      </c>
      <c r="T16" s="14">
        <v>5.5673000000000004</v>
      </c>
      <c r="U16" s="14">
        <v>7.7359999999999998</v>
      </c>
      <c r="V16" s="14">
        <v>21.873200000000001</v>
      </c>
      <c r="W16" s="14">
        <v>11.1335</v>
      </c>
      <c r="X16" s="14">
        <v>326672.28810000001</v>
      </c>
      <c r="Y16" s="14">
        <v>152860.90789999999</v>
      </c>
      <c r="Z16" s="14">
        <v>479533.196</v>
      </c>
      <c r="AA16" s="14">
        <v>1468.6797999999999</v>
      </c>
      <c r="AB16" s="14">
        <v>481001.87579999998</v>
      </c>
      <c r="AC16" s="45"/>
    </row>
    <row r="17" spans="1:29" x14ac:dyDescent="0.2">
      <c r="A17" s="8">
        <v>8</v>
      </c>
      <c r="B17" s="1" t="s">
        <v>142</v>
      </c>
      <c r="C17" s="1"/>
      <c r="D17" s="14">
        <v>0</v>
      </c>
      <c r="E17" s="14">
        <v>0</v>
      </c>
      <c r="F17" s="14">
        <v>0</v>
      </c>
      <c r="G17" s="14">
        <v>0</v>
      </c>
      <c r="H17" s="14">
        <v>0</v>
      </c>
      <c r="I17" s="14">
        <v>0</v>
      </c>
      <c r="J17" s="14">
        <v>0</v>
      </c>
      <c r="K17" s="14">
        <v>4326.5306</v>
      </c>
      <c r="L17" s="14">
        <v>0</v>
      </c>
      <c r="M17" s="14">
        <v>0</v>
      </c>
      <c r="N17" s="14">
        <v>0</v>
      </c>
      <c r="O17" s="14">
        <v>209.43180000000001</v>
      </c>
      <c r="P17" s="14">
        <v>0</v>
      </c>
      <c r="Q17" s="14">
        <v>0</v>
      </c>
      <c r="R17" s="14">
        <v>2.0000000000000001E-4</v>
      </c>
      <c r="S17" s="14">
        <v>0</v>
      </c>
      <c r="T17" s="14">
        <v>0</v>
      </c>
      <c r="U17" s="14">
        <v>0</v>
      </c>
      <c r="V17" s="14">
        <v>1.3906000000000001</v>
      </c>
      <c r="W17" s="14">
        <v>0</v>
      </c>
      <c r="X17" s="14">
        <v>4537.3531000000003</v>
      </c>
      <c r="Y17" s="14">
        <v>6907.3042999999998</v>
      </c>
      <c r="Z17" s="14">
        <v>11444.6574</v>
      </c>
      <c r="AA17" s="14">
        <v>296.00799999999998</v>
      </c>
      <c r="AB17" s="14">
        <v>11740.665300000001</v>
      </c>
      <c r="AC17" s="45"/>
    </row>
    <row r="18" spans="1:29" x14ac:dyDescent="0.2">
      <c r="A18" s="8">
        <v>9</v>
      </c>
      <c r="B18" s="1" t="s">
        <v>143</v>
      </c>
      <c r="C18" s="1"/>
      <c r="D18" s="14">
        <v>0</v>
      </c>
      <c r="E18" s="14">
        <v>0</v>
      </c>
      <c r="F18" s="14">
        <v>0</v>
      </c>
      <c r="G18" s="14">
        <v>0</v>
      </c>
      <c r="H18" s="14">
        <v>65.3279</v>
      </c>
      <c r="I18" s="14">
        <v>9.4038000000000004</v>
      </c>
      <c r="J18" s="14">
        <v>16.428000000000001</v>
      </c>
      <c r="K18" s="14">
        <v>1854.1054999999999</v>
      </c>
      <c r="L18" s="14">
        <v>14336.384899999999</v>
      </c>
      <c r="M18" s="14">
        <v>14.2348</v>
      </c>
      <c r="N18" s="14">
        <v>0</v>
      </c>
      <c r="O18" s="14">
        <v>159.9067</v>
      </c>
      <c r="P18" s="14">
        <v>0</v>
      </c>
      <c r="Q18" s="14">
        <v>0.7036</v>
      </c>
      <c r="R18" s="14">
        <v>6.3475000000000001</v>
      </c>
      <c r="S18" s="14">
        <v>0</v>
      </c>
      <c r="T18" s="14">
        <v>0.6038</v>
      </c>
      <c r="U18" s="14">
        <v>1.7653000000000001</v>
      </c>
      <c r="V18" s="14">
        <v>232.00970000000001</v>
      </c>
      <c r="W18" s="14">
        <v>7.0753000000000004</v>
      </c>
      <c r="X18" s="14">
        <v>16704.296699999999</v>
      </c>
      <c r="Y18" s="14">
        <v>4675.1660000000002</v>
      </c>
      <c r="Z18" s="14">
        <v>21379.4627</v>
      </c>
      <c r="AA18" s="14">
        <v>1052.4367999999999</v>
      </c>
      <c r="AB18" s="14">
        <v>22431.8995</v>
      </c>
      <c r="AC18" s="45"/>
    </row>
    <row r="19" spans="1:29" x14ac:dyDescent="0.2">
      <c r="A19" s="9">
        <v>10</v>
      </c>
      <c r="B19" s="3" t="s">
        <v>144</v>
      </c>
      <c r="C19" s="3"/>
      <c r="D19" s="15">
        <v>0</v>
      </c>
      <c r="E19" s="15">
        <v>657.1961</v>
      </c>
      <c r="F19" s="15">
        <v>29.166399999999999</v>
      </c>
      <c r="G19" s="15">
        <v>23.265899999999998</v>
      </c>
      <c r="H19" s="15">
        <v>16685.9787</v>
      </c>
      <c r="I19" s="15">
        <v>129.13669999999999</v>
      </c>
      <c r="J19" s="15">
        <v>219.17250000000001</v>
      </c>
      <c r="K19" s="15">
        <v>4.5258000000000003</v>
      </c>
      <c r="L19" s="15">
        <v>6.3670999999999998</v>
      </c>
      <c r="M19" s="15">
        <v>157716.88829999999</v>
      </c>
      <c r="N19" s="15">
        <v>1939.3444999999999</v>
      </c>
      <c r="O19" s="15">
        <v>4.9812000000000003</v>
      </c>
      <c r="P19" s="15">
        <v>0</v>
      </c>
      <c r="Q19" s="15">
        <v>1359.3189</v>
      </c>
      <c r="R19" s="15">
        <v>92.015100000000004</v>
      </c>
      <c r="S19" s="15">
        <v>947.25139999999999</v>
      </c>
      <c r="T19" s="15">
        <v>149.76689999999999</v>
      </c>
      <c r="U19" s="15">
        <v>52.686900000000001</v>
      </c>
      <c r="V19" s="15">
        <v>3.2195</v>
      </c>
      <c r="W19" s="15">
        <v>14.303100000000001</v>
      </c>
      <c r="X19" s="15">
        <v>180034.5852</v>
      </c>
      <c r="Y19" s="15">
        <v>60770.049500000001</v>
      </c>
      <c r="Z19" s="15">
        <v>240804.6347</v>
      </c>
      <c r="AA19" s="15">
        <v>881.16179999999997</v>
      </c>
      <c r="AB19" s="15">
        <v>241685.7965</v>
      </c>
      <c r="AC19" s="45"/>
    </row>
    <row r="20" spans="1:29" x14ac:dyDescent="0.2">
      <c r="A20" s="10">
        <v>11</v>
      </c>
      <c r="B20" s="4" t="s">
        <v>145</v>
      </c>
      <c r="C20" s="4"/>
      <c r="D20" s="16">
        <v>0</v>
      </c>
      <c r="E20" s="16">
        <v>55.698</v>
      </c>
      <c r="F20" s="16">
        <v>0</v>
      </c>
      <c r="G20" s="16">
        <v>0</v>
      </c>
      <c r="H20" s="16">
        <v>286.75560000000002</v>
      </c>
      <c r="I20" s="16">
        <v>2.7323</v>
      </c>
      <c r="J20" s="16">
        <v>0.32190000000000002</v>
      </c>
      <c r="K20" s="16">
        <v>1E-4</v>
      </c>
      <c r="L20" s="16">
        <v>0</v>
      </c>
      <c r="M20" s="16">
        <v>50.090800000000002</v>
      </c>
      <c r="N20" s="16">
        <v>157620.5074</v>
      </c>
      <c r="O20" s="16">
        <v>2.2000000000000001E-3</v>
      </c>
      <c r="P20" s="16">
        <v>0</v>
      </c>
      <c r="Q20" s="16">
        <v>108.9843</v>
      </c>
      <c r="R20" s="16">
        <v>81.879300000000001</v>
      </c>
      <c r="S20" s="16">
        <v>0</v>
      </c>
      <c r="T20" s="16">
        <v>0</v>
      </c>
      <c r="U20" s="16">
        <v>0</v>
      </c>
      <c r="V20" s="16">
        <v>6.9999999999999999E-4</v>
      </c>
      <c r="W20" s="16">
        <v>0.26650000000000001</v>
      </c>
      <c r="X20" s="16">
        <v>158207.23920000001</v>
      </c>
      <c r="Y20" s="16">
        <v>31808.4686</v>
      </c>
      <c r="Z20" s="16">
        <v>190015.7078</v>
      </c>
      <c r="AA20" s="16">
        <v>1150.4643000000001</v>
      </c>
      <c r="AB20" s="16">
        <v>191166.1722</v>
      </c>
      <c r="AC20" s="45"/>
    </row>
    <row r="21" spans="1:29" x14ac:dyDescent="0.2">
      <c r="A21" s="8">
        <v>12</v>
      </c>
      <c r="B21" s="1" t="s">
        <v>146</v>
      </c>
      <c r="C21" s="1"/>
      <c r="D21" s="14">
        <v>2.2086000000000001</v>
      </c>
      <c r="E21" s="14">
        <v>296.43520000000001</v>
      </c>
      <c r="F21" s="14">
        <v>33.636299999999999</v>
      </c>
      <c r="G21" s="14">
        <v>181.72329999999999</v>
      </c>
      <c r="H21" s="14">
        <v>498.71969999999999</v>
      </c>
      <c r="I21" s="14">
        <v>241.3897</v>
      </c>
      <c r="J21" s="14">
        <v>932.00609999999995</v>
      </c>
      <c r="K21" s="14">
        <v>189.37540000000001</v>
      </c>
      <c r="L21" s="14">
        <v>214.90710000000001</v>
      </c>
      <c r="M21" s="14">
        <v>344.30259999999998</v>
      </c>
      <c r="N21" s="14">
        <v>2298.1925000000001</v>
      </c>
      <c r="O21" s="14">
        <v>35618.881699999998</v>
      </c>
      <c r="P21" s="14">
        <v>0</v>
      </c>
      <c r="Q21" s="14">
        <v>145.85480000000001</v>
      </c>
      <c r="R21" s="14">
        <v>74.057400000000001</v>
      </c>
      <c r="S21" s="14">
        <v>1239.0632000000001</v>
      </c>
      <c r="T21" s="14">
        <v>161.48089999999999</v>
      </c>
      <c r="U21" s="14">
        <v>220.49299999999999</v>
      </c>
      <c r="V21" s="14">
        <v>265.17509999999999</v>
      </c>
      <c r="W21" s="14">
        <v>176.6266</v>
      </c>
      <c r="X21" s="14">
        <v>43134.529199999997</v>
      </c>
      <c r="Y21" s="14">
        <v>72.072400000000002</v>
      </c>
      <c r="Z21" s="14">
        <v>43206.601600000002</v>
      </c>
      <c r="AA21" s="14">
        <v>7854.8402999999998</v>
      </c>
      <c r="AB21" s="14">
        <v>51061.441800000001</v>
      </c>
      <c r="AC21" s="45"/>
    </row>
    <row r="22" spans="1:29" x14ac:dyDescent="0.2">
      <c r="A22" s="8">
        <v>13</v>
      </c>
      <c r="B22" s="1" t="s">
        <v>13</v>
      </c>
      <c r="C22" s="1"/>
      <c r="D22" s="14">
        <v>0</v>
      </c>
      <c r="E22" s="14">
        <v>0</v>
      </c>
      <c r="F22" s="14">
        <v>0</v>
      </c>
      <c r="G22" s="14">
        <v>0</v>
      </c>
      <c r="H22" s="14">
        <v>0</v>
      </c>
      <c r="I22" s="14">
        <v>0</v>
      </c>
      <c r="J22" s="14">
        <v>0</v>
      </c>
      <c r="K22" s="14">
        <v>0</v>
      </c>
      <c r="L22" s="14">
        <v>0</v>
      </c>
      <c r="M22" s="14">
        <v>0</v>
      </c>
      <c r="N22" s="14">
        <v>0</v>
      </c>
      <c r="O22" s="14">
        <v>0</v>
      </c>
      <c r="P22" s="14">
        <v>24745.4</v>
      </c>
      <c r="Q22" s="14">
        <v>0</v>
      </c>
      <c r="R22" s="14">
        <v>0</v>
      </c>
      <c r="S22" s="14">
        <v>0</v>
      </c>
      <c r="T22" s="14">
        <v>0</v>
      </c>
      <c r="U22" s="14">
        <v>0</v>
      </c>
      <c r="V22" s="14">
        <v>0</v>
      </c>
      <c r="W22" s="14">
        <v>0</v>
      </c>
      <c r="X22" s="14">
        <v>24745.4</v>
      </c>
      <c r="Y22" s="14">
        <v>653.39149999999995</v>
      </c>
      <c r="Z22" s="14">
        <v>25398.791499999999</v>
      </c>
      <c r="AA22" s="14">
        <v>0</v>
      </c>
      <c r="AB22" s="14">
        <v>25398.791499999999</v>
      </c>
      <c r="AC22" s="45"/>
    </row>
    <row r="23" spans="1:29" x14ac:dyDescent="0.2">
      <c r="A23" s="8">
        <v>14</v>
      </c>
      <c r="B23" s="1" t="s">
        <v>14</v>
      </c>
      <c r="C23" s="1"/>
      <c r="D23" s="14">
        <v>33.186399999999999</v>
      </c>
      <c r="E23" s="14">
        <v>4059.9173999999998</v>
      </c>
      <c r="F23" s="14">
        <v>251.1609</v>
      </c>
      <c r="G23" s="14">
        <v>150.08349999999999</v>
      </c>
      <c r="H23" s="14">
        <v>4166.3449000000001</v>
      </c>
      <c r="I23" s="14">
        <v>335.43150000000003</v>
      </c>
      <c r="J23" s="14">
        <v>523.94669999999996</v>
      </c>
      <c r="K23" s="14">
        <v>6.3011999999999997</v>
      </c>
      <c r="L23" s="14">
        <v>15.2882</v>
      </c>
      <c r="M23" s="14">
        <v>15407.920700000001</v>
      </c>
      <c r="N23" s="14">
        <v>5350.4839000000002</v>
      </c>
      <c r="O23" s="14">
        <v>1991.1886</v>
      </c>
      <c r="P23" s="14">
        <v>0</v>
      </c>
      <c r="Q23" s="14">
        <v>68243.189400000003</v>
      </c>
      <c r="R23" s="14">
        <v>1160.4701</v>
      </c>
      <c r="S23" s="14">
        <v>96.166899999999998</v>
      </c>
      <c r="T23" s="14">
        <v>1602.0965000000001</v>
      </c>
      <c r="U23" s="14">
        <v>343.42750000000001</v>
      </c>
      <c r="V23" s="14">
        <v>69.877200000000002</v>
      </c>
      <c r="W23" s="14">
        <v>46.611400000000003</v>
      </c>
      <c r="X23" s="14">
        <v>103853.0932</v>
      </c>
      <c r="Y23" s="14">
        <v>66818.360199999996</v>
      </c>
      <c r="Z23" s="14">
        <v>170671.45329999999</v>
      </c>
      <c r="AA23" s="14">
        <v>69.574100000000001</v>
      </c>
      <c r="AB23" s="14">
        <v>170741.0275</v>
      </c>
      <c r="AC23" s="45"/>
    </row>
    <row r="24" spans="1:29" x14ac:dyDescent="0.2">
      <c r="A24" s="8">
        <v>15</v>
      </c>
      <c r="B24" s="1" t="s">
        <v>15</v>
      </c>
      <c r="C24" s="1"/>
      <c r="D24" s="14">
        <v>12.5463</v>
      </c>
      <c r="E24" s="14">
        <v>1897.0784000000001</v>
      </c>
      <c r="F24" s="14">
        <v>21.857299999999999</v>
      </c>
      <c r="G24" s="14">
        <v>536.74099999999999</v>
      </c>
      <c r="H24" s="14">
        <v>1964.7645</v>
      </c>
      <c r="I24" s="14">
        <v>40.605200000000004</v>
      </c>
      <c r="J24" s="14">
        <v>4244.8496999999998</v>
      </c>
      <c r="K24" s="14">
        <v>3.7605</v>
      </c>
      <c r="L24" s="14">
        <v>108.5031</v>
      </c>
      <c r="M24" s="14">
        <v>4391.5145000000002</v>
      </c>
      <c r="N24" s="14">
        <v>2067.3083000000001</v>
      </c>
      <c r="O24" s="14">
        <v>304.34589999999997</v>
      </c>
      <c r="P24" s="14">
        <v>0</v>
      </c>
      <c r="Q24" s="14">
        <v>994.80679999999995</v>
      </c>
      <c r="R24" s="14">
        <v>27921.696</v>
      </c>
      <c r="S24" s="14">
        <v>103.2839</v>
      </c>
      <c r="T24" s="14">
        <v>25.447399999999998</v>
      </c>
      <c r="U24" s="14">
        <v>36.491999999999997</v>
      </c>
      <c r="V24" s="14">
        <v>32.445500000000003</v>
      </c>
      <c r="W24" s="14">
        <v>163.37719999999999</v>
      </c>
      <c r="X24" s="14">
        <v>44871.423600000002</v>
      </c>
      <c r="Y24" s="14">
        <v>30948.482</v>
      </c>
      <c r="Z24" s="14">
        <v>75819.905599999998</v>
      </c>
      <c r="AA24" s="14">
        <v>717.42930000000001</v>
      </c>
      <c r="AB24" s="14">
        <v>76537.334900000002</v>
      </c>
      <c r="AC24" s="45"/>
    </row>
    <row r="25" spans="1:29" x14ac:dyDescent="0.2">
      <c r="A25" s="8">
        <v>16</v>
      </c>
      <c r="B25" s="1" t="s">
        <v>147</v>
      </c>
      <c r="C25" s="1"/>
      <c r="D25" s="14">
        <v>0</v>
      </c>
      <c r="E25" s="14">
        <v>0</v>
      </c>
      <c r="F25" s="14">
        <v>0</v>
      </c>
      <c r="G25" s="14">
        <v>0</v>
      </c>
      <c r="H25" s="14">
        <v>0</v>
      </c>
      <c r="I25" s="14">
        <v>0</v>
      </c>
      <c r="J25" s="14">
        <v>0</v>
      </c>
      <c r="K25" s="14">
        <v>0</v>
      </c>
      <c r="L25" s="14">
        <v>0</v>
      </c>
      <c r="M25" s="14">
        <v>0</v>
      </c>
      <c r="N25" s="14">
        <v>0</v>
      </c>
      <c r="O25" s="14">
        <v>0</v>
      </c>
      <c r="P25" s="14">
        <v>0</v>
      </c>
      <c r="Q25" s="14">
        <v>0</v>
      </c>
      <c r="R25" s="14">
        <v>0</v>
      </c>
      <c r="S25" s="14">
        <v>43293.004500000003</v>
      </c>
      <c r="T25" s="14">
        <v>0</v>
      </c>
      <c r="U25" s="14">
        <v>0</v>
      </c>
      <c r="V25" s="14">
        <v>0</v>
      </c>
      <c r="W25" s="14">
        <v>0</v>
      </c>
      <c r="X25" s="14">
        <v>43293.004500000003</v>
      </c>
      <c r="Y25" s="14">
        <v>0.7379</v>
      </c>
      <c r="Z25" s="14">
        <v>43293.742400000003</v>
      </c>
      <c r="AA25" s="14">
        <v>27.488299999999999</v>
      </c>
      <c r="AB25" s="14">
        <v>43321.2307</v>
      </c>
      <c r="AC25" s="45"/>
    </row>
    <row r="26" spans="1:29" x14ac:dyDescent="0.2">
      <c r="A26" s="8">
        <v>17</v>
      </c>
      <c r="B26" s="1" t="s">
        <v>16</v>
      </c>
      <c r="C26" s="1"/>
      <c r="D26" s="14">
        <v>0</v>
      </c>
      <c r="E26" s="14">
        <v>44.935499999999998</v>
      </c>
      <c r="F26" s="14">
        <v>0</v>
      </c>
      <c r="G26" s="14">
        <v>0</v>
      </c>
      <c r="H26" s="14">
        <v>0</v>
      </c>
      <c r="I26" s="14">
        <v>0</v>
      </c>
      <c r="J26" s="14">
        <v>31.531400000000001</v>
      </c>
      <c r="K26" s="14">
        <v>0</v>
      </c>
      <c r="L26" s="14">
        <v>0</v>
      </c>
      <c r="M26" s="14">
        <v>4.0297999999999998</v>
      </c>
      <c r="N26" s="14">
        <v>0</v>
      </c>
      <c r="O26" s="14">
        <v>0.32979999999999998</v>
      </c>
      <c r="P26" s="14">
        <v>0</v>
      </c>
      <c r="Q26" s="14">
        <v>38.752200000000002</v>
      </c>
      <c r="R26" s="14">
        <v>7.9836999999999998</v>
      </c>
      <c r="S26" s="14">
        <v>291.66480000000001</v>
      </c>
      <c r="T26" s="14">
        <v>19911.537100000001</v>
      </c>
      <c r="U26" s="14">
        <v>66.014899999999997</v>
      </c>
      <c r="V26" s="14">
        <v>40.780299999999997</v>
      </c>
      <c r="W26" s="14">
        <v>81.801000000000002</v>
      </c>
      <c r="X26" s="14">
        <v>20519.360499999999</v>
      </c>
      <c r="Y26" s="14">
        <v>3183.8872999999999</v>
      </c>
      <c r="Z26" s="14">
        <v>23703.247800000001</v>
      </c>
      <c r="AA26" s="14">
        <v>600.63689999999997</v>
      </c>
      <c r="AB26" s="14">
        <v>24303.884699999999</v>
      </c>
      <c r="AC26" s="45"/>
    </row>
    <row r="27" spans="1:29" x14ac:dyDescent="0.2">
      <c r="A27" s="8">
        <v>18</v>
      </c>
      <c r="B27" s="1" t="s">
        <v>17</v>
      </c>
      <c r="C27" s="1"/>
      <c r="D27" s="14">
        <v>0</v>
      </c>
      <c r="E27" s="14">
        <v>0</v>
      </c>
      <c r="F27" s="14">
        <v>0</v>
      </c>
      <c r="G27" s="14">
        <v>0</v>
      </c>
      <c r="H27" s="14">
        <v>0.79020000000000001</v>
      </c>
      <c r="I27" s="14">
        <v>0</v>
      </c>
      <c r="J27" s="14">
        <v>0.1021</v>
      </c>
      <c r="K27" s="14">
        <v>2.0552000000000001</v>
      </c>
      <c r="L27" s="14">
        <v>0</v>
      </c>
      <c r="M27" s="14">
        <v>0</v>
      </c>
      <c r="N27" s="14">
        <v>0</v>
      </c>
      <c r="O27" s="14">
        <v>0</v>
      </c>
      <c r="P27" s="14">
        <v>0</v>
      </c>
      <c r="Q27" s="14">
        <v>8.7965</v>
      </c>
      <c r="R27" s="14">
        <v>0</v>
      </c>
      <c r="S27" s="14">
        <v>85.150499999999994</v>
      </c>
      <c r="T27" s="14">
        <v>7.2655000000000003</v>
      </c>
      <c r="U27" s="14">
        <v>27645.397300000001</v>
      </c>
      <c r="V27" s="14">
        <v>3.7061999999999999</v>
      </c>
      <c r="W27" s="14">
        <v>38.222999999999999</v>
      </c>
      <c r="X27" s="14">
        <v>27791.4866</v>
      </c>
      <c r="Y27" s="14">
        <v>677.67920000000004</v>
      </c>
      <c r="Z27" s="14">
        <v>28469.165799999999</v>
      </c>
      <c r="AA27" s="14">
        <v>1133.7372</v>
      </c>
      <c r="AB27" s="14">
        <v>29602.902999999998</v>
      </c>
      <c r="AC27" s="45"/>
    </row>
    <row r="28" spans="1:29" x14ac:dyDescent="0.2">
      <c r="A28" s="8">
        <v>19</v>
      </c>
      <c r="B28" s="1" t="s">
        <v>148</v>
      </c>
      <c r="C28" s="1"/>
      <c r="D28" s="14">
        <v>0</v>
      </c>
      <c r="E28" s="14">
        <v>0</v>
      </c>
      <c r="F28" s="14">
        <v>0</v>
      </c>
      <c r="G28" s="14">
        <v>0</v>
      </c>
      <c r="H28" s="14">
        <v>25.0015</v>
      </c>
      <c r="I28" s="14">
        <v>0</v>
      </c>
      <c r="J28" s="14">
        <v>0.58520000000000005</v>
      </c>
      <c r="K28" s="14">
        <v>74.0608</v>
      </c>
      <c r="L28" s="14">
        <v>0.48039999999999999</v>
      </c>
      <c r="M28" s="14">
        <v>344.66430000000003</v>
      </c>
      <c r="N28" s="14">
        <v>171.57550000000001</v>
      </c>
      <c r="O28" s="14">
        <v>3.2808999999999999</v>
      </c>
      <c r="P28" s="14">
        <v>0</v>
      </c>
      <c r="Q28" s="14">
        <v>1.6646000000000001</v>
      </c>
      <c r="R28" s="14">
        <v>4.6993999999999998</v>
      </c>
      <c r="S28" s="14">
        <v>0</v>
      </c>
      <c r="T28" s="14">
        <v>8.1145999999999994</v>
      </c>
      <c r="U28" s="14">
        <v>2.4512</v>
      </c>
      <c r="V28" s="14">
        <v>7918.6040000000003</v>
      </c>
      <c r="W28" s="14">
        <v>16.930399999999999</v>
      </c>
      <c r="X28" s="14">
        <v>8572.1128000000008</v>
      </c>
      <c r="Y28" s="14">
        <v>403.45119999999997</v>
      </c>
      <c r="Z28" s="14">
        <v>8975.5640000000003</v>
      </c>
      <c r="AA28" s="14">
        <v>3350.0084000000002</v>
      </c>
      <c r="AB28" s="14">
        <v>12325.572399999999</v>
      </c>
      <c r="AC28" s="45"/>
    </row>
    <row r="29" spans="1:29" x14ac:dyDescent="0.2">
      <c r="A29" s="9">
        <v>20</v>
      </c>
      <c r="B29" s="3" t="s">
        <v>149</v>
      </c>
      <c r="C29" s="3"/>
      <c r="D29" s="15">
        <v>0</v>
      </c>
      <c r="E29" s="15">
        <v>79.493700000000004</v>
      </c>
      <c r="F29" s="15">
        <v>0</v>
      </c>
      <c r="G29" s="15">
        <v>0</v>
      </c>
      <c r="H29" s="15">
        <v>539.40200000000004</v>
      </c>
      <c r="I29" s="15">
        <v>251.35419999999999</v>
      </c>
      <c r="J29" s="15">
        <v>45.608499999999999</v>
      </c>
      <c r="K29" s="15">
        <v>29.816700000000001</v>
      </c>
      <c r="L29" s="15">
        <v>5.1420000000000003</v>
      </c>
      <c r="M29" s="15">
        <v>58.017200000000003</v>
      </c>
      <c r="N29" s="15">
        <v>10.5961</v>
      </c>
      <c r="O29" s="15">
        <v>0.15989999999999999</v>
      </c>
      <c r="P29" s="15">
        <v>0</v>
      </c>
      <c r="Q29" s="15">
        <v>29.8108</v>
      </c>
      <c r="R29" s="15">
        <v>81.653700000000001</v>
      </c>
      <c r="S29" s="15">
        <v>0</v>
      </c>
      <c r="T29" s="15">
        <v>27.267499999999998</v>
      </c>
      <c r="U29" s="15">
        <v>16.936399999999999</v>
      </c>
      <c r="V29" s="15">
        <v>1.4507000000000001</v>
      </c>
      <c r="W29" s="15">
        <v>9511.0254999999997</v>
      </c>
      <c r="X29" s="15">
        <v>10687.7351</v>
      </c>
      <c r="Y29" s="15">
        <v>310.07749999999999</v>
      </c>
      <c r="Z29" s="15">
        <v>10997.812599999999</v>
      </c>
      <c r="AA29" s="15">
        <v>491.03570000000002</v>
      </c>
      <c r="AB29" s="15">
        <v>11488.8483</v>
      </c>
      <c r="AC29" s="45"/>
    </row>
    <row r="30" spans="1:29" x14ac:dyDescent="0.2">
      <c r="A30" s="11" t="s">
        <v>24</v>
      </c>
      <c r="B30" s="5" t="s">
        <v>26</v>
      </c>
      <c r="C30" s="5"/>
      <c r="D30" s="17">
        <v>741.99860000000001</v>
      </c>
      <c r="E30" s="17">
        <v>476617.81</v>
      </c>
      <c r="F30" s="17">
        <v>23877.1011</v>
      </c>
      <c r="G30" s="17">
        <v>71085.050199999998</v>
      </c>
      <c r="H30" s="17">
        <v>316027.3591</v>
      </c>
      <c r="I30" s="17">
        <v>16798.331999999999</v>
      </c>
      <c r="J30" s="17">
        <v>320144.78480000002</v>
      </c>
      <c r="K30" s="17">
        <v>6537.4173000000001</v>
      </c>
      <c r="L30" s="17">
        <v>14810.2091</v>
      </c>
      <c r="M30" s="17">
        <v>182675.8057</v>
      </c>
      <c r="N30" s="17">
        <v>169696.6379</v>
      </c>
      <c r="O30" s="17">
        <v>38956.7094</v>
      </c>
      <c r="P30" s="17">
        <v>24745.4</v>
      </c>
      <c r="Q30" s="17">
        <v>77860.909499999994</v>
      </c>
      <c r="R30" s="17">
        <v>30222.066200000001</v>
      </c>
      <c r="S30" s="17">
        <v>47288.989800000003</v>
      </c>
      <c r="T30" s="17">
        <v>21929.160500000002</v>
      </c>
      <c r="U30" s="17">
        <v>28406.133399999999</v>
      </c>
      <c r="V30" s="17">
        <v>8630.9861000000001</v>
      </c>
      <c r="W30" s="17">
        <v>10159.1993</v>
      </c>
      <c r="X30" s="17">
        <v>1887212.0599</v>
      </c>
      <c r="Y30" s="17">
        <v>1046141.4282</v>
      </c>
      <c r="Z30" s="17">
        <v>2933353.4879999999</v>
      </c>
      <c r="AA30" s="17">
        <v>31804.7</v>
      </c>
      <c r="AB30" s="17">
        <v>2965158.1880000001</v>
      </c>
      <c r="AC30" s="46"/>
    </row>
    <row r="31" spans="1:29" x14ac:dyDescent="0.2">
      <c r="A31" s="11">
        <v>21</v>
      </c>
      <c r="B31" s="5" t="s">
        <v>27</v>
      </c>
      <c r="C31" s="5"/>
      <c r="D31" s="17">
        <v>0</v>
      </c>
      <c r="E31" s="17">
        <v>0</v>
      </c>
      <c r="F31" s="17">
        <v>0</v>
      </c>
      <c r="G31" s="17">
        <v>0</v>
      </c>
      <c r="H31" s="17">
        <v>0</v>
      </c>
      <c r="I31" s="17">
        <v>0</v>
      </c>
      <c r="J31" s="17">
        <v>0</v>
      </c>
      <c r="K31" s="17">
        <v>0</v>
      </c>
      <c r="L31" s="17">
        <v>0</v>
      </c>
      <c r="M31" s="17">
        <v>0</v>
      </c>
      <c r="N31" s="17">
        <v>0</v>
      </c>
      <c r="O31" s="17">
        <v>0</v>
      </c>
      <c r="P31" s="17">
        <v>0</v>
      </c>
      <c r="Q31" s="17">
        <v>0</v>
      </c>
      <c r="R31" s="17">
        <v>0</v>
      </c>
      <c r="S31" s="17">
        <v>0</v>
      </c>
      <c r="T31" s="17">
        <v>0</v>
      </c>
      <c r="U31" s="17">
        <v>0</v>
      </c>
      <c r="V31" s="17">
        <v>0</v>
      </c>
      <c r="W31" s="17">
        <v>0</v>
      </c>
      <c r="X31" s="17">
        <v>0</v>
      </c>
      <c r="Y31" s="17">
        <v>-2473.9623000000001</v>
      </c>
      <c r="Z31" s="17">
        <v>-2473.9623000000001</v>
      </c>
      <c r="AA31" s="17">
        <v>0</v>
      </c>
      <c r="AB31" s="17">
        <v>-2473.9623000000001</v>
      </c>
      <c r="AC31" s="46"/>
    </row>
    <row r="32" spans="1:29" ht="16" thickBot="1" x14ac:dyDescent="0.25">
      <c r="A32" s="12" t="s">
        <v>25</v>
      </c>
      <c r="B32" s="6" t="s">
        <v>28</v>
      </c>
      <c r="C32" s="6"/>
      <c r="D32" s="18">
        <v>741.99860000000001</v>
      </c>
      <c r="E32" s="18">
        <v>476617.81</v>
      </c>
      <c r="F32" s="18">
        <v>23877.1011</v>
      </c>
      <c r="G32" s="18">
        <v>71085.050199999998</v>
      </c>
      <c r="H32" s="18">
        <v>316027.3591</v>
      </c>
      <c r="I32" s="18">
        <v>16798.331999999999</v>
      </c>
      <c r="J32" s="18">
        <v>320144.78480000002</v>
      </c>
      <c r="K32" s="18">
        <v>6537.4173000000001</v>
      </c>
      <c r="L32" s="18">
        <v>14810.2091</v>
      </c>
      <c r="M32" s="18">
        <v>182675.8057</v>
      </c>
      <c r="N32" s="18">
        <v>169696.6379</v>
      </c>
      <c r="O32" s="18">
        <v>38956.7094</v>
      </c>
      <c r="P32" s="18">
        <v>24745.4</v>
      </c>
      <c r="Q32" s="18">
        <v>77860.909499999994</v>
      </c>
      <c r="R32" s="18">
        <v>30222.066200000001</v>
      </c>
      <c r="S32" s="18">
        <v>47288.989800000003</v>
      </c>
      <c r="T32" s="18">
        <v>21929.160500000002</v>
      </c>
      <c r="U32" s="18">
        <v>28406.133399999999</v>
      </c>
      <c r="V32" s="18">
        <v>8630.9861000000001</v>
      </c>
      <c r="W32" s="18">
        <v>10159.1993</v>
      </c>
      <c r="X32" s="18">
        <v>1887212.0599</v>
      </c>
      <c r="Y32" s="18">
        <v>1043667.4659</v>
      </c>
      <c r="Z32" s="18">
        <v>2930879.5257000001</v>
      </c>
      <c r="AA32" s="18">
        <v>31804.7</v>
      </c>
      <c r="AB32" s="18">
        <v>2962684.2256999998</v>
      </c>
      <c r="AC32" s="46"/>
    </row>
    <row r="34" spans="4:28" x14ac:dyDescent="0.2">
      <c r="D34" s="53"/>
      <c r="E34" s="53"/>
      <c r="F34" s="53"/>
      <c r="G34" s="53"/>
      <c r="H34" s="53"/>
      <c r="I34" s="53"/>
      <c r="J34" s="53"/>
      <c r="K34" s="53"/>
      <c r="L34" s="53"/>
      <c r="M34" s="53"/>
      <c r="N34" s="53"/>
      <c r="O34" s="53"/>
      <c r="P34" s="53"/>
      <c r="Q34" s="53"/>
      <c r="R34" s="53"/>
      <c r="S34" s="53"/>
      <c r="T34" s="53"/>
      <c r="U34" s="53"/>
      <c r="V34" s="53"/>
      <c r="W34" s="53"/>
      <c r="X34" s="53"/>
      <c r="Y34" s="45"/>
      <c r="Z34" s="45"/>
      <c r="AA34" s="45"/>
      <c r="AB34" s="45"/>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0A191-B48E-4E49-9EC2-39D78437EA78}">
  <dimension ref="A1:AG38"/>
  <sheetViews>
    <sheetView zoomScale="117" workbookViewId="0">
      <pane xSplit="3" ySplit="9" topLeftCell="D10" activePane="bottomRight" state="frozenSplit"/>
      <selection pane="topRight" activeCell="D1" sqref="D1"/>
      <selection pane="bottomLeft" activeCell="A10" sqref="A10"/>
      <selection pane="bottomRight" activeCell="AF37" sqref="AF37"/>
    </sheetView>
  </sheetViews>
  <sheetFormatPr baseColWidth="10" defaultColWidth="8.83203125" defaultRowHeight="15" x14ac:dyDescent="0.2"/>
  <cols>
    <col min="1" max="1" width="4.6640625" customWidth="1"/>
    <col min="2" max="2" width="40.6640625" customWidth="1"/>
    <col min="4" max="32" width="12.6640625" customWidth="1"/>
    <col min="33" max="33" width="15.83203125" customWidth="1"/>
  </cols>
  <sheetData>
    <row r="1" spans="1:32" x14ac:dyDescent="0.2">
      <c r="A1" s="1" t="s">
        <v>32</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
      <c r="A2" s="50" t="s">
        <v>138</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x14ac:dyDescent="0.2">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row>
    <row r="4" spans="1:32" ht="16" thickBot="1" x14ac:dyDescent="0.25">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row>
    <row r="5" spans="1:32" x14ac:dyDescent="0.2">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row>
    <row r="6" spans="1:32" ht="80.25" customHeight="1" x14ac:dyDescent="0.2">
      <c r="A6" s="1"/>
      <c r="B6" s="1"/>
      <c r="C6" s="21" t="s">
        <v>33</v>
      </c>
      <c r="D6" s="21" t="s">
        <v>140</v>
      </c>
      <c r="E6" s="21" t="s">
        <v>8</v>
      </c>
      <c r="F6" s="21" t="s">
        <v>9</v>
      </c>
      <c r="G6" s="21" t="s">
        <v>10</v>
      </c>
      <c r="H6" s="21" t="s">
        <v>11</v>
      </c>
      <c r="I6" s="21" t="s">
        <v>12</v>
      </c>
      <c r="J6" s="21" t="s">
        <v>141</v>
      </c>
      <c r="K6" s="21" t="s">
        <v>142</v>
      </c>
      <c r="L6" s="21" t="s">
        <v>143</v>
      </c>
      <c r="M6" s="21" t="s">
        <v>144</v>
      </c>
      <c r="N6" s="21" t="s">
        <v>145</v>
      </c>
      <c r="O6" s="21" t="s">
        <v>146</v>
      </c>
      <c r="P6" s="21" t="s">
        <v>13</v>
      </c>
      <c r="Q6" s="21" t="s">
        <v>14</v>
      </c>
      <c r="R6" s="21" t="s">
        <v>15</v>
      </c>
      <c r="S6" s="21" t="s">
        <v>147</v>
      </c>
      <c r="T6" s="21" t="s">
        <v>16</v>
      </c>
      <c r="U6" s="21" t="s">
        <v>17</v>
      </c>
      <c r="V6" s="21" t="s">
        <v>148</v>
      </c>
      <c r="W6" s="21" t="s">
        <v>149</v>
      </c>
      <c r="X6" s="21" t="s">
        <v>34</v>
      </c>
      <c r="Y6" s="21" t="s">
        <v>35</v>
      </c>
      <c r="Z6" s="21" t="s">
        <v>36</v>
      </c>
      <c r="AA6" s="21" t="s">
        <v>37</v>
      </c>
      <c r="AB6" s="21" t="s">
        <v>38</v>
      </c>
      <c r="AC6" s="21" t="s">
        <v>39</v>
      </c>
      <c r="AD6" s="21" t="s">
        <v>40</v>
      </c>
      <c r="AE6" s="21" t="s">
        <v>41</v>
      </c>
      <c r="AF6" s="21" t="s">
        <v>42</v>
      </c>
    </row>
    <row r="7" spans="1:32" x14ac:dyDescent="0.2">
      <c r="A7" s="1"/>
      <c r="B7" s="1"/>
      <c r="C7" s="3"/>
      <c r="D7" s="3"/>
      <c r="E7" s="3"/>
      <c r="F7" s="3"/>
      <c r="G7" s="3"/>
      <c r="H7" s="3"/>
      <c r="I7" s="3"/>
      <c r="J7" s="3"/>
      <c r="K7" s="3"/>
      <c r="L7" s="3"/>
      <c r="M7" s="3"/>
      <c r="N7" s="3"/>
      <c r="O7" s="3"/>
      <c r="P7" s="3"/>
      <c r="Q7" s="3"/>
      <c r="R7" s="3"/>
      <c r="S7" s="3"/>
      <c r="T7" s="3"/>
      <c r="U7" s="3"/>
      <c r="V7" s="3"/>
      <c r="W7" s="3"/>
      <c r="X7" s="3"/>
      <c r="Y7" s="3"/>
      <c r="Z7" s="3"/>
      <c r="AA7" s="3"/>
      <c r="AB7" s="3"/>
      <c r="AC7" s="3"/>
      <c r="AD7" s="3"/>
      <c r="AE7" s="3"/>
      <c r="AF7" s="3"/>
    </row>
    <row r="8" spans="1:32" x14ac:dyDescent="0.2">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row>
    <row r="9" spans="1:32" ht="16" thickBot="1" x14ac:dyDescent="0.25">
      <c r="A9" s="7"/>
      <c r="B9" s="2" t="s">
        <v>43</v>
      </c>
      <c r="C9" s="2"/>
      <c r="D9" s="7">
        <v>1</v>
      </c>
      <c r="E9" s="7">
        <v>2</v>
      </c>
      <c r="F9" s="7">
        <v>3</v>
      </c>
      <c r="G9" s="7">
        <v>4</v>
      </c>
      <c r="H9" s="7">
        <v>5</v>
      </c>
      <c r="I9" s="7">
        <v>6</v>
      </c>
      <c r="J9" s="7">
        <v>7</v>
      </c>
      <c r="K9" s="7">
        <v>8</v>
      </c>
      <c r="L9" s="7">
        <v>9</v>
      </c>
      <c r="M9" s="7">
        <v>10</v>
      </c>
      <c r="N9" s="7">
        <v>11</v>
      </c>
      <c r="O9" s="7">
        <v>12</v>
      </c>
      <c r="P9" s="7">
        <v>13</v>
      </c>
      <c r="Q9" s="7">
        <v>14</v>
      </c>
      <c r="R9" s="7">
        <v>15</v>
      </c>
      <c r="S9" s="7">
        <v>16</v>
      </c>
      <c r="T9" s="7">
        <v>17</v>
      </c>
      <c r="U9" s="7">
        <v>18</v>
      </c>
      <c r="V9" s="7">
        <v>19</v>
      </c>
      <c r="W9" s="7">
        <v>20</v>
      </c>
      <c r="X9" s="7" t="s">
        <v>5</v>
      </c>
      <c r="Y9" s="7"/>
      <c r="Z9" s="7">
        <v>21</v>
      </c>
      <c r="AA9" s="7">
        <v>22</v>
      </c>
      <c r="AB9" s="7">
        <v>23</v>
      </c>
      <c r="AC9" s="7">
        <v>24</v>
      </c>
      <c r="AD9" s="7">
        <v>25</v>
      </c>
      <c r="AE9" s="7" t="s">
        <v>6</v>
      </c>
      <c r="AF9" s="7" t="s">
        <v>7</v>
      </c>
    </row>
    <row r="10" spans="1:32" x14ac:dyDescent="0.2">
      <c r="A10" s="8">
        <v>1</v>
      </c>
      <c r="B10" s="1" t="s">
        <v>140</v>
      </c>
      <c r="C10" s="1"/>
      <c r="D10" s="14">
        <v>366.44439999999997</v>
      </c>
      <c r="E10" s="14">
        <v>761.03160000000003</v>
      </c>
      <c r="F10" s="14">
        <v>36.177500000000002</v>
      </c>
      <c r="G10" s="14">
        <v>63.8748</v>
      </c>
      <c r="H10" s="14">
        <v>0.36470000000000002</v>
      </c>
      <c r="I10" s="14">
        <v>0.42970000000000003</v>
      </c>
      <c r="J10" s="14">
        <v>29.838200000000001</v>
      </c>
      <c r="K10" s="14">
        <v>148.63929999999999</v>
      </c>
      <c r="L10" s="14">
        <v>1090.2230999999999</v>
      </c>
      <c r="M10" s="14">
        <v>4.7220000000000004</v>
      </c>
      <c r="N10" s="14">
        <v>9.8309999999999995</v>
      </c>
      <c r="O10" s="14">
        <v>0</v>
      </c>
      <c r="P10" s="14">
        <v>0</v>
      </c>
      <c r="Q10" s="14">
        <v>3.4872000000000001</v>
      </c>
      <c r="R10" s="14">
        <v>68.692499999999995</v>
      </c>
      <c r="S10" s="14">
        <v>7.4926000000000004</v>
      </c>
      <c r="T10" s="14">
        <v>2.4647000000000001</v>
      </c>
      <c r="U10" s="14">
        <v>13.3439</v>
      </c>
      <c r="V10" s="14">
        <v>11.6267</v>
      </c>
      <c r="W10" s="14">
        <v>24.5579</v>
      </c>
      <c r="X10" s="14">
        <v>2643.2419</v>
      </c>
      <c r="Y10" s="14"/>
      <c r="Z10" s="14">
        <v>3778.0052999999998</v>
      </c>
      <c r="AA10" s="14">
        <v>0</v>
      </c>
      <c r="AB10" s="14">
        <v>106.0647</v>
      </c>
      <c r="AC10" s="14">
        <v>611.27179999999998</v>
      </c>
      <c r="AD10" s="14">
        <v>6641.6791000000003</v>
      </c>
      <c r="AE10" s="14">
        <v>11137.021000000001</v>
      </c>
      <c r="AF10" s="14">
        <v>13780.2628</v>
      </c>
    </row>
    <row r="11" spans="1:32" x14ac:dyDescent="0.2">
      <c r="A11" s="8">
        <v>2</v>
      </c>
      <c r="B11" s="1" t="s">
        <v>8</v>
      </c>
      <c r="C11" s="1"/>
      <c r="D11" s="14">
        <v>146.571</v>
      </c>
      <c r="E11" s="14">
        <v>292034.09370000003</v>
      </c>
      <c r="F11" s="14">
        <v>1058.335</v>
      </c>
      <c r="G11" s="14">
        <v>20250.710500000001</v>
      </c>
      <c r="H11" s="14">
        <v>10330.6973</v>
      </c>
      <c r="I11" s="14">
        <v>1407.6968999999999</v>
      </c>
      <c r="J11" s="14">
        <v>47980.574399999998</v>
      </c>
      <c r="K11" s="14">
        <v>811.1431</v>
      </c>
      <c r="L11" s="14">
        <v>4917.8814000000002</v>
      </c>
      <c r="M11" s="14">
        <v>17569.395100000002</v>
      </c>
      <c r="N11" s="14">
        <v>1136.4271000000001</v>
      </c>
      <c r="O11" s="14">
        <v>1887.4199000000001</v>
      </c>
      <c r="P11" s="14">
        <v>0</v>
      </c>
      <c r="Q11" s="14">
        <v>16336.5643</v>
      </c>
      <c r="R11" s="14">
        <v>2855.1921000000002</v>
      </c>
      <c r="S11" s="14">
        <v>10796.2358</v>
      </c>
      <c r="T11" s="14">
        <v>1897.8517999999999</v>
      </c>
      <c r="U11" s="14">
        <v>5062.0600000000004</v>
      </c>
      <c r="V11" s="14">
        <v>581.60159999999996</v>
      </c>
      <c r="W11" s="14">
        <v>1793.3197</v>
      </c>
      <c r="X11" s="14">
        <v>438853.77069999999</v>
      </c>
      <c r="Y11" s="14"/>
      <c r="Z11" s="14">
        <v>56087.818599999999</v>
      </c>
      <c r="AA11" s="14">
        <v>355.30799999999999</v>
      </c>
      <c r="AB11" s="14">
        <v>42298.603900000002</v>
      </c>
      <c r="AC11" s="14">
        <v>9318.2011000000002</v>
      </c>
      <c r="AD11" s="14">
        <v>882065.29969999997</v>
      </c>
      <c r="AE11" s="14">
        <v>990125.23129999998</v>
      </c>
      <c r="AF11" s="14">
        <v>1428979.0020000001</v>
      </c>
    </row>
    <row r="12" spans="1:32" x14ac:dyDescent="0.2">
      <c r="A12" s="8">
        <v>3</v>
      </c>
      <c r="B12" s="1" t="s">
        <v>9</v>
      </c>
      <c r="C12" s="1"/>
      <c r="D12" s="14">
        <v>29.335799999999999</v>
      </c>
      <c r="E12" s="14">
        <v>5966.9790000000003</v>
      </c>
      <c r="F12" s="14">
        <v>12674.795599999999</v>
      </c>
      <c r="G12" s="14">
        <v>232.3843</v>
      </c>
      <c r="H12" s="14">
        <v>540.07870000000003</v>
      </c>
      <c r="I12" s="14">
        <v>446.4991</v>
      </c>
      <c r="J12" s="14">
        <v>1355.5121999999999</v>
      </c>
      <c r="K12" s="14">
        <v>337.57830000000001</v>
      </c>
      <c r="L12" s="14">
        <v>702.70889999999997</v>
      </c>
      <c r="M12" s="14">
        <v>2544.6462000000001</v>
      </c>
      <c r="N12" s="14">
        <v>436.41399999999999</v>
      </c>
      <c r="O12" s="14">
        <v>1235.4159</v>
      </c>
      <c r="P12" s="14">
        <v>0</v>
      </c>
      <c r="Q12" s="14">
        <v>353.78129999999999</v>
      </c>
      <c r="R12" s="14">
        <v>88.557000000000002</v>
      </c>
      <c r="S12" s="14">
        <v>1867.3697999999999</v>
      </c>
      <c r="T12" s="14">
        <v>460.67090000000002</v>
      </c>
      <c r="U12" s="14">
        <v>454.64530000000002</v>
      </c>
      <c r="V12" s="14">
        <v>386.34809999999999</v>
      </c>
      <c r="W12" s="14">
        <v>146.22239999999999</v>
      </c>
      <c r="X12" s="14">
        <v>30259.9427</v>
      </c>
      <c r="Y12" s="14"/>
      <c r="Z12" s="14">
        <v>3636.7501999999999</v>
      </c>
      <c r="AA12" s="14">
        <v>754.04499999999996</v>
      </c>
      <c r="AB12" s="14">
        <v>0</v>
      </c>
      <c r="AC12" s="14">
        <v>311.72699999999998</v>
      </c>
      <c r="AD12" s="14">
        <v>4106.03</v>
      </c>
      <c r="AE12" s="14">
        <v>8808.5522000000001</v>
      </c>
      <c r="AF12" s="14">
        <v>39068.495000000003</v>
      </c>
    </row>
    <row r="13" spans="1:32" x14ac:dyDescent="0.2">
      <c r="A13" s="8">
        <v>4</v>
      </c>
      <c r="B13" s="1" t="s">
        <v>10</v>
      </c>
      <c r="C13" s="1"/>
      <c r="D13" s="14">
        <v>0.28410000000000002</v>
      </c>
      <c r="E13" s="14">
        <v>443.6456</v>
      </c>
      <c r="F13" s="14">
        <v>107.7312</v>
      </c>
      <c r="G13" s="14">
        <v>25367.2389</v>
      </c>
      <c r="H13" s="14">
        <v>94.7834</v>
      </c>
      <c r="I13" s="14">
        <v>17.3081</v>
      </c>
      <c r="J13" s="14">
        <v>216.6011</v>
      </c>
      <c r="K13" s="14">
        <v>95.192899999999995</v>
      </c>
      <c r="L13" s="14">
        <v>36.263199999999998</v>
      </c>
      <c r="M13" s="14">
        <v>101.599</v>
      </c>
      <c r="N13" s="14">
        <v>101.23260000000001</v>
      </c>
      <c r="O13" s="14">
        <v>2195.7921000000001</v>
      </c>
      <c r="P13" s="14">
        <v>2608.8888000000002</v>
      </c>
      <c r="Q13" s="14">
        <v>603.98760000000004</v>
      </c>
      <c r="R13" s="14">
        <v>7.4771000000000001</v>
      </c>
      <c r="S13" s="14">
        <v>205.74270000000001</v>
      </c>
      <c r="T13" s="14">
        <v>141.59639999999999</v>
      </c>
      <c r="U13" s="14">
        <v>66.311400000000006</v>
      </c>
      <c r="V13" s="14">
        <v>85.188100000000006</v>
      </c>
      <c r="W13" s="14">
        <v>10.3279</v>
      </c>
      <c r="X13" s="14">
        <v>32507.192299999999</v>
      </c>
      <c r="Y13" s="14"/>
      <c r="Z13" s="14">
        <v>0</v>
      </c>
      <c r="AA13" s="14">
        <v>0</v>
      </c>
      <c r="AB13" s="14">
        <v>39552.167200000004</v>
      </c>
      <c r="AC13" s="14">
        <v>0</v>
      </c>
      <c r="AD13" s="14">
        <v>1289.2552000000001</v>
      </c>
      <c r="AE13" s="14">
        <v>40841.422400000003</v>
      </c>
      <c r="AF13" s="14">
        <v>73348.614700000006</v>
      </c>
    </row>
    <row r="14" spans="1:32" x14ac:dyDescent="0.2">
      <c r="A14" s="8">
        <v>5</v>
      </c>
      <c r="B14" s="1" t="s">
        <v>11</v>
      </c>
      <c r="C14" s="1"/>
      <c r="D14" s="14">
        <v>0</v>
      </c>
      <c r="E14" s="14">
        <v>2137.4117999999999</v>
      </c>
      <c r="F14" s="14">
        <v>30.233699999999999</v>
      </c>
      <c r="G14" s="14">
        <v>6.0656999999999996</v>
      </c>
      <c r="H14" s="14">
        <v>5265.6215000000002</v>
      </c>
      <c r="I14" s="14">
        <v>237.81780000000001</v>
      </c>
      <c r="J14" s="14">
        <v>53.996699999999997</v>
      </c>
      <c r="K14" s="14">
        <v>66.583600000000004</v>
      </c>
      <c r="L14" s="14">
        <v>39.467599999999997</v>
      </c>
      <c r="M14" s="14">
        <v>1656.7483</v>
      </c>
      <c r="N14" s="14">
        <v>219.1848</v>
      </c>
      <c r="O14" s="14">
        <v>3.9641000000000002</v>
      </c>
      <c r="P14" s="14">
        <v>0</v>
      </c>
      <c r="Q14" s="14">
        <v>105.01990000000001</v>
      </c>
      <c r="R14" s="14">
        <v>118.8412</v>
      </c>
      <c r="S14" s="14">
        <v>24.301300000000001</v>
      </c>
      <c r="T14" s="14">
        <v>7.7259000000000002</v>
      </c>
      <c r="U14" s="14">
        <v>16.034600000000001</v>
      </c>
      <c r="V14" s="14">
        <v>1.1161000000000001</v>
      </c>
      <c r="W14" s="14">
        <v>2.6648999999999998</v>
      </c>
      <c r="X14" s="14">
        <v>9992.7996999999996</v>
      </c>
      <c r="Y14" s="14"/>
      <c r="Z14" s="14">
        <v>0</v>
      </c>
      <c r="AA14" s="14">
        <v>0</v>
      </c>
      <c r="AB14" s="14">
        <v>0</v>
      </c>
      <c r="AC14" s="14">
        <v>0</v>
      </c>
      <c r="AD14" s="14">
        <v>6217.5371999999998</v>
      </c>
      <c r="AE14" s="14">
        <v>6217.5371999999998</v>
      </c>
      <c r="AF14" s="14">
        <v>16210.3369</v>
      </c>
    </row>
    <row r="15" spans="1:32" x14ac:dyDescent="0.2">
      <c r="A15" s="8">
        <v>6</v>
      </c>
      <c r="B15" s="1" t="s">
        <v>12</v>
      </c>
      <c r="C15" s="1"/>
      <c r="D15" s="14">
        <v>0</v>
      </c>
      <c r="E15" s="14">
        <v>0.70279999999999998</v>
      </c>
      <c r="F15" s="14">
        <v>0</v>
      </c>
      <c r="G15" s="14">
        <v>0</v>
      </c>
      <c r="H15" s="14">
        <v>421.4821</v>
      </c>
      <c r="I15" s="14">
        <v>216.7192</v>
      </c>
      <c r="J15" s="14">
        <v>2.4662999999999999</v>
      </c>
      <c r="K15" s="14">
        <v>0</v>
      </c>
      <c r="L15" s="14">
        <v>107.05710000000001</v>
      </c>
      <c r="M15" s="14">
        <v>2.0251000000000001</v>
      </c>
      <c r="N15" s="14">
        <v>13.577</v>
      </c>
      <c r="O15" s="14">
        <v>0</v>
      </c>
      <c r="P15" s="14">
        <v>0</v>
      </c>
      <c r="Q15" s="14">
        <v>9.9699999999999997E-2</v>
      </c>
      <c r="R15" s="14">
        <v>0</v>
      </c>
      <c r="S15" s="14">
        <v>2.8574000000000002</v>
      </c>
      <c r="T15" s="14">
        <v>0</v>
      </c>
      <c r="U15" s="14">
        <v>0</v>
      </c>
      <c r="V15" s="14">
        <v>1.3209</v>
      </c>
      <c r="W15" s="14">
        <v>0</v>
      </c>
      <c r="X15" s="14">
        <v>768.3075</v>
      </c>
      <c r="Y15" s="14"/>
      <c r="Z15" s="14">
        <v>0</v>
      </c>
      <c r="AA15" s="14">
        <v>0</v>
      </c>
      <c r="AB15" s="14">
        <v>0</v>
      </c>
      <c r="AC15" s="14">
        <v>0</v>
      </c>
      <c r="AD15" s="14">
        <v>195.7251</v>
      </c>
      <c r="AE15" s="14">
        <v>195.7251</v>
      </c>
      <c r="AF15" s="14">
        <v>964.03269999999998</v>
      </c>
    </row>
    <row r="16" spans="1:32" x14ac:dyDescent="0.2">
      <c r="A16" s="8">
        <v>7</v>
      </c>
      <c r="B16" s="1" t="s">
        <v>141</v>
      </c>
      <c r="C16" s="1"/>
      <c r="D16" s="14">
        <v>2.6265999999999998</v>
      </c>
      <c r="E16" s="14">
        <v>4261.8069999999998</v>
      </c>
      <c r="F16" s="14">
        <v>122.44540000000001</v>
      </c>
      <c r="G16" s="14">
        <v>270.54989999999998</v>
      </c>
      <c r="H16" s="14">
        <v>97247.832399999999</v>
      </c>
      <c r="I16" s="14">
        <v>801.65129999999999</v>
      </c>
      <c r="J16" s="14">
        <v>167716.53719999999</v>
      </c>
      <c r="K16" s="14">
        <v>13.6027</v>
      </c>
      <c r="L16" s="14">
        <v>111.6003</v>
      </c>
      <c r="M16" s="14">
        <v>2715.8960000000002</v>
      </c>
      <c r="N16" s="14">
        <v>1222.3506</v>
      </c>
      <c r="O16" s="14">
        <v>235.68729999999999</v>
      </c>
      <c r="P16" s="14">
        <v>0</v>
      </c>
      <c r="Q16" s="14">
        <v>525.81629999999996</v>
      </c>
      <c r="R16" s="14">
        <v>311.1438</v>
      </c>
      <c r="S16" s="14">
        <v>2646.1785</v>
      </c>
      <c r="T16" s="14">
        <v>116.345</v>
      </c>
      <c r="U16" s="14">
        <v>189.7413</v>
      </c>
      <c r="V16" s="14">
        <v>50.076099999999997</v>
      </c>
      <c r="W16" s="14">
        <v>50.283700000000003</v>
      </c>
      <c r="X16" s="14">
        <v>278612.1716</v>
      </c>
      <c r="Y16" s="14"/>
      <c r="Z16" s="14">
        <v>10291.631299999999</v>
      </c>
      <c r="AA16" s="14">
        <v>29.896000000000001</v>
      </c>
      <c r="AB16" s="14">
        <v>0</v>
      </c>
      <c r="AC16" s="14">
        <v>0</v>
      </c>
      <c r="AD16" s="14">
        <v>192068.17689999999</v>
      </c>
      <c r="AE16" s="14">
        <v>202389.70420000001</v>
      </c>
      <c r="AF16" s="14">
        <v>481001.87579999998</v>
      </c>
    </row>
    <row r="17" spans="1:33" x14ac:dyDescent="0.2">
      <c r="A17" s="8">
        <v>8</v>
      </c>
      <c r="B17" s="1" t="s">
        <v>142</v>
      </c>
      <c r="C17" s="1"/>
      <c r="D17" s="14">
        <v>0</v>
      </c>
      <c r="E17" s="14">
        <v>251.62739999999999</v>
      </c>
      <c r="F17" s="14">
        <v>23.560500000000001</v>
      </c>
      <c r="G17" s="14">
        <v>159.17679999999999</v>
      </c>
      <c r="H17" s="14">
        <v>284.0942</v>
      </c>
      <c r="I17" s="14">
        <v>73.447000000000003</v>
      </c>
      <c r="J17" s="14">
        <v>876.18330000000003</v>
      </c>
      <c r="K17" s="14">
        <v>10.1608</v>
      </c>
      <c r="L17" s="14">
        <v>44.7774</v>
      </c>
      <c r="M17" s="14">
        <v>646.43409999999994</v>
      </c>
      <c r="N17" s="14">
        <v>423.46699999999998</v>
      </c>
      <c r="O17" s="14">
        <v>41.2804</v>
      </c>
      <c r="P17" s="14">
        <v>0</v>
      </c>
      <c r="Q17" s="14">
        <v>304.15010000000001</v>
      </c>
      <c r="R17" s="14">
        <v>109.1803</v>
      </c>
      <c r="S17" s="14">
        <v>164.6669</v>
      </c>
      <c r="T17" s="14">
        <v>64.234499999999997</v>
      </c>
      <c r="U17" s="14">
        <v>79.374899999999997</v>
      </c>
      <c r="V17" s="14">
        <v>30.341999999999999</v>
      </c>
      <c r="W17" s="14">
        <v>34.685200000000002</v>
      </c>
      <c r="X17" s="14">
        <v>3620.8429999999998</v>
      </c>
      <c r="Y17" s="14"/>
      <c r="Z17" s="14">
        <v>4752.5083999999997</v>
      </c>
      <c r="AA17" s="14">
        <v>0</v>
      </c>
      <c r="AB17" s="14">
        <v>0</v>
      </c>
      <c r="AC17" s="14">
        <v>0</v>
      </c>
      <c r="AD17" s="14">
        <v>3367.3139999999999</v>
      </c>
      <c r="AE17" s="14">
        <v>8119.8224</v>
      </c>
      <c r="AF17" s="14">
        <v>11740.665300000001</v>
      </c>
    </row>
    <row r="18" spans="1:33" x14ac:dyDescent="0.2">
      <c r="A18" s="8">
        <v>9</v>
      </c>
      <c r="B18" s="1" t="s">
        <v>143</v>
      </c>
      <c r="C18" s="1"/>
      <c r="D18" s="14">
        <v>0.30099999999999999</v>
      </c>
      <c r="E18" s="14">
        <v>223.12350000000001</v>
      </c>
      <c r="F18" s="14">
        <v>38.343600000000002</v>
      </c>
      <c r="G18" s="14">
        <v>133.3579</v>
      </c>
      <c r="H18" s="14">
        <v>1101.3255999999999</v>
      </c>
      <c r="I18" s="14">
        <v>114.0569</v>
      </c>
      <c r="J18" s="14">
        <v>1391.1224</v>
      </c>
      <c r="K18" s="14">
        <v>17.7014</v>
      </c>
      <c r="L18" s="14">
        <v>139.47040000000001</v>
      </c>
      <c r="M18" s="14">
        <v>607.93910000000005</v>
      </c>
      <c r="N18" s="14">
        <v>1022.312</v>
      </c>
      <c r="O18" s="14">
        <v>109.2788</v>
      </c>
      <c r="P18" s="14">
        <v>0</v>
      </c>
      <c r="Q18" s="14">
        <v>355.12290000000002</v>
      </c>
      <c r="R18" s="14">
        <v>173.82339999999999</v>
      </c>
      <c r="S18" s="14">
        <v>166.9359</v>
      </c>
      <c r="T18" s="14">
        <v>79.336100000000002</v>
      </c>
      <c r="U18" s="14">
        <v>107.2739</v>
      </c>
      <c r="V18" s="14">
        <v>90.964699999999993</v>
      </c>
      <c r="W18" s="14">
        <v>37.591500000000003</v>
      </c>
      <c r="X18" s="14">
        <v>5909.3810000000003</v>
      </c>
      <c r="Y18" s="14"/>
      <c r="Z18" s="14">
        <v>14081.8542</v>
      </c>
      <c r="AA18" s="14">
        <v>246.19900000000001</v>
      </c>
      <c r="AB18" s="14">
        <v>0</v>
      </c>
      <c r="AC18" s="14">
        <v>0</v>
      </c>
      <c r="AD18" s="14">
        <v>2194.4652999999998</v>
      </c>
      <c r="AE18" s="14">
        <v>16522.518499999998</v>
      </c>
      <c r="AF18" s="14">
        <v>22431.8995</v>
      </c>
    </row>
    <row r="19" spans="1:33" x14ac:dyDescent="0.2">
      <c r="A19" s="9">
        <v>10</v>
      </c>
      <c r="B19" s="3" t="s">
        <v>144</v>
      </c>
      <c r="C19" s="3"/>
      <c r="D19" s="15">
        <v>0.83379999999999999</v>
      </c>
      <c r="E19" s="15">
        <v>1691.4006999999999</v>
      </c>
      <c r="F19" s="15">
        <v>173.23320000000001</v>
      </c>
      <c r="G19" s="15">
        <v>137.9297</v>
      </c>
      <c r="H19" s="15">
        <v>8223.0192999999999</v>
      </c>
      <c r="I19" s="15">
        <v>276.76369999999997</v>
      </c>
      <c r="J19" s="15">
        <v>1584.5042000000001</v>
      </c>
      <c r="K19" s="15">
        <v>59.704300000000003</v>
      </c>
      <c r="L19" s="15">
        <v>73.833299999999994</v>
      </c>
      <c r="M19" s="15">
        <v>89792.016600000003</v>
      </c>
      <c r="N19" s="15">
        <v>10064.4563</v>
      </c>
      <c r="O19" s="15">
        <v>351.03120000000001</v>
      </c>
      <c r="P19" s="15">
        <v>0</v>
      </c>
      <c r="Q19" s="15">
        <v>6239.2269999999999</v>
      </c>
      <c r="R19" s="15">
        <v>342.2568</v>
      </c>
      <c r="S19" s="15">
        <v>3233.143</v>
      </c>
      <c r="T19" s="15">
        <v>534.61599999999999</v>
      </c>
      <c r="U19" s="15">
        <v>795.71169999999995</v>
      </c>
      <c r="V19" s="15">
        <v>254.9041</v>
      </c>
      <c r="W19" s="15">
        <v>161.64330000000001</v>
      </c>
      <c r="X19" s="15">
        <v>123990.2283</v>
      </c>
      <c r="Y19" s="15"/>
      <c r="Z19" s="15">
        <v>6402.7682000000004</v>
      </c>
      <c r="AA19" s="15">
        <v>4.9340000000000002</v>
      </c>
      <c r="AB19" s="15">
        <v>8839.2888000000003</v>
      </c>
      <c r="AC19" s="15">
        <v>0</v>
      </c>
      <c r="AD19" s="15">
        <v>102448.5772</v>
      </c>
      <c r="AE19" s="15">
        <v>117695.5681</v>
      </c>
      <c r="AF19" s="15">
        <v>241685.7965</v>
      </c>
    </row>
    <row r="20" spans="1:33" x14ac:dyDescent="0.2">
      <c r="A20" s="10">
        <v>11</v>
      </c>
      <c r="B20" s="4" t="s">
        <v>145</v>
      </c>
      <c r="C20" s="4"/>
      <c r="D20" s="16">
        <v>4.0589000000000004</v>
      </c>
      <c r="E20" s="16">
        <v>2780.3231999999998</v>
      </c>
      <c r="F20" s="16">
        <v>377.1499</v>
      </c>
      <c r="G20" s="16">
        <v>585.72519999999997</v>
      </c>
      <c r="H20" s="16">
        <v>9887.6687000000002</v>
      </c>
      <c r="I20" s="16">
        <v>577.14750000000004</v>
      </c>
      <c r="J20" s="16">
        <v>1866.0047</v>
      </c>
      <c r="K20" s="16">
        <v>158.43799999999999</v>
      </c>
      <c r="L20" s="16">
        <v>166.30250000000001</v>
      </c>
      <c r="M20" s="16">
        <v>2161.2381999999998</v>
      </c>
      <c r="N20" s="16">
        <v>54525.186999999998</v>
      </c>
      <c r="O20" s="16">
        <v>4999.0465999999997</v>
      </c>
      <c r="P20" s="16">
        <v>638.41650000000004</v>
      </c>
      <c r="Q20" s="16">
        <v>1182.0907999999999</v>
      </c>
      <c r="R20" s="16">
        <v>579.30679999999995</v>
      </c>
      <c r="S20" s="16">
        <v>6405.6436999999996</v>
      </c>
      <c r="T20" s="16">
        <v>176.33099999999999</v>
      </c>
      <c r="U20" s="16">
        <v>333.65559999999999</v>
      </c>
      <c r="V20" s="16">
        <v>146.5248</v>
      </c>
      <c r="W20" s="16">
        <v>105.1238</v>
      </c>
      <c r="X20" s="16">
        <v>87655.383499999996</v>
      </c>
      <c r="Y20" s="16"/>
      <c r="Z20" s="16">
        <v>28551.239099999999</v>
      </c>
      <c r="AA20" s="16">
        <v>484.90899999999999</v>
      </c>
      <c r="AB20" s="16">
        <v>0</v>
      </c>
      <c r="AC20" s="16">
        <v>0</v>
      </c>
      <c r="AD20" s="16">
        <v>74474.640599999999</v>
      </c>
      <c r="AE20" s="16">
        <v>103510.7887</v>
      </c>
      <c r="AF20" s="16">
        <v>191166.1722</v>
      </c>
    </row>
    <row r="21" spans="1:33" x14ac:dyDescent="0.2">
      <c r="A21" s="8">
        <v>12</v>
      </c>
      <c r="B21" s="1" t="s">
        <v>146</v>
      </c>
      <c r="C21" s="1"/>
      <c r="D21" s="14">
        <v>0.19139999999999999</v>
      </c>
      <c r="E21" s="14">
        <v>1524.2882</v>
      </c>
      <c r="F21" s="14">
        <v>236.7389</v>
      </c>
      <c r="G21" s="14">
        <v>431.75510000000003</v>
      </c>
      <c r="H21" s="14">
        <v>4989.3702000000003</v>
      </c>
      <c r="I21" s="14">
        <v>3199.884</v>
      </c>
      <c r="J21" s="14">
        <v>1131.1451999999999</v>
      </c>
      <c r="K21" s="14">
        <v>420.73360000000002</v>
      </c>
      <c r="L21" s="14">
        <v>1869.3159000000001</v>
      </c>
      <c r="M21" s="14">
        <v>3474.7800999999999</v>
      </c>
      <c r="N21" s="14">
        <v>3605.7761999999998</v>
      </c>
      <c r="O21" s="14">
        <v>2154.7035999999998</v>
      </c>
      <c r="P21" s="14">
        <v>0</v>
      </c>
      <c r="Q21" s="14">
        <v>2155.0835999999999</v>
      </c>
      <c r="R21" s="14">
        <v>672.85569999999996</v>
      </c>
      <c r="S21" s="14">
        <v>894.39549999999997</v>
      </c>
      <c r="T21" s="14">
        <v>602.54459999999995</v>
      </c>
      <c r="U21" s="14">
        <v>1187.5405000000001</v>
      </c>
      <c r="V21" s="14">
        <v>388.7627</v>
      </c>
      <c r="W21" s="14">
        <v>753.66129999999998</v>
      </c>
      <c r="X21" s="14">
        <v>29693.526300000001</v>
      </c>
      <c r="Y21" s="14"/>
      <c r="Z21" s="14">
        <v>3050.1152000000002</v>
      </c>
      <c r="AA21" s="14">
        <v>101.745</v>
      </c>
      <c r="AB21" s="14">
        <v>17969.5108</v>
      </c>
      <c r="AC21" s="14">
        <v>0</v>
      </c>
      <c r="AD21" s="14">
        <v>246.5445</v>
      </c>
      <c r="AE21" s="14">
        <v>21367.915499999999</v>
      </c>
      <c r="AF21" s="14">
        <v>51061.441800000001</v>
      </c>
    </row>
    <row r="22" spans="1:33" x14ac:dyDescent="0.2">
      <c r="A22" s="8">
        <v>13</v>
      </c>
      <c r="B22" s="1" t="s">
        <v>13</v>
      </c>
      <c r="C22" s="1"/>
      <c r="D22" s="14">
        <v>0</v>
      </c>
      <c r="E22" s="14">
        <v>0</v>
      </c>
      <c r="F22" s="14">
        <v>0</v>
      </c>
      <c r="G22" s="14">
        <v>0</v>
      </c>
      <c r="H22" s="14">
        <v>0</v>
      </c>
      <c r="I22" s="14">
        <v>0</v>
      </c>
      <c r="J22" s="14">
        <v>0</v>
      </c>
      <c r="K22" s="14">
        <v>0</v>
      </c>
      <c r="L22" s="14">
        <v>0</v>
      </c>
      <c r="M22" s="14">
        <v>0</v>
      </c>
      <c r="N22" s="14">
        <v>0</v>
      </c>
      <c r="O22" s="14">
        <v>0</v>
      </c>
      <c r="P22" s="14">
        <v>0</v>
      </c>
      <c r="Q22" s="14">
        <v>0</v>
      </c>
      <c r="R22" s="14">
        <v>0</v>
      </c>
      <c r="S22" s="14">
        <v>0</v>
      </c>
      <c r="T22" s="14">
        <v>0</v>
      </c>
      <c r="U22" s="14">
        <v>0</v>
      </c>
      <c r="V22" s="14">
        <v>0</v>
      </c>
      <c r="W22" s="14">
        <v>0</v>
      </c>
      <c r="X22" s="14">
        <v>0</v>
      </c>
      <c r="Y22" s="14"/>
      <c r="Z22" s="14">
        <v>24895.158299999999</v>
      </c>
      <c r="AA22" s="14">
        <v>0</v>
      </c>
      <c r="AB22" s="14">
        <v>0</v>
      </c>
      <c r="AC22" s="14">
        <v>0</v>
      </c>
      <c r="AD22" s="14">
        <v>503.63319999999999</v>
      </c>
      <c r="AE22" s="14">
        <v>25398.791499999999</v>
      </c>
      <c r="AF22" s="14">
        <v>25398.791499999999</v>
      </c>
    </row>
    <row r="23" spans="1:33" x14ac:dyDescent="0.2">
      <c r="A23" s="8">
        <v>14</v>
      </c>
      <c r="B23" s="1" t="s">
        <v>14</v>
      </c>
      <c r="C23" s="1"/>
      <c r="D23" s="14">
        <v>7.1284999999999998</v>
      </c>
      <c r="E23" s="14">
        <v>14025.213</v>
      </c>
      <c r="F23" s="14">
        <v>322.43610000000001</v>
      </c>
      <c r="G23" s="14">
        <v>1058.6985</v>
      </c>
      <c r="H23" s="14">
        <v>19698.527699999999</v>
      </c>
      <c r="I23" s="14">
        <v>830.86950000000002</v>
      </c>
      <c r="J23" s="14">
        <v>3099.1453000000001</v>
      </c>
      <c r="K23" s="14">
        <v>465.92630000000003</v>
      </c>
      <c r="L23" s="14">
        <v>345.44389999999999</v>
      </c>
      <c r="M23" s="14">
        <v>20151.1345</v>
      </c>
      <c r="N23" s="14">
        <v>11744.339</v>
      </c>
      <c r="O23" s="14">
        <v>3744.0167999999999</v>
      </c>
      <c r="P23" s="14">
        <v>426.70569999999998</v>
      </c>
      <c r="Q23" s="14">
        <v>13472.8272</v>
      </c>
      <c r="R23" s="14">
        <v>1829.6052</v>
      </c>
      <c r="S23" s="14">
        <v>2297.6624000000002</v>
      </c>
      <c r="T23" s="14">
        <v>698.84500000000003</v>
      </c>
      <c r="U23" s="14">
        <v>652.87070000000006</v>
      </c>
      <c r="V23" s="14">
        <v>485.14460000000003</v>
      </c>
      <c r="W23" s="14">
        <v>399.50420000000003</v>
      </c>
      <c r="X23" s="14">
        <v>95756.044099999999</v>
      </c>
      <c r="Y23" s="14"/>
      <c r="Z23" s="14">
        <v>1066.29</v>
      </c>
      <c r="AA23" s="14">
        <v>1673.6189999999999</v>
      </c>
      <c r="AB23" s="14">
        <v>36940.315300000002</v>
      </c>
      <c r="AC23" s="14">
        <v>0</v>
      </c>
      <c r="AD23" s="14">
        <v>35304.759100000003</v>
      </c>
      <c r="AE23" s="14">
        <v>74984.983399999997</v>
      </c>
      <c r="AF23" s="14">
        <v>170741.0275</v>
      </c>
    </row>
    <row r="24" spans="1:33" x14ac:dyDescent="0.2">
      <c r="A24" s="8">
        <v>15</v>
      </c>
      <c r="B24" s="1" t="s">
        <v>15</v>
      </c>
      <c r="C24" s="1"/>
      <c r="D24" s="14">
        <v>0.223</v>
      </c>
      <c r="E24" s="14">
        <v>11794.194100000001</v>
      </c>
      <c r="F24" s="14">
        <v>418.6397</v>
      </c>
      <c r="G24" s="14">
        <v>949.35299999999995</v>
      </c>
      <c r="H24" s="14">
        <v>15345.918299999999</v>
      </c>
      <c r="I24" s="14">
        <v>518.32939999999996</v>
      </c>
      <c r="J24" s="14">
        <v>11410.3053</v>
      </c>
      <c r="K24" s="14">
        <v>176.93770000000001</v>
      </c>
      <c r="L24" s="14">
        <v>302.41669999999999</v>
      </c>
      <c r="M24" s="14">
        <v>6260.0950999999995</v>
      </c>
      <c r="N24" s="14">
        <v>3409.8537999999999</v>
      </c>
      <c r="O24" s="14">
        <v>2868.7343000000001</v>
      </c>
      <c r="P24" s="14">
        <v>495.62189999999998</v>
      </c>
      <c r="Q24" s="14">
        <v>1677.0147999999999</v>
      </c>
      <c r="R24" s="14">
        <v>4294.1682000000001</v>
      </c>
      <c r="S24" s="14">
        <v>1514.058</v>
      </c>
      <c r="T24" s="14">
        <v>464.88479999999998</v>
      </c>
      <c r="U24" s="14">
        <v>1103.9469999999999</v>
      </c>
      <c r="V24" s="14">
        <v>473.65899999999999</v>
      </c>
      <c r="W24" s="14">
        <v>188.39240000000001</v>
      </c>
      <c r="X24" s="14">
        <v>63666.746400000004</v>
      </c>
      <c r="Y24" s="14"/>
      <c r="Z24" s="14">
        <v>804.58590000000004</v>
      </c>
      <c r="AA24" s="14">
        <v>29.896000000000001</v>
      </c>
      <c r="AB24" s="14">
        <v>0</v>
      </c>
      <c r="AC24" s="14">
        <v>0</v>
      </c>
      <c r="AD24" s="14">
        <v>12036.1065</v>
      </c>
      <c r="AE24" s="14">
        <v>12870.5885</v>
      </c>
      <c r="AF24" s="14">
        <v>76537.334900000002</v>
      </c>
    </row>
    <row r="25" spans="1:33" x14ac:dyDescent="0.2">
      <c r="A25" s="8">
        <v>16</v>
      </c>
      <c r="B25" s="1" t="s">
        <v>147</v>
      </c>
      <c r="C25" s="1"/>
      <c r="D25" s="14">
        <v>1.2999999999999999E-3</v>
      </c>
      <c r="E25" s="14">
        <v>13.471299999999999</v>
      </c>
      <c r="F25" s="14">
        <v>7.3670999999999998</v>
      </c>
      <c r="G25" s="14">
        <v>83.344099999999997</v>
      </c>
      <c r="H25" s="14">
        <v>469.69970000000001</v>
      </c>
      <c r="I25" s="14">
        <v>51.353700000000003</v>
      </c>
      <c r="J25" s="14">
        <v>79.375600000000006</v>
      </c>
      <c r="K25" s="14">
        <v>11.0792</v>
      </c>
      <c r="L25" s="14">
        <v>7.4748000000000001</v>
      </c>
      <c r="M25" s="14">
        <v>268.82389999999998</v>
      </c>
      <c r="N25" s="14">
        <v>239.2765</v>
      </c>
      <c r="O25" s="14">
        <v>318.81169999999997</v>
      </c>
      <c r="P25" s="14">
        <v>0</v>
      </c>
      <c r="Q25" s="14">
        <v>217.17920000000001</v>
      </c>
      <c r="R25" s="14">
        <v>19.6248</v>
      </c>
      <c r="S25" s="14">
        <v>805.39850000000001</v>
      </c>
      <c r="T25" s="14">
        <v>2.0061</v>
      </c>
      <c r="U25" s="14">
        <v>6.2061000000000002</v>
      </c>
      <c r="V25" s="14">
        <v>69.405600000000007</v>
      </c>
      <c r="W25" s="14">
        <v>8.6630000000000003</v>
      </c>
      <c r="X25" s="14">
        <v>2678.5619999999999</v>
      </c>
      <c r="Y25" s="14"/>
      <c r="Z25" s="14">
        <v>394.06670000000003</v>
      </c>
      <c r="AA25" s="14">
        <v>40244.519</v>
      </c>
      <c r="AB25" s="14">
        <v>0</v>
      </c>
      <c r="AC25" s="14">
        <v>0</v>
      </c>
      <c r="AD25" s="14">
        <v>4.0830000000000002</v>
      </c>
      <c r="AE25" s="14">
        <v>40642.668700000002</v>
      </c>
      <c r="AF25" s="14">
        <v>43321.2307</v>
      </c>
    </row>
    <row r="26" spans="1:33" x14ac:dyDescent="0.2">
      <c r="A26" s="8">
        <v>17</v>
      </c>
      <c r="B26" s="1" t="s">
        <v>16</v>
      </c>
      <c r="C26" s="1"/>
      <c r="D26" s="14">
        <v>0.28799999999999998</v>
      </c>
      <c r="E26" s="14">
        <v>42.253599999999999</v>
      </c>
      <c r="F26" s="14">
        <v>3.8519999999999999</v>
      </c>
      <c r="G26" s="14">
        <v>4.0522</v>
      </c>
      <c r="H26" s="14">
        <v>50.448300000000003</v>
      </c>
      <c r="I26" s="14">
        <v>4.8352000000000004</v>
      </c>
      <c r="J26" s="14">
        <v>65.641099999999994</v>
      </c>
      <c r="K26" s="14">
        <v>9.5244</v>
      </c>
      <c r="L26" s="14">
        <v>6.8758999999999997</v>
      </c>
      <c r="M26" s="14">
        <v>131.90100000000001</v>
      </c>
      <c r="N26" s="14">
        <v>102.4354</v>
      </c>
      <c r="O26" s="14">
        <v>14.648099999999999</v>
      </c>
      <c r="P26" s="14">
        <v>0</v>
      </c>
      <c r="Q26" s="14">
        <v>62.468600000000002</v>
      </c>
      <c r="R26" s="14">
        <v>19.728999999999999</v>
      </c>
      <c r="S26" s="14">
        <v>278.22000000000003</v>
      </c>
      <c r="T26" s="14">
        <v>657.3664</v>
      </c>
      <c r="U26" s="14">
        <v>38.023000000000003</v>
      </c>
      <c r="V26" s="14">
        <v>8.3922000000000008</v>
      </c>
      <c r="W26" s="14">
        <v>7.7727000000000004</v>
      </c>
      <c r="X26" s="14">
        <v>1508.7272</v>
      </c>
      <c r="Y26" s="14"/>
      <c r="Z26" s="14">
        <v>10424.564899999999</v>
      </c>
      <c r="AA26" s="14">
        <v>9864.8708999999999</v>
      </c>
      <c r="AB26" s="14">
        <v>0</v>
      </c>
      <c r="AC26" s="14">
        <v>0</v>
      </c>
      <c r="AD26" s="14">
        <v>2505.7217000000001</v>
      </c>
      <c r="AE26" s="14">
        <v>22795.157500000001</v>
      </c>
      <c r="AF26" s="14">
        <v>24303.884699999999</v>
      </c>
    </row>
    <row r="27" spans="1:33" x14ac:dyDescent="0.2">
      <c r="A27" s="8">
        <v>18</v>
      </c>
      <c r="B27" s="1" t="s">
        <v>17</v>
      </c>
      <c r="C27" s="1"/>
      <c r="D27" s="14">
        <v>1.61E-2</v>
      </c>
      <c r="E27" s="14">
        <v>0.4743</v>
      </c>
      <c r="F27" s="14">
        <v>6.3529</v>
      </c>
      <c r="G27" s="14">
        <v>7.1035000000000004</v>
      </c>
      <c r="H27" s="14">
        <v>37.500900000000001</v>
      </c>
      <c r="I27" s="14">
        <v>6.8599999999999994E-2</v>
      </c>
      <c r="J27" s="14">
        <v>53.095199999999998</v>
      </c>
      <c r="K27" s="14">
        <v>1.5115000000000001</v>
      </c>
      <c r="L27" s="14">
        <v>3.5230999999999999</v>
      </c>
      <c r="M27" s="14">
        <v>62.700600000000001</v>
      </c>
      <c r="N27" s="14">
        <v>115.1628</v>
      </c>
      <c r="O27" s="14">
        <v>19.2715</v>
      </c>
      <c r="P27" s="14">
        <v>0</v>
      </c>
      <c r="Q27" s="14">
        <v>407.17489999999998</v>
      </c>
      <c r="R27" s="14">
        <v>55.970799999999997</v>
      </c>
      <c r="S27" s="14">
        <v>406.20859999999999</v>
      </c>
      <c r="T27" s="14">
        <v>23.8825</v>
      </c>
      <c r="U27" s="14">
        <v>3131.8081000000002</v>
      </c>
      <c r="V27" s="14">
        <v>278.5951</v>
      </c>
      <c r="W27" s="14">
        <v>55.135800000000003</v>
      </c>
      <c r="X27" s="14">
        <v>4665.5568000000003</v>
      </c>
      <c r="Y27" s="14"/>
      <c r="Z27" s="14">
        <v>14502.7847</v>
      </c>
      <c r="AA27" s="14">
        <v>9823.6280000000006</v>
      </c>
      <c r="AB27" s="14">
        <v>0</v>
      </c>
      <c r="AC27" s="14">
        <v>0</v>
      </c>
      <c r="AD27" s="14">
        <v>610.93349999999998</v>
      </c>
      <c r="AE27" s="14">
        <v>24937.3462</v>
      </c>
      <c r="AF27" s="14">
        <v>29602.902999999998</v>
      </c>
    </row>
    <row r="28" spans="1:33" x14ac:dyDescent="0.2">
      <c r="A28" s="8">
        <v>19</v>
      </c>
      <c r="B28" s="1" t="s">
        <v>148</v>
      </c>
      <c r="C28" s="1"/>
      <c r="D28" s="14">
        <v>0</v>
      </c>
      <c r="E28" s="14">
        <v>8.8846000000000007</v>
      </c>
      <c r="F28" s="14">
        <v>2.0966999999999998</v>
      </c>
      <c r="G28" s="14">
        <v>61.980899999999998</v>
      </c>
      <c r="H28" s="14">
        <v>89.3215</v>
      </c>
      <c r="I28" s="14">
        <v>37.9358</v>
      </c>
      <c r="J28" s="14">
        <v>46.409100000000002</v>
      </c>
      <c r="K28" s="14">
        <v>6.2507000000000001</v>
      </c>
      <c r="L28" s="14">
        <v>3.6882000000000001</v>
      </c>
      <c r="M28" s="14">
        <v>198.9306</v>
      </c>
      <c r="N28" s="14">
        <v>327.61759999999998</v>
      </c>
      <c r="O28" s="14">
        <v>13.2033</v>
      </c>
      <c r="P28" s="14">
        <v>0</v>
      </c>
      <c r="Q28" s="14">
        <v>71.388000000000005</v>
      </c>
      <c r="R28" s="14">
        <v>103.0699</v>
      </c>
      <c r="S28" s="14">
        <v>19.767299999999999</v>
      </c>
      <c r="T28" s="14">
        <v>215.35409999999999</v>
      </c>
      <c r="U28" s="14">
        <v>22.074400000000001</v>
      </c>
      <c r="V28" s="14">
        <v>345.72070000000002</v>
      </c>
      <c r="W28" s="14">
        <v>18.580500000000001</v>
      </c>
      <c r="X28" s="14">
        <v>1592.2739999999999</v>
      </c>
      <c r="Y28" s="14"/>
      <c r="Z28" s="14">
        <v>7128.1090999999997</v>
      </c>
      <c r="AA28" s="14">
        <v>1227.942</v>
      </c>
      <c r="AB28" s="14">
        <v>0</v>
      </c>
      <c r="AC28" s="14">
        <v>0</v>
      </c>
      <c r="AD28" s="14">
        <v>2377.2473</v>
      </c>
      <c r="AE28" s="14">
        <v>10733.2984</v>
      </c>
      <c r="AF28" s="14">
        <v>12325.572399999999</v>
      </c>
    </row>
    <row r="29" spans="1:33" x14ac:dyDescent="0.2">
      <c r="A29" s="9">
        <v>20</v>
      </c>
      <c r="B29" s="3" t="s">
        <v>149</v>
      </c>
      <c r="C29" s="3"/>
      <c r="D29" s="15">
        <v>6.9400000000000003E-2</v>
      </c>
      <c r="E29" s="15">
        <v>263.71589999999998</v>
      </c>
      <c r="F29" s="15">
        <v>60.636200000000002</v>
      </c>
      <c r="G29" s="15">
        <v>61.182699999999997</v>
      </c>
      <c r="H29" s="15">
        <v>150.071</v>
      </c>
      <c r="I29" s="15">
        <v>30.353100000000001</v>
      </c>
      <c r="J29" s="15">
        <v>307.07900000000001</v>
      </c>
      <c r="K29" s="15">
        <v>71.2166</v>
      </c>
      <c r="L29" s="15">
        <v>10.855399999999999</v>
      </c>
      <c r="M29" s="15">
        <v>321.30200000000002</v>
      </c>
      <c r="N29" s="15">
        <v>236.31829999999999</v>
      </c>
      <c r="O29" s="15">
        <v>61.243200000000002</v>
      </c>
      <c r="P29" s="15">
        <v>76.467100000000002</v>
      </c>
      <c r="Q29" s="15">
        <v>132.0368</v>
      </c>
      <c r="R29" s="15">
        <v>126.8205</v>
      </c>
      <c r="S29" s="15">
        <v>331.36529999999999</v>
      </c>
      <c r="T29" s="15">
        <v>166.81460000000001</v>
      </c>
      <c r="U29" s="15">
        <v>198.46629999999999</v>
      </c>
      <c r="V29" s="15">
        <v>161.75409999999999</v>
      </c>
      <c r="W29" s="15">
        <v>108.2208</v>
      </c>
      <c r="X29" s="15">
        <v>2875.9881</v>
      </c>
      <c r="Y29" s="15"/>
      <c r="Z29" s="15">
        <v>8449.0921999999991</v>
      </c>
      <c r="AA29" s="15">
        <v>24.094999999999999</v>
      </c>
      <c r="AB29" s="15">
        <v>0</v>
      </c>
      <c r="AC29" s="15">
        <v>0</v>
      </c>
      <c r="AD29" s="15">
        <v>139.673</v>
      </c>
      <c r="AE29" s="15">
        <v>8612.8601999999992</v>
      </c>
      <c r="AF29" s="15">
        <v>11488.8483</v>
      </c>
    </row>
    <row r="30" spans="1:33" x14ac:dyDescent="0.2">
      <c r="A30" s="11" t="s">
        <v>24</v>
      </c>
      <c r="B30" s="5" t="s">
        <v>46</v>
      </c>
      <c r="C30" s="5"/>
      <c r="D30" s="17">
        <v>558.37339999999995</v>
      </c>
      <c r="E30" s="17">
        <v>338224.64140000002</v>
      </c>
      <c r="F30" s="17">
        <v>15700.1253</v>
      </c>
      <c r="G30" s="17">
        <v>49864.483899999999</v>
      </c>
      <c r="H30" s="17">
        <v>174227.8254</v>
      </c>
      <c r="I30" s="17">
        <v>8843.1664000000001</v>
      </c>
      <c r="J30" s="17">
        <v>239265.5367</v>
      </c>
      <c r="K30" s="17">
        <v>2881.9243000000001</v>
      </c>
      <c r="L30" s="17">
        <v>9979.1789000000008</v>
      </c>
      <c r="M30" s="17">
        <v>148672.32740000001</v>
      </c>
      <c r="N30" s="17">
        <v>88955.218900000007</v>
      </c>
      <c r="O30" s="17">
        <v>20253.548900000002</v>
      </c>
      <c r="P30" s="17">
        <v>4246.1000000000004</v>
      </c>
      <c r="Q30" s="17">
        <v>44204.520499999999</v>
      </c>
      <c r="R30" s="17">
        <v>11776.315000000001</v>
      </c>
      <c r="S30" s="17">
        <v>32067.643199999999</v>
      </c>
      <c r="T30" s="17">
        <v>6312.8705</v>
      </c>
      <c r="U30" s="17">
        <v>13459.0887</v>
      </c>
      <c r="V30" s="17">
        <v>3851.4474</v>
      </c>
      <c r="W30" s="17">
        <v>3906.3510000000001</v>
      </c>
      <c r="X30" s="17">
        <v>1217250.6872</v>
      </c>
      <c r="Y30" s="17"/>
      <c r="Z30" s="17">
        <v>198297.34210000001</v>
      </c>
      <c r="AA30" s="17">
        <v>64865.605900000002</v>
      </c>
      <c r="AB30" s="17">
        <v>145705.95060000001</v>
      </c>
      <c r="AC30" s="17">
        <v>10241.200000000001</v>
      </c>
      <c r="AD30" s="17">
        <v>1328797.4021999999</v>
      </c>
      <c r="AE30" s="17">
        <v>1747907.5008</v>
      </c>
      <c r="AF30" s="17">
        <v>2965158.1880000001</v>
      </c>
      <c r="AG30" s="45"/>
    </row>
    <row r="31" spans="1:33" x14ac:dyDescent="0.2">
      <c r="A31" s="11">
        <v>21</v>
      </c>
      <c r="B31" s="5" t="s">
        <v>47</v>
      </c>
      <c r="C31" s="5"/>
      <c r="D31" s="17">
        <v>0</v>
      </c>
      <c r="E31" s="17">
        <v>0</v>
      </c>
      <c r="F31" s="17">
        <v>0</v>
      </c>
      <c r="G31" s="17">
        <v>0</v>
      </c>
      <c r="H31" s="17">
        <v>0</v>
      </c>
      <c r="I31" s="17">
        <v>0</v>
      </c>
      <c r="J31" s="17">
        <v>0</v>
      </c>
      <c r="K31" s="17">
        <v>0</v>
      </c>
      <c r="L31" s="17">
        <v>0</v>
      </c>
      <c r="M31" s="17">
        <v>0</v>
      </c>
      <c r="N31" s="17">
        <v>0</v>
      </c>
      <c r="O31" s="17">
        <v>0</v>
      </c>
      <c r="P31" s="17">
        <v>0</v>
      </c>
      <c r="Q31" s="17">
        <v>0</v>
      </c>
      <c r="R31" s="17">
        <v>0</v>
      </c>
      <c r="S31" s="17">
        <v>0</v>
      </c>
      <c r="T31" s="17">
        <v>0</v>
      </c>
      <c r="U31" s="17">
        <v>0</v>
      </c>
      <c r="V31" s="17">
        <v>0</v>
      </c>
      <c r="W31" s="17">
        <v>0</v>
      </c>
      <c r="X31" s="17">
        <v>0</v>
      </c>
      <c r="Y31" s="17"/>
      <c r="Z31" s="17">
        <v>0</v>
      </c>
      <c r="AA31" s="17">
        <v>0</v>
      </c>
      <c r="AB31" s="17">
        <v>0</v>
      </c>
      <c r="AC31" s="17">
        <v>0</v>
      </c>
      <c r="AD31" s="17">
        <v>-2473.9623000000001</v>
      </c>
      <c r="AE31" s="17">
        <v>-2473.9623000000001</v>
      </c>
      <c r="AF31" s="17">
        <v>-2473.9623000000001</v>
      </c>
      <c r="AG31" s="45"/>
    </row>
    <row r="32" spans="1:33" x14ac:dyDescent="0.2">
      <c r="A32" s="11" t="s">
        <v>25</v>
      </c>
      <c r="B32" s="5" t="s">
        <v>48</v>
      </c>
      <c r="C32" s="5"/>
      <c r="D32" s="17">
        <v>558.37339999999995</v>
      </c>
      <c r="E32" s="17">
        <v>338224.64140000002</v>
      </c>
      <c r="F32" s="17">
        <v>15700.1253</v>
      </c>
      <c r="G32" s="17">
        <v>49864.483899999999</v>
      </c>
      <c r="H32" s="17">
        <v>174227.8254</v>
      </c>
      <c r="I32" s="17">
        <v>8843.1664000000001</v>
      </c>
      <c r="J32" s="17">
        <v>239265.5367</v>
      </c>
      <c r="K32" s="17">
        <v>2881.9243000000001</v>
      </c>
      <c r="L32" s="17">
        <v>9979.1789000000008</v>
      </c>
      <c r="M32" s="17">
        <v>148672.32740000001</v>
      </c>
      <c r="N32" s="17">
        <v>88955.218900000007</v>
      </c>
      <c r="O32" s="17">
        <v>20253.548900000002</v>
      </c>
      <c r="P32" s="17">
        <v>4246.1000000000004</v>
      </c>
      <c r="Q32" s="17">
        <v>44204.520499999999</v>
      </c>
      <c r="R32" s="17">
        <v>11776.315000000001</v>
      </c>
      <c r="S32" s="17">
        <v>32067.643199999999</v>
      </c>
      <c r="T32" s="17">
        <v>6312.8705</v>
      </c>
      <c r="U32" s="17">
        <v>13459.0887</v>
      </c>
      <c r="V32" s="17">
        <v>3851.4474</v>
      </c>
      <c r="W32" s="17">
        <v>3906.3510000000001</v>
      </c>
      <c r="X32" s="17">
        <v>1217250.6872</v>
      </c>
      <c r="Y32" s="17"/>
      <c r="Z32" s="17">
        <v>198297.34210000001</v>
      </c>
      <c r="AA32" s="17">
        <v>64865.605900000002</v>
      </c>
      <c r="AB32" s="17">
        <v>145705.95060000001</v>
      </c>
      <c r="AC32" s="17">
        <v>10241.200000000001</v>
      </c>
      <c r="AD32" s="17">
        <v>1326323.4399000001</v>
      </c>
      <c r="AE32" s="17">
        <v>1745433.5385</v>
      </c>
      <c r="AF32" s="17">
        <v>2962684.2256999998</v>
      </c>
      <c r="AG32" s="45"/>
    </row>
    <row r="33" spans="1:33" x14ac:dyDescent="0.2">
      <c r="A33" s="8">
        <v>22</v>
      </c>
      <c r="B33" s="1" t="s">
        <v>49</v>
      </c>
      <c r="C33" s="1"/>
      <c r="D33" s="14">
        <v>86.7</v>
      </c>
      <c r="E33" s="14">
        <v>28875.404900000001</v>
      </c>
      <c r="F33" s="14">
        <v>1862.0463999999999</v>
      </c>
      <c r="G33" s="14">
        <v>14884.0851</v>
      </c>
      <c r="H33" s="14">
        <v>26128.797699999999</v>
      </c>
      <c r="I33" s="14">
        <v>5168.4458999999997</v>
      </c>
      <c r="J33" s="14">
        <v>15083.0191</v>
      </c>
      <c r="K33" s="14">
        <v>1620.6025999999999</v>
      </c>
      <c r="L33" s="14">
        <v>3824.9321</v>
      </c>
      <c r="M33" s="14">
        <v>23450.095000000001</v>
      </c>
      <c r="N33" s="14">
        <v>34374.253900000003</v>
      </c>
      <c r="O33" s="14">
        <v>3492.3346000000001</v>
      </c>
      <c r="P33" s="14">
        <v>0</v>
      </c>
      <c r="Q33" s="14">
        <v>26688.5085</v>
      </c>
      <c r="R33" s="14">
        <v>9623.9709999999995</v>
      </c>
      <c r="S33" s="14">
        <v>14524.275100000001</v>
      </c>
      <c r="T33" s="14">
        <v>12878.346799999999</v>
      </c>
      <c r="U33" s="14">
        <v>13655.9414</v>
      </c>
      <c r="V33" s="14">
        <v>2367.5585999999998</v>
      </c>
      <c r="W33" s="14">
        <v>5624.6018000000004</v>
      </c>
      <c r="X33" s="14">
        <v>244213.9203</v>
      </c>
      <c r="Y33" s="14"/>
      <c r="Z33" s="14">
        <v>0</v>
      </c>
      <c r="AA33" s="14">
        <v>0</v>
      </c>
      <c r="AB33" s="14">
        <v>0</v>
      </c>
      <c r="AC33" s="14">
        <v>0</v>
      </c>
      <c r="AD33" s="14">
        <v>0</v>
      </c>
      <c r="AE33" s="14">
        <v>0</v>
      </c>
      <c r="AF33" s="14">
        <v>244213.9203</v>
      </c>
      <c r="AG33" s="45"/>
    </row>
    <row r="34" spans="1:33" x14ac:dyDescent="0.2">
      <c r="A34" s="8">
        <v>23</v>
      </c>
      <c r="B34" s="1" t="s">
        <v>50</v>
      </c>
      <c r="C34" s="1"/>
      <c r="D34" s="14">
        <v>6.4</v>
      </c>
      <c r="E34" s="14">
        <v>859.5</v>
      </c>
      <c r="F34" s="14">
        <v>270.7</v>
      </c>
      <c r="G34" s="14">
        <v>1728.8</v>
      </c>
      <c r="H34" s="14">
        <v>-91.1</v>
      </c>
      <c r="I34" s="14">
        <v>-64.099999999999994</v>
      </c>
      <c r="J34" s="14">
        <v>412.4</v>
      </c>
      <c r="K34" s="14">
        <v>81.900000000000006</v>
      </c>
      <c r="L34" s="14">
        <v>-221.3</v>
      </c>
      <c r="M34" s="14">
        <v>-57.3</v>
      </c>
      <c r="N34" s="14">
        <v>-99</v>
      </c>
      <c r="O34" s="14">
        <v>1781.9</v>
      </c>
      <c r="P34" s="14">
        <v>1128.9000000000001</v>
      </c>
      <c r="Q34" s="14">
        <v>-394.6</v>
      </c>
      <c r="R34" s="14">
        <v>-145.4</v>
      </c>
      <c r="S34" s="14">
        <v>24.3</v>
      </c>
      <c r="T34" s="14">
        <v>-119.7</v>
      </c>
      <c r="U34" s="14">
        <v>-66.099999999999994</v>
      </c>
      <c r="V34" s="14">
        <v>165.7</v>
      </c>
      <c r="W34" s="14">
        <v>331.4</v>
      </c>
      <c r="X34" s="14">
        <v>5533.3</v>
      </c>
      <c r="Y34" s="14"/>
      <c r="Z34" s="14">
        <v>0</v>
      </c>
      <c r="AA34" s="14">
        <v>0</v>
      </c>
      <c r="AB34" s="14">
        <v>0</v>
      </c>
      <c r="AC34" s="14">
        <v>0</v>
      </c>
      <c r="AD34" s="14">
        <v>0</v>
      </c>
      <c r="AE34" s="14">
        <v>0</v>
      </c>
      <c r="AF34" s="14">
        <v>5533.3</v>
      </c>
      <c r="AG34" s="45"/>
    </row>
    <row r="35" spans="1:33" x14ac:dyDescent="0.2">
      <c r="A35" s="9">
        <v>24</v>
      </c>
      <c r="B35" s="3" t="s">
        <v>51</v>
      </c>
      <c r="C35" s="3"/>
      <c r="D35" s="15">
        <v>90.525199999999998</v>
      </c>
      <c r="E35" s="15">
        <v>108658.2637</v>
      </c>
      <c r="F35" s="15">
        <v>6044.2293</v>
      </c>
      <c r="G35" s="15">
        <v>4607.6813000000002</v>
      </c>
      <c r="H35" s="15">
        <v>115761.836</v>
      </c>
      <c r="I35" s="15">
        <v>2850.8198000000002</v>
      </c>
      <c r="J35" s="15">
        <v>65383.8289</v>
      </c>
      <c r="K35" s="15">
        <v>1952.9903999999999</v>
      </c>
      <c r="L35" s="15">
        <v>1227.3981000000001</v>
      </c>
      <c r="M35" s="15">
        <v>10610.683300000001</v>
      </c>
      <c r="N35" s="15">
        <v>46466.165000000001</v>
      </c>
      <c r="O35" s="15">
        <v>13428.9259</v>
      </c>
      <c r="P35" s="15">
        <v>19370.400000000001</v>
      </c>
      <c r="Q35" s="15">
        <v>7362.4804999999997</v>
      </c>
      <c r="R35" s="15">
        <v>8967.1802000000007</v>
      </c>
      <c r="S35" s="15">
        <v>672.77160000000003</v>
      </c>
      <c r="T35" s="15">
        <v>2857.6432</v>
      </c>
      <c r="U35" s="15">
        <v>1357.2032999999999</v>
      </c>
      <c r="V35" s="15">
        <v>2246.2802000000001</v>
      </c>
      <c r="W35" s="15">
        <v>296.84640000000002</v>
      </c>
      <c r="X35" s="15">
        <v>420214.15240000002</v>
      </c>
      <c r="Y35" s="15"/>
      <c r="Z35" s="15">
        <v>0</v>
      </c>
      <c r="AA35" s="15">
        <v>0</v>
      </c>
      <c r="AB35" s="15">
        <v>0</v>
      </c>
      <c r="AC35" s="15">
        <v>0</v>
      </c>
      <c r="AD35" s="15">
        <v>0</v>
      </c>
      <c r="AE35" s="15">
        <v>0</v>
      </c>
      <c r="AF35" s="15">
        <v>420214.15240000002</v>
      </c>
      <c r="AG35" s="45"/>
    </row>
    <row r="36" spans="1:33" x14ac:dyDescent="0.2">
      <c r="A36" s="11" t="s">
        <v>44</v>
      </c>
      <c r="B36" s="5" t="s">
        <v>52</v>
      </c>
      <c r="C36" s="5"/>
      <c r="D36" s="17">
        <v>183.62520000000001</v>
      </c>
      <c r="E36" s="17">
        <v>138393.1686</v>
      </c>
      <c r="F36" s="17">
        <v>8176.9758000000002</v>
      </c>
      <c r="G36" s="17">
        <v>21220.5664</v>
      </c>
      <c r="H36" s="17">
        <v>141799.5337</v>
      </c>
      <c r="I36" s="17">
        <v>7955.1656000000003</v>
      </c>
      <c r="J36" s="17">
        <v>80879.248000000007</v>
      </c>
      <c r="K36" s="17">
        <v>3655.4929999999999</v>
      </c>
      <c r="L36" s="17">
        <v>4831.0300999999999</v>
      </c>
      <c r="M36" s="17">
        <v>34003.478300000002</v>
      </c>
      <c r="N36" s="17">
        <v>80741.418999999994</v>
      </c>
      <c r="O36" s="17">
        <v>18703.160500000002</v>
      </c>
      <c r="P36" s="17">
        <v>20499.3</v>
      </c>
      <c r="Q36" s="17">
        <v>33656.389000000003</v>
      </c>
      <c r="R36" s="17">
        <v>18445.751199999999</v>
      </c>
      <c r="S36" s="17">
        <v>15221.346600000001</v>
      </c>
      <c r="T36" s="17">
        <v>15616.29</v>
      </c>
      <c r="U36" s="17">
        <v>14947.0447</v>
      </c>
      <c r="V36" s="17">
        <v>4779.5387000000001</v>
      </c>
      <c r="W36" s="17">
        <v>6252.8482000000004</v>
      </c>
      <c r="X36" s="17">
        <v>669961.37269999995</v>
      </c>
      <c r="Y36" s="17"/>
      <c r="Z36" s="17">
        <v>0</v>
      </c>
      <c r="AA36" s="17">
        <v>0</v>
      </c>
      <c r="AB36" s="17">
        <v>0</v>
      </c>
      <c r="AC36" s="17">
        <v>0</v>
      </c>
      <c r="AD36" s="17">
        <v>0</v>
      </c>
      <c r="AE36" s="17">
        <v>0</v>
      </c>
      <c r="AF36" s="17">
        <v>669961.37269999995</v>
      </c>
      <c r="AG36" s="45"/>
    </row>
    <row r="37" spans="1:33" ht="16" thickBot="1" x14ac:dyDescent="0.25">
      <c r="A37" s="12" t="s">
        <v>45</v>
      </c>
      <c r="B37" s="6" t="s">
        <v>53</v>
      </c>
      <c r="C37" s="6"/>
      <c r="D37" s="18">
        <v>741.99860000000001</v>
      </c>
      <c r="E37" s="18">
        <v>476617.81</v>
      </c>
      <c r="F37" s="18">
        <v>23877.1011</v>
      </c>
      <c r="G37" s="18">
        <v>71085.050199999998</v>
      </c>
      <c r="H37" s="18">
        <v>316027.3591</v>
      </c>
      <c r="I37" s="18">
        <v>16798.331999999999</v>
      </c>
      <c r="J37" s="18">
        <v>320144.78480000002</v>
      </c>
      <c r="K37" s="18">
        <v>6537.4173000000001</v>
      </c>
      <c r="L37" s="18">
        <v>14810.2091</v>
      </c>
      <c r="M37" s="18">
        <v>182675.8057</v>
      </c>
      <c r="N37" s="18">
        <v>169696.6379</v>
      </c>
      <c r="O37" s="18">
        <v>38956.7094</v>
      </c>
      <c r="P37" s="18">
        <v>24745.4</v>
      </c>
      <c r="Q37" s="18">
        <v>77860.909499999994</v>
      </c>
      <c r="R37" s="18">
        <v>30222.066200000001</v>
      </c>
      <c r="S37" s="18">
        <v>47288.989800000003</v>
      </c>
      <c r="T37" s="18">
        <v>21929.160500000002</v>
      </c>
      <c r="U37" s="18">
        <v>28406.133399999999</v>
      </c>
      <c r="V37" s="18">
        <v>8630.9861000000001</v>
      </c>
      <c r="W37" s="18">
        <v>10159.1993</v>
      </c>
      <c r="X37" s="18">
        <v>1887212.0599</v>
      </c>
      <c r="Y37" s="18"/>
      <c r="Z37" s="18">
        <v>198297.34210000001</v>
      </c>
      <c r="AA37" s="18">
        <v>64865.605900000002</v>
      </c>
      <c r="AB37" s="18">
        <v>145705.95060000001</v>
      </c>
      <c r="AC37" s="18">
        <v>10241.200000000001</v>
      </c>
      <c r="AD37" s="18">
        <v>1326323.4399000001</v>
      </c>
      <c r="AE37" s="18">
        <v>1745433.5385</v>
      </c>
      <c r="AF37" s="18">
        <v>3632645.5984</v>
      </c>
      <c r="AG37" s="45"/>
    </row>
    <row r="38" spans="1:33" x14ac:dyDescent="0.2">
      <c r="D38" s="45"/>
      <c r="E38" s="45"/>
      <c r="F38" s="45"/>
      <c r="G38" s="45"/>
      <c r="H38" s="45"/>
      <c r="I38" s="45"/>
      <c r="J38" s="45"/>
      <c r="K38" s="45"/>
      <c r="L38" s="45"/>
      <c r="M38" s="45"/>
      <c r="N38" s="45"/>
      <c r="O38" s="45"/>
      <c r="P38" s="45"/>
      <c r="Q38" s="45"/>
      <c r="R38" s="45"/>
      <c r="S38" s="45"/>
      <c r="T38" s="45"/>
      <c r="U38" s="45"/>
      <c r="V38" s="45"/>
      <c r="W38" s="45"/>
      <c r="X38" s="45"/>
      <c r="Y38" s="45"/>
      <c r="Z38" s="45"/>
      <c r="AA38" s="45"/>
      <c r="AB38" s="45"/>
      <c r="AC38" s="45"/>
      <c r="AD38" s="45"/>
      <c r="AE38" s="45"/>
      <c r="AF38" s="45"/>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9464F-8AE1-4C09-98E8-350345F0D201}">
  <dimension ref="A1:AG43"/>
  <sheetViews>
    <sheetView workbookViewId="0">
      <pane xSplit="3" ySplit="9" topLeftCell="D10" activePane="bottomRight" state="frozenSplit"/>
      <selection pane="topRight" activeCell="D1" sqref="D1"/>
      <selection pane="bottomLeft" activeCell="A10" sqref="A10"/>
      <selection pane="bottomRight" activeCell="H28" sqref="H28"/>
    </sheetView>
  </sheetViews>
  <sheetFormatPr baseColWidth="10" defaultColWidth="8.83203125" defaultRowHeight="15" x14ac:dyDescent="0.2"/>
  <cols>
    <col min="1" max="1" width="4.6640625" customWidth="1"/>
    <col min="2" max="2" width="40.6640625" customWidth="1"/>
    <col min="4" max="23" width="12.6640625" customWidth="1"/>
    <col min="24" max="25" width="12.6640625" hidden="1" customWidth="1"/>
    <col min="26" max="30" width="12.6640625" customWidth="1"/>
    <col min="31" max="31" width="12.6640625" hidden="1" customWidth="1"/>
    <col min="32" max="32" width="12.6640625" customWidth="1"/>
  </cols>
  <sheetData>
    <row r="1" spans="1:32" x14ac:dyDescent="0.2">
      <c r="A1" s="1" t="s">
        <v>57</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
      <c r="A2" s="50" t="s">
        <v>138</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x14ac:dyDescent="0.2">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row>
    <row r="4" spans="1:32" ht="16" thickBot="1" x14ac:dyDescent="0.25">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row>
    <row r="5" spans="1:32" x14ac:dyDescent="0.2">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row>
    <row r="6" spans="1:32" ht="80.25" customHeight="1" x14ac:dyDescent="0.2">
      <c r="A6" s="1"/>
      <c r="B6" s="1"/>
      <c r="C6" s="21" t="s">
        <v>33</v>
      </c>
      <c r="D6" s="21" t="s">
        <v>140</v>
      </c>
      <c r="E6" s="21" t="s">
        <v>8</v>
      </c>
      <c r="F6" s="21" t="s">
        <v>9</v>
      </c>
      <c r="G6" s="21" t="s">
        <v>10</v>
      </c>
      <c r="H6" s="21" t="s">
        <v>11</v>
      </c>
      <c r="I6" s="21" t="s">
        <v>12</v>
      </c>
      <c r="J6" s="21" t="s">
        <v>141</v>
      </c>
      <c r="K6" s="21" t="s">
        <v>142</v>
      </c>
      <c r="L6" s="21" t="s">
        <v>143</v>
      </c>
      <c r="M6" s="21" t="s">
        <v>144</v>
      </c>
      <c r="N6" s="21" t="s">
        <v>145</v>
      </c>
      <c r="O6" s="21" t="s">
        <v>146</v>
      </c>
      <c r="P6" s="21" t="s">
        <v>13</v>
      </c>
      <c r="Q6" s="21" t="s">
        <v>14</v>
      </c>
      <c r="R6" s="21" t="s">
        <v>15</v>
      </c>
      <c r="S6" s="21" t="s">
        <v>147</v>
      </c>
      <c r="T6" s="21" t="s">
        <v>16</v>
      </c>
      <c r="U6" s="21" t="s">
        <v>17</v>
      </c>
      <c r="V6" s="21" t="s">
        <v>148</v>
      </c>
      <c r="W6" s="21" t="s">
        <v>149</v>
      </c>
      <c r="X6" s="21" t="s">
        <v>58</v>
      </c>
      <c r="Y6" s="21" t="s">
        <v>35</v>
      </c>
      <c r="Z6" s="21" t="s">
        <v>36</v>
      </c>
      <c r="AA6" s="21" t="s">
        <v>37</v>
      </c>
      <c r="AB6" s="21" t="s">
        <v>38</v>
      </c>
      <c r="AC6" s="21" t="s">
        <v>39</v>
      </c>
      <c r="AD6" s="21" t="s">
        <v>40</v>
      </c>
      <c r="AE6" s="21" t="s">
        <v>59</v>
      </c>
      <c r="AF6" s="21" t="s">
        <v>60</v>
      </c>
    </row>
    <row r="7" spans="1:32" x14ac:dyDescent="0.2">
      <c r="A7" s="1"/>
      <c r="B7" s="1"/>
      <c r="C7" s="3"/>
      <c r="D7" s="3"/>
      <c r="E7" s="3"/>
      <c r="F7" s="3"/>
      <c r="G7" s="3"/>
      <c r="H7" s="3"/>
      <c r="I7" s="3"/>
      <c r="J7" s="3"/>
      <c r="K7" s="3"/>
      <c r="L7" s="3"/>
      <c r="M7" s="3"/>
      <c r="N7" s="3"/>
      <c r="O7" s="3"/>
      <c r="P7" s="3"/>
      <c r="Q7" s="3"/>
      <c r="R7" s="3"/>
      <c r="S7" s="3"/>
      <c r="T7" s="3"/>
      <c r="U7" s="3"/>
      <c r="V7" s="3"/>
      <c r="W7" s="3"/>
      <c r="X7" s="3"/>
      <c r="Y7" s="3"/>
      <c r="Z7" s="3"/>
      <c r="AA7" s="3"/>
      <c r="AB7" s="3"/>
      <c r="AC7" s="3"/>
      <c r="AD7" s="3"/>
      <c r="AE7" s="3"/>
      <c r="AF7" s="3"/>
    </row>
    <row r="8" spans="1:32" x14ac:dyDescent="0.2">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row>
    <row r="9" spans="1:32" ht="16" thickBot="1" x14ac:dyDescent="0.25">
      <c r="A9" s="7"/>
      <c r="B9" s="2" t="s">
        <v>43</v>
      </c>
      <c r="C9" s="2"/>
      <c r="D9" s="7">
        <v>1</v>
      </c>
      <c r="E9" s="7">
        <v>2</v>
      </c>
      <c r="F9" s="7">
        <v>3</v>
      </c>
      <c r="G9" s="7">
        <v>4</v>
      </c>
      <c r="H9" s="7">
        <v>5</v>
      </c>
      <c r="I9" s="7">
        <v>6</v>
      </c>
      <c r="J9" s="7">
        <v>7</v>
      </c>
      <c r="K9" s="7">
        <v>8</v>
      </c>
      <c r="L9" s="7">
        <v>9</v>
      </c>
      <c r="M9" s="7">
        <v>10</v>
      </c>
      <c r="N9" s="7">
        <v>11</v>
      </c>
      <c r="O9" s="7">
        <v>12</v>
      </c>
      <c r="P9" s="7">
        <v>13</v>
      </c>
      <c r="Q9" s="7">
        <v>14</v>
      </c>
      <c r="R9" s="7">
        <v>15</v>
      </c>
      <c r="S9" s="7">
        <v>16</v>
      </c>
      <c r="T9" s="7">
        <v>17</v>
      </c>
      <c r="U9" s="7">
        <v>18</v>
      </c>
      <c r="V9" s="7">
        <v>19</v>
      </c>
      <c r="W9" s="7">
        <v>20</v>
      </c>
      <c r="X9" s="7" t="s">
        <v>5</v>
      </c>
      <c r="Y9" s="7"/>
      <c r="Z9" s="7">
        <v>21</v>
      </c>
      <c r="AA9" s="7">
        <v>22</v>
      </c>
      <c r="AB9" s="7">
        <v>23</v>
      </c>
      <c r="AC9" s="7">
        <v>24</v>
      </c>
      <c r="AD9" s="7">
        <v>25</v>
      </c>
      <c r="AE9" s="7" t="s">
        <v>6</v>
      </c>
      <c r="AF9" s="7" t="s">
        <v>7</v>
      </c>
    </row>
    <row r="10" spans="1:32" x14ac:dyDescent="0.2">
      <c r="A10" s="8">
        <v>1</v>
      </c>
      <c r="B10" s="1" t="s">
        <v>140</v>
      </c>
      <c r="C10" s="1"/>
      <c r="D10" s="14">
        <v>150.35149999999999</v>
      </c>
      <c r="E10" s="14">
        <v>49.490900000000003</v>
      </c>
      <c r="F10" s="14">
        <v>1.3449</v>
      </c>
      <c r="G10" s="14">
        <v>5.4187000000000003</v>
      </c>
      <c r="H10" s="14">
        <v>1.9300000000000001E-2</v>
      </c>
      <c r="I10" s="14">
        <v>0.27600000000000002</v>
      </c>
      <c r="J10" s="14">
        <v>1.7574000000000001</v>
      </c>
      <c r="K10" s="14">
        <v>8.8824000000000005</v>
      </c>
      <c r="L10" s="14">
        <v>71.388400000000004</v>
      </c>
      <c r="M10" s="14">
        <v>3.5196000000000001</v>
      </c>
      <c r="N10" s="14">
        <v>0.79520000000000002</v>
      </c>
      <c r="O10" s="14">
        <v>0</v>
      </c>
      <c r="P10" s="14">
        <v>0</v>
      </c>
      <c r="Q10" s="14">
        <v>0.43569999999999998</v>
      </c>
      <c r="R10" s="14">
        <v>4.4002999999999997</v>
      </c>
      <c r="S10" s="14">
        <v>0.52890000000000004</v>
      </c>
      <c r="T10" s="14">
        <v>0.15559999999999999</v>
      </c>
      <c r="U10" s="14">
        <v>0.93459999999999999</v>
      </c>
      <c r="V10" s="14">
        <v>0.746</v>
      </c>
      <c r="W10" s="14">
        <v>1.1678999999999999</v>
      </c>
      <c r="X10" s="14">
        <v>301.613</v>
      </c>
      <c r="Y10" s="14"/>
      <c r="Z10" s="14">
        <v>188.59829999999999</v>
      </c>
      <c r="AA10" s="14">
        <v>0</v>
      </c>
      <c r="AB10" s="14">
        <v>1.0501</v>
      </c>
      <c r="AC10" s="14">
        <v>22.6813</v>
      </c>
      <c r="AD10" s="14">
        <v>160.3596</v>
      </c>
      <c r="AE10" s="14">
        <v>372.6893</v>
      </c>
      <c r="AF10" s="14">
        <v>674.30219999999997</v>
      </c>
    </row>
    <row r="11" spans="1:32" x14ac:dyDescent="0.2">
      <c r="A11" s="8">
        <v>2</v>
      </c>
      <c r="B11" s="1" t="s">
        <v>8</v>
      </c>
      <c r="C11" s="1"/>
      <c r="D11" s="14">
        <v>37.040500000000002</v>
      </c>
      <c r="E11" s="14">
        <v>79155.146599999993</v>
      </c>
      <c r="F11" s="14">
        <v>266.72329999999999</v>
      </c>
      <c r="G11" s="14">
        <v>5259.0308999999997</v>
      </c>
      <c r="H11" s="14">
        <v>3693.9625999999998</v>
      </c>
      <c r="I11" s="14">
        <v>327.92680000000001</v>
      </c>
      <c r="J11" s="14">
        <v>15396.3609</v>
      </c>
      <c r="K11" s="14">
        <v>221.36949999999999</v>
      </c>
      <c r="L11" s="14">
        <v>1530.829</v>
      </c>
      <c r="M11" s="14">
        <v>7676.8588</v>
      </c>
      <c r="N11" s="14">
        <v>334.70729999999998</v>
      </c>
      <c r="O11" s="14">
        <v>1008.1712</v>
      </c>
      <c r="P11" s="14">
        <v>0</v>
      </c>
      <c r="Q11" s="14">
        <v>7178.5114999999996</v>
      </c>
      <c r="R11" s="14">
        <v>1224.4672</v>
      </c>
      <c r="S11" s="14">
        <v>2041.6733999999999</v>
      </c>
      <c r="T11" s="14">
        <v>604.1001</v>
      </c>
      <c r="U11" s="14">
        <v>1807.5165999999999</v>
      </c>
      <c r="V11" s="14">
        <v>183.3272</v>
      </c>
      <c r="W11" s="14">
        <v>462.16570000000002</v>
      </c>
      <c r="X11" s="14">
        <v>128409.88920000001</v>
      </c>
      <c r="Y11" s="14"/>
      <c r="Z11" s="14">
        <v>6141.7352000000001</v>
      </c>
      <c r="AA11" s="14">
        <v>355.30799999999999</v>
      </c>
      <c r="AB11" s="14">
        <v>10003.915800000001</v>
      </c>
      <c r="AC11" s="14">
        <v>2907.0589</v>
      </c>
      <c r="AD11" s="14">
        <v>315109.67709999997</v>
      </c>
      <c r="AE11" s="14">
        <v>334517.69500000001</v>
      </c>
      <c r="AF11" s="14">
        <v>462927.58419999998</v>
      </c>
    </row>
    <row r="12" spans="1:32" x14ac:dyDescent="0.2">
      <c r="A12" s="8">
        <v>3</v>
      </c>
      <c r="B12" s="1" t="s">
        <v>9</v>
      </c>
      <c r="C12" s="1"/>
      <c r="D12" s="14">
        <v>22.1038</v>
      </c>
      <c r="E12" s="14">
        <v>4512.1293999999998</v>
      </c>
      <c r="F12" s="14">
        <v>4143.4468999999999</v>
      </c>
      <c r="G12" s="14">
        <v>212.90469999999999</v>
      </c>
      <c r="H12" s="14">
        <v>530.16390000000001</v>
      </c>
      <c r="I12" s="14">
        <v>440.01909999999998</v>
      </c>
      <c r="J12" s="14">
        <v>1201.1617000000001</v>
      </c>
      <c r="K12" s="14">
        <v>333.58069999999998</v>
      </c>
      <c r="L12" s="14">
        <v>689.61609999999996</v>
      </c>
      <c r="M12" s="14">
        <v>2503.3334</v>
      </c>
      <c r="N12" s="14">
        <v>433.57440000000003</v>
      </c>
      <c r="O12" s="14">
        <v>1231.9911</v>
      </c>
      <c r="P12" s="14">
        <v>0</v>
      </c>
      <c r="Q12" s="14">
        <v>342.3535</v>
      </c>
      <c r="R12" s="14">
        <v>87.034899999999993</v>
      </c>
      <c r="S12" s="14">
        <v>1661.1612</v>
      </c>
      <c r="T12" s="14">
        <v>454.6182</v>
      </c>
      <c r="U12" s="14">
        <v>449.7869</v>
      </c>
      <c r="V12" s="14">
        <v>381.51429999999999</v>
      </c>
      <c r="W12" s="14">
        <v>142.99449999999999</v>
      </c>
      <c r="X12" s="14">
        <v>19773.488700000002</v>
      </c>
      <c r="Y12" s="14"/>
      <c r="Z12" s="14">
        <v>3105.2013000000002</v>
      </c>
      <c r="AA12" s="14">
        <v>754.04499999999996</v>
      </c>
      <c r="AB12" s="14">
        <v>0</v>
      </c>
      <c r="AC12" s="14">
        <v>-23.418099999999999</v>
      </c>
      <c r="AD12" s="14">
        <v>566.56110000000001</v>
      </c>
      <c r="AE12" s="14">
        <v>4402.3894</v>
      </c>
      <c r="AF12" s="14">
        <v>24175.878100000002</v>
      </c>
    </row>
    <row r="13" spans="1:32" x14ac:dyDescent="0.2">
      <c r="A13" s="8">
        <v>4</v>
      </c>
      <c r="B13" s="1" t="s">
        <v>10</v>
      </c>
      <c r="C13" s="1"/>
      <c r="D13" s="14">
        <v>0.28410000000000002</v>
      </c>
      <c r="E13" s="14">
        <v>434.33499999999998</v>
      </c>
      <c r="F13" s="14">
        <v>107.7312</v>
      </c>
      <c r="G13" s="14">
        <v>25215.6387</v>
      </c>
      <c r="H13" s="14">
        <v>94.7834</v>
      </c>
      <c r="I13" s="14">
        <v>17.3081</v>
      </c>
      <c r="J13" s="14">
        <v>216.6011</v>
      </c>
      <c r="K13" s="14">
        <v>95.192899999999995</v>
      </c>
      <c r="L13" s="14">
        <v>36.263199999999998</v>
      </c>
      <c r="M13" s="14">
        <v>101.599</v>
      </c>
      <c r="N13" s="14">
        <v>101.23260000000001</v>
      </c>
      <c r="O13" s="14">
        <v>2195.7921000000001</v>
      </c>
      <c r="P13" s="14">
        <v>2608.8888000000002</v>
      </c>
      <c r="Q13" s="14">
        <v>508.30200000000002</v>
      </c>
      <c r="R13" s="14">
        <v>7.4771000000000001</v>
      </c>
      <c r="S13" s="14">
        <v>204.4614</v>
      </c>
      <c r="T13" s="14">
        <v>141.59639999999999</v>
      </c>
      <c r="U13" s="14">
        <v>66.311400000000006</v>
      </c>
      <c r="V13" s="14">
        <v>85.188100000000006</v>
      </c>
      <c r="W13" s="14">
        <v>10.3279</v>
      </c>
      <c r="X13" s="14">
        <v>32249.314600000002</v>
      </c>
      <c r="Y13" s="14"/>
      <c r="Z13" s="14">
        <v>0</v>
      </c>
      <c r="AA13" s="14">
        <v>0</v>
      </c>
      <c r="AB13" s="14">
        <v>39551.167200000004</v>
      </c>
      <c r="AC13" s="14">
        <v>0</v>
      </c>
      <c r="AD13" s="14">
        <v>1289.2552000000001</v>
      </c>
      <c r="AE13" s="14">
        <v>40840.422400000003</v>
      </c>
      <c r="AF13" s="14">
        <v>73089.736999999994</v>
      </c>
    </row>
    <row r="14" spans="1:32" x14ac:dyDescent="0.2">
      <c r="A14" s="8">
        <v>5</v>
      </c>
      <c r="B14" s="1" t="s">
        <v>11</v>
      </c>
      <c r="C14" s="1"/>
      <c r="D14" s="14">
        <v>61.419400000000003</v>
      </c>
      <c r="E14" s="14">
        <v>16097.8995</v>
      </c>
      <c r="F14" s="14">
        <v>169.29130000000001</v>
      </c>
      <c r="G14" s="14">
        <v>2390.6206999999999</v>
      </c>
      <c r="H14" s="14">
        <v>4514.1030000000001</v>
      </c>
      <c r="I14" s="14">
        <v>295.76850000000002</v>
      </c>
      <c r="J14" s="14">
        <v>2181.4902999999999</v>
      </c>
      <c r="K14" s="14">
        <v>191.61429999999999</v>
      </c>
      <c r="L14" s="14">
        <v>905.15830000000005</v>
      </c>
      <c r="M14" s="14">
        <v>2688.0032999999999</v>
      </c>
      <c r="N14" s="14">
        <v>249.04949999999999</v>
      </c>
      <c r="O14" s="14">
        <v>123.0669</v>
      </c>
      <c r="P14" s="14">
        <v>0</v>
      </c>
      <c r="Q14" s="14">
        <v>870.63189999999997</v>
      </c>
      <c r="R14" s="14">
        <v>383.1748</v>
      </c>
      <c r="S14" s="14">
        <v>731.6499</v>
      </c>
      <c r="T14" s="14">
        <v>216.94800000000001</v>
      </c>
      <c r="U14" s="14">
        <v>541.80319999999995</v>
      </c>
      <c r="V14" s="14">
        <v>51.725999999999999</v>
      </c>
      <c r="W14" s="14">
        <v>247.62039999999999</v>
      </c>
      <c r="X14" s="14">
        <v>32911.039499999999</v>
      </c>
      <c r="Y14" s="14"/>
      <c r="Z14" s="14">
        <v>7043.2524000000003</v>
      </c>
      <c r="AA14" s="14">
        <v>0</v>
      </c>
      <c r="AB14" s="14">
        <v>6714.5846000000001</v>
      </c>
      <c r="AC14" s="14">
        <v>0</v>
      </c>
      <c r="AD14" s="14">
        <v>248842.2751</v>
      </c>
      <c r="AE14" s="14">
        <v>262600.11210000003</v>
      </c>
      <c r="AF14" s="14">
        <v>295511.15159999998</v>
      </c>
    </row>
    <row r="15" spans="1:32" x14ac:dyDescent="0.2">
      <c r="A15" s="8">
        <v>6</v>
      </c>
      <c r="B15" s="1" t="s">
        <v>12</v>
      </c>
      <c r="C15" s="1"/>
      <c r="D15" s="14">
        <v>0</v>
      </c>
      <c r="E15" s="14">
        <v>0.70279999999999998</v>
      </c>
      <c r="F15" s="14">
        <v>0</v>
      </c>
      <c r="G15" s="14">
        <v>260.53399999999999</v>
      </c>
      <c r="H15" s="14">
        <v>451.93650000000002</v>
      </c>
      <c r="I15" s="14">
        <v>225.15530000000001</v>
      </c>
      <c r="J15" s="14">
        <v>240.37970000000001</v>
      </c>
      <c r="K15" s="14">
        <v>14.549200000000001</v>
      </c>
      <c r="L15" s="14">
        <v>206.56200000000001</v>
      </c>
      <c r="M15" s="14">
        <v>224.2919</v>
      </c>
      <c r="N15" s="14">
        <v>29.042999999999999</v>
      </c>
      <c r="O15" s="14">
        <v>13.6942</v>
      </c>
      <c r="P15" s="14">
        <v>0</v>
      </c>
      <c r="Q15" s="14">
        <v>93.260999999999996</v>
      </c>
      <c r="R15" s="14">
        <v>31.4344</v>
      </c>
      <c r="S15" s="14">
        <v>84.162000000000006</v>
      </c>
      <c r="T15" s="14">
        <v>24.4772</v>
      </c>
      <c r="U15" s="14">
        <v>60.562399999999997</v>
      </c>
      <c r="V15" s="14">
        <v>7.1382000000000003</v>
      </c>
      <c r="W15" s="14">
        <v>28.156400000000001</v>
      </c>
      <c r="X15" s="14">
        <v>1996.0401999999999</v>
      </c>
      <c r="Y15" s="14"/>
      <c r="Z15" s="14">
        <v>13522.9756</v>
      </c>
      <c r="AA15" s="14">
        <v>0</v>
      </c>
      <c r="AB15" s="14">
        <v>19.771000000000001</v>
      </c>
      <c r="AC15" s="14">
        <v>0</v>
      </c>
      <c r="AD15" s="14">
        <v>1670.7121999999999</v>
      </c>
      <c r="AE15" s="14">
        <v>15213.4588</v>
      </c>
      <c r="AF15" s="14">
        <v>17209.498899999999</v>
      </c>
    </row>
    <row r="16" spans="1:32" x14ac:dyDescent="0.2">
      <c r="A16" s="8">
        <v>7</v>
      </c>
      <c r="B16" s="1" t="s">
        <v>141</v>
      </c>
      <c r="C16" s="1"/>
      <c r="D16" s="14">
        <v>2.6080999999999999</v>
      </c>
      <c r="E16" s="14">
        <v>3182.58</v>
      </c>
      <c r="F16" s="14">
        <v>99.235100000000003</v>
      </c>
      <c r="G16" s="14">
        <v>220.672</v>
      </c>
      <c r="H16" s="14">
        <v>26296.932799999999</v>
      </c>
      <c r="I16" s="14">
        <v>776.55790000000002</v>
      </c>
      <c r="J16" s="14">
        <v>90184.174100000004</v>
      </c>
      <c r="K16" s="14">
        <v>11.903499999999999</v>
      </c>
      <c r="L16" s="14">
        <v>103.9867</v>
      </c>
      <c r="M16" s="14">
        <v>1403.3426999999999</v>
      </c>
      <c r="N16" s="14">
        <v>878.08969999999999</v>
      </c>
      <c r="O16" s="14">
        <v>188.58869999999999</v>
      </c>
      <c r="P16" s="14">
        <v>0</v>
      </c>
      <c r="Q16" s="14">
        <v>327.47129999999999</v>
      </c>
      <c r="R16" s="14">
        <v>230.02269999999999</v>
      </c>
      <c r="S16" s="14">
        <v>2609.6064000000001</v>
      </c>
      <c r="T16" s="14">
        <v>81.982299999999995</v>
      </c>
      <c r="U16" s="14">
        <v>57.794400000000003</v>
      </c>
      <c r="V16" s="14">
        <v>31.538</v>
      </c>
      <c r="W16" s="14">
        <v>41.387900000000002</v>
      </c>
      <c r="X16" s="14">
        <v>126728.47440000001</v>
      </c>
      <c r="Y16" s="14"/>
      <c r="Z16" s="14">
        <v>7845.7407999999996</v>
      </c>
      <c r="AA16" s="14">
        <v>29.896000000000001</v>
      </c>
      <c r="AB16" s="14">
        <v>0</v>
      </c>
      <c r="AC16" s="14">
        <v>0</v>
      </c>
      <c r="AD16" s="14">
        <v>192068.17689999999</v>
      </c>
      <c r="AE16" s="14">
        <v>199943.8137</v>
      </c>
      <c r="AF16" s="14">
        <v>326672.28810000001</v>
      </c>
    </row>
    <row r="17" spans="1:32" x14ac:dyDescent="0.2">
      <c r="A17" s="8">
        <v>8</v>
      </c>
      <c r="B17" s="1" t="s">
        <v>142</v>
      </c>
      <c r="C17" s="1"/>
      <c r="D17" s="14">
        <v>0</v>
      </c>
      <c r="E17" s="14">
        <v>34.0182</v>
      </c>
      <c r="F17" s="14">
        <v>6.9633000000000003</v>
      </c>
      <c r="G17" s="14">
        <v>37.916200000000003</v>
      </c>
      <c r="H17" s="14">
        <v>121.63290000000001</v>
      </c>
      <c r="I17" s="14">
        <v>19.744800000000001</v>
      </c>
      <c r="J17" s="14">
        <v>227.63419999999999</v>
      </c>
      <c r="K17" s="14">
        <v>4.9607999999999999</v>
      </c>
      <c r="L17" s="14">
        <v>19.622399999999999</v>
      </c>
      <c r="M17" s="14">
        <v>41.737499999999997</v>
      </c>
      <c r="N17" s="14">
        <v>103.0004</v>
      </c>
      <c r="O17" s="14">
        <v>3.2016</v>
      </c>
      <c r="P17" s="14">
        <v>0</v>
      </c>
      <c r="Q17" s="14">
        <v>61.792999999999999</v>
      </c>
      <c r="R17" s="14">
        <v>27.3935</v>
      </c>
      <c r="S17" s="14">
        <v>90.385099999999994</v>
      </c>
      <c r="T17" s="14">
        <v>9.5616000000000003</v>
      </c>
      <c r="U17" s="14">
        <v>3.9022000000000001</v>
      </c>
      <c r="V17" s="14">
        <v>5.1687000000000003</v>
      </c>
      <c r="W17" s="14">
        <v>12.1037</v>
      </c>
      <c r="X17" s="14">
        <v>830.74</v>
      </c>
      <c r="Y17" s="14"/>
      <c r="Z17" s="14">
        <v>339.29910000000001</v>
      </c>
      <c r="AA17" s="14">
        <v>0</v>
      </c>
      <c r="AB17" s="14">
        <v>0</v>
      </c>
      <c r="AC17" s="14">
        <v>0</v>
      </c>
      <c r="AD17" s="14">
        <v>3367.3139999999999</v>
      </c>
      <c r="AE17" s="14">
        <v>3706.6131</v>
      </c>
      <c r="AF17" s="14">
        <v>4537.3531000000003</v>
      </c>
    </row>
    <row r="18" spans="1:32" x14ac:dyDescent="0.2">
      <c r="A18" s="8">
        <v>9</v>
      </c>
      <c r="B18" s="1" t="s">
        <v>143</v>
      </c>
      <c r="C18" s="1"/>
      <c r="D18" s="14">
        <v>0.30099999999999999</v>
      </c>
      <c r="E18" s="14">
        <v>102.0136</v>
      </c>
      <c r="F18" s="14">
        <v>26.806799999999999</v>
      </c>
      <c r="G18" s="14">
        <v>65.464299999999994</v>
      </c>
      <c r="H18" s="14">
        <v>1010.8156</v>
      </c>
      <c r="I18" s="14">
        <v>84.210899999999995</v>
      </c>
      <c r="J18" s="14">
        <v>776.66759999999999</v>
      </c>
      <c r="K18" s="14">
        <v>14.7582</v>
      </c>
      <c r="L18" s="14">
        <v>125.3668</v>
      </c>
      <c r="M18" s="14">
        <v>246.59049999999999</v>
      </c>
      <c r="N18" s="14">
        <v>790.99749999999995</v>
      </c>
      <c r="O18" s="14">
        <v>78.482799999999997</v>
      </c>
      <c r="P18" s="14">
        <v>0</v>
      </c>
      <c r="Q18" s="14">
        <v>215.07159999999999</v>
      </c>
      <c r="R18" s="14">
        <v>128.12780000000001</v>
      </c>
      <c r="S18" s="14">
        <v>120.2341</v>
      </c>
      <c r="T18" s="14">
        <v>44.188099999999999</v>
      </c>
      <c r="U18" s="14">
        <v>36.454000000000001</v>
      </c>
      <c r="V18" s="14">
        <v>74.0291</v>
      </c>
      <c r="W18" s="14">
        <v>24.707899999999999</v>
      </c>
      <c r="X18" s="14">
        <v>3965.2878999999998</v>
      </c>
      <c r="Y18" s="14"/>
      <c r="Z18" s="14">
        <v>10298.3446</v>
      </c>
      <c r="AA18" s="14">
        <v>246.19900000000001</v>
      </c>
      <c r="AB18" s="14">
        <v>0</v>
      </c>
      <c r="AC18" s="14">
        <v>0</v>
      </c>
      <c r="AD18" s="14">
        <v>2194.4652999999998</v>
      </c>
      <c r="AE18" s="14">
        <v>12739.0088</v>
      </c>
      <c r="AF18" s="14">
        <v>16704.296699999999</v>
      </c>
    </row>
    <row r="19" spans="1:32" x14ac:dyDescent="0.2">
      <c r="A19" s="9">
        <v>10</v>
      </c>
      <c r="B19" s="3" t="s">
        <v>144</v>
      </c>
      <c r="C19" s="3"/>
      <c r="D19" s="15">
        <v>0.16669999999999999</v>
      </c>
      <c r="E19" s="15">
        <v>867.76530000000002</v>
      </c>
      <c r="F19" s="15">
        <v>157.87559999999999</v>
      </c>
      <c r="G19" s="15">
        <v>68.895399999999995</v>
      </c>
      <c r="H19" s="15">
        <v>4343.3078999999998</v>
      </c>
      <c r="I19" s="15">
        <v>258.56180000000001</v>
      </c>
      <c r="J19" s="15">
        <v>1184.2357999999999</v>
      </c>
      <c r="K19" s="15">
        <v>54.68</v>
      </c>
      <c r="L19" s="15">
        <v>69.997799999999998</v>
      </c>
      <c r="M19" s="15">
        <v>43218.725200000001</v>
      </c>
      <c r="N19" s="15">
        <v>5884.2430999999997</v>
      </c>
      <c r="O19" s="15">
        <v>316.90660000000003</v>
      </c>
      <c r="P19" s="15">
        <v>0</v>
      </c>
      <c r="Q19" s="15">
        <v>2931.9465</v>
      </c>
      <c r="R19" s="15">
        <v>305.31400000000002</v>
      </c>
      <c r="S19" s="15">
        <v>3170.9571000000001</v>
      </c>
      <c r="T19" s="15">
        <v>492.40780000000001</v>
      </c>
      <c r="U19" s="15">
        <v>697.89449999999999</v>
      </c>
      <c r="V19" s="15">
        <v>223.3972</v>
      </c>
      <c r="W19" s="15">
        <v>157.46770000000001</v>
      </c>
      <c r="X19" s="15">
        <v>64404.746299999999</v>
      </c>
      <c r="Y19" s="15"/>
      <c r="Z19" s="15">
        <v>5095.1333999999997</v>
      </c>
      <c r="AA19" s="15">
        <v>4.9340000000000002</v>
      </c>
      <c r="AB19" s="15">
        <v>8081.1943000000001</v>
      </c>
      <c r="AC19" s="15">
        <v>0</v>
      </c>
      <c r="AD19" s="15">
        <v>102448.5772</v>
      </c>
      <c r="AE19" s="15">
        <v>115629.8389</v>
      </c>
      <c r="AF19" s="15">
        <v>180034.5852</v>
      </c>
    </row>
    <row r="20" spans="1:32" x14ac:dyDescent="0.2">
      <c r="A20" s="10">
        <v>11</v>
      </c>
      <c r="B20" s="4" t="s">
        <v>145</v>
      </c>
      <c r="C20" s="4"/>
      <c r="D20" s="16">
        <v>3.6999</v>
      </c>
      <c r="E20" s="16">
        <v>2579.3714</v>
      </c>
      <c r="F20" s="16">
        <v>329.02600000000001</v>
      </c>
      <c r="G20" s="16">
        <v>566.6703</v>
      </c>
      <c r="H20" s="16">
        <v>6995.4498000000003</v>
      </c>
      <c r="I20" s="16">
        <v>561.45119999999997</v>
      </c>
      <c r="J20" s="16">
        <v>1694.7491</v>
      </c>
      <c r="K20" s="16">
        <v>155.34530000000001</v>
      </c>
      <c r="L20" s="16">
        <v>161.83320000000001</v>
      </c>
      <c r="M20" s="16">
        <v>1782.4471000000001</v>
      </c>
      <c r="N20" s="16">
        <v>26382.1446</v>
      </c>
      <c r="O20" s="16">
        <v>4941.4210999999996</v>
      </c>
      <c r="P20" s="16">
        <v>638.41650000000004</v>
      </c>
      <c r="Q20" s="16">
        <v>1087.8007</v>
      </c>
      <c r="R20" s="16">
        <v>520.86879999999996</v>
      </c>
      <c r="S20" s="16">
        <v>6314.6881999999996</v>
      </c>
      <c r="T20" s="16">
        <v>156.8443</v>
      </c>
      <c r="U20" s="16">
        <v>288.69540000000001</v>
      </c>
      <c r="V20" s="16">
        <v>129.8047</v>
      </c>
      <c r="W20" s="16">
        <v>100.1872</v>
      </c>
      <c r="X20" s="16">
        <v>55390.914700000001</v>
      </c>
      <c r="Y20" s="16"/>
      <c r="Z20" s="16">
        <v>27856.7749</v>
      </c>
      <c r="AA20" s="16">
        <v>484.90899999999999</v>
      </c>
      <c r="AB20" s="16">
        <v>0</v>
      </c>
      <c r="AC20" s="16">
        <v>0</v>
      </c>
      <c r="AD20" s="16">
        <v>74474.640599999999</v>
      </c>
      <c r="AE20" s="16">
        <v>102816.3245</v>
      </c>
      <c r="AF20" s="16">
        <v>158207.23920000001</v>
      </c>
    </row>
    <row r="21" spans="1:32" x14ac:dyDescent="0.2">
      <c r="A21" s="8">
        <v>12</v>
      </c>
      <c r="B21" s="1" t="s">
        <v>146</v>
      </c>
      <c r="C21" s="1"/>
      <c r="D21" s="14">
        <v>0.17030000000000001</v>
      </c>
      <c r="E21" s="14">
        <v>1492.41</v>
      </c>
      <c r="F21" s="14">
        <v>203.88919999999999</v>
      </c>
      <c r="G21" s="14">
        <v>421.44049999999999</v>
      </c>
      <c r="H21" s="14">
        <v>4980.7816999999995</v>
      </c>
      <c r="I21" s="14">
        <v>3192.232</v>
      </c>
      <c r="J21" s="14">
        <v>1097.0569</v>
      </c>
      <c r="K21" s="14">
        <v>410.56630000000001</v>
      </c>
      <c r="L21" s="14">
        <v>1867.8315</v>
      </c>
      <c r="M21" s="14">
        <v>3231.2831000000001</v>
      </c>
      <c r="N21" s="14">
        <v>3155.5898999999999</v>
      </c>
      <c r="O21" s="14">
        <v>1899.5958000000001</v>
      </c>
      <c r="P21" s="14">
        <v>0</v>
      </c>
      <c r="Q21" s="14">
        <v>2099.4047999999998</v>
      </c>
      <c r="R21" s="14">
        <v>668.72720000000004</v>
      </c>
      <c r="S21" s="14">
        <v>827.83199999999999</v>
      </c>
      <c r="T21" s="14">
        <v>560.3066</v>
      </c>
      <c r="U21" s="14">
        <v>945.68119999999999</v>
      </c>
      <c r="V21" s="14">
        <v>350.1</v>
      </c>
      <c r="W21" s="14">
        <v>746.06579999999997</v>
      </c>
      <c r="X21" s="14">
        <v>28150.964800000002</v>
      </c>
      <c r="Y21" s="14"/>
      <c r="Z21" s="14">
        <v>2723.6889000000001</v>
      </c>
      <c r="AA21" s="14">
        <v>101.745</v>
      </c>
      <c r="AB21" s="14">
        <v>11911.5859</v>
      </c>
      <c r="AC21" s="14">
        <v>0</v>
      </c>
      <c r="AD21" s="14">
        <v>246.5445</v>
      </c>
      <c r="AE21" s="14">
        <v>14983.5643</v>
      </c>
      <c r="AF21" s="14">
        <v>43134.529199999997</v>
      </c>
    </row>
    <row r="22" spans="1:32" x14ac:dyDescent="0.2">
      <c r="A22" s="8">
        <v>13</v>
      </c>
      <c r="B22" s="1" t="s">
        <v>13</v>
      </c>
      <c r="C22" s="1"/>
      <c r="D22" s="14">
        <v>0</v>
      </c>
      <c r="E22" s="14">
        <v>0</v>
      </c>
      <c r="F22" s="14">
        <v>0</v>
      </c>
      <c r="G22" s="14">
        <v>0</v>
      </c>
      <c r="H22" s="14">
        <v>0</v>
      </c>
      <c r="I22" s="14">
        <v>0</v>
      </c>
      <c r="J22" s="14">
        <v>0</v>
      </c>
      <c r="K22" s="14">
        <v>0</v>
      </c>
      <c r="L22" s="14">
        <v>0</v>
      </c>
      <c r="M22" s="14">
        <v>0</v>
      </c>
      <c r="N22" s="14">
        <v>0</v>
      </c>
      <c r="O22" s="14">
        <v>0</v>
      </c>
      <c r="P22" s="14">
        <v>0</v>
      </c>
      <c r="Q22" s="14">
        <v>0</v>
      </c>
      <c r="R22" s="14">
        <v>0</v>
      </c>
      <c r="S22" s="14">
        <v>0</v>
      </c>
      <c r="T22" s="14">
        <v>0</v>
      </c>
      <c r="U22" s="14">
        <v>0</v>
      </c>
      <c r="V22" s="14">
        <v>0</v>
      </c>
      <c r="W22" s="14">
        <v>0</v>
      </c>
      <c r="X22" s="14">
        <v>0</v>
      </c>
      <c r="Y22" s="14"/>
      <c r="Z22" s="14">
        <v>24241.766800000001</v>
      </c>
      <c r="AA22" s="14">
        <v>0</v>
      </c>
      <c r="AB22" s="14">
        <v>0</v>
      </c>
      <c r="AC22" s="14">
        <v>0</v>
      </c>
      <c r="AD22" s="14">
        <v>503.63319999999999</v>
      </c>
      <c r="AE22" s="14">
        <v>24745.4</v>
      </c>
      <c r="AF22" s="14">
        <v>24745.4</v>
      </c>
    </row>
    <row r="23" spans="1:32" x14ac:dyDescent="0.2">
      <c r="A23" s="8">
        <v>14</v>
      </c>
      <c r="B23" s="1" t="s">
        <v>14</v>
      </c>
      <c r="C23" s="1"/>
      <c r="D23" s="14">
        <v>7.1245000000000003</v>
      </c>
      <c r="E23" s="14">
        <v>4872.1374999999998</v>
      </c>
      <c r="F23" s="14">
        <v>273.6585</v>
      </c>
      <c r="G23" s="14">
        <v>925.44730000000004</v>
      </c>
      <c r="H23" s="14">
        <v>13151.8714</v>
      </c>
      <c r="I23" s="14">
        <v>773.38440000000003</v>
      </c>
      <c r="J23" s="14">
        <v>2717.2613999999999</v>
      </c>
      <c r="K23" s="14">
        <v>453.00670000000002</v>
      </c>
      <c r="L23" s="14">
        <v>333.57569999999998</v>
      </c>
      <c r="M23" s="14">
        <v>10381.8676</v>
      </c>
      <c r="N23" s="14">
        <v>6410.2983000000004</v>
      </c>
      <c r="O23" s="14">
        <v>3729.6653999999999</v>
      </c>
      <c r="P23" s="14">
        <v>426.70569999999998</v>
      </c>
      <c r="Q23" s="14">
        <v>6435.4883</v>
      </c>
      <c r="R23" s="14">
        <v>1355.3090999999999</v>
      </c>
      <c r="S23" s="14">
        <v>2234.9160000000002</v>
      </c>
      <c r="T23" s="14">
        <v>659.25930000000005</v>
      </c>
      <c r="U23" s="14">
        <v>640.0444</v>
      </c>
      <c r="V23" s="14">
        <v>428.54520000000002</v>
      </c>
      <c r="W23" s="14">
        <v>398.32749999999999</v>
      </c>
      <c r="X23" s="14">
        <v>56607.894200000002</v>
      </c>
      <c r="Y23" s="14"/>
      <c r="Z23" s="14">
        <v>927.82719999999995</v>
      </c>
      <c r="AA23" s="14">
        <v>1673.6189999999999</v>
      </c>
      <c r="AB23" s="14">
        <v>9338.9935999999998</v>
      </c>
      <c r="AC23" s="14">
        <v>0</v>
      </c>
      <c r="AD23" s="14">
        <v>35304.759100000003</v>
      </c>
      <c r="AE23" s="14">
        <v>47245.199000000001</v>
      </c>
      <c r="AF23" s="14">
        <v>103853.0932</v>
      </c>
    </row>
    <row r="24" spans="1:32" x14ac:dyDescent="0.2">
      <c r="A24" s="8">
        <v>15</v>
      </c>
      <c r="B24" s="1" t="s">
        <v>15</v>
      </c>
      <c r="C24" s="1"/>
      <c r="D24" s="14">
        <v>0.1915</v>
      </c>
      <c r="E24" s="14">
        <v>3071.6887999999999</v>
      </c>
      <c r="F24" s="14">
        <v>397.64960000000002</v>
      </c>
      <c r="G24" s="14">
        <v>837.35860000000002</v>
      </c>
      <c r="H24" s="14">
        <v>5727.0550000000003</v>
      </c>
      <c r="I24" s="14">
        <v>424.0829</v>
      </c>
      <c r="J24" s="14">
        <v>4354.2043999999996</v>
      </c>
      <c r="K24" s="14">
        <v>144.96719999999999</v>
      </c>
      <c r="L24" s="14">
        <v>214.5265</v>
      </c>
      <c r="M24" s="14">
        <v>4434.6124</v>
      </c>
      <c r="N24" s="14">
        <v>1926.3139000000001</v>
      </c>
      <c r="O24" s="14">
        <v>2800.3445999999999</v>
      </c>
      <c r="P24" s="14">
        <v>495.62189999999998</v>
      </c>
      <c r="Q24" s="14">
        <v>1150.0630000000001</v>
      </c>
      <c r="R24" s="14">
        <v>2857.7392</v>
      </c>
      <c r="S24" s="14">
        <v>1470.5654</v>
      </c>
      <c r="T24" s="14">
        <v>409.57690000000002</v>
      </c>
      <c r="U24" s="14">
        <v>968.42290000000003</v>
      </c>
      <c r="V24" s="14">
        <v>284.2337</v>
      </c>
      <c r="W24" s="14">
        <v>184.16149999999999</v>
      </c>
      <c r="X24" s="14">
        <v>32153.379700000001</v>
      </c>
      <c r="Y24" s="14"/>
      <c r="Z24" s="14">
        <v>652.04129999999998</v>
      </c>
      <c r="AA24" s="14">
        <v>29.896000000000001</v>
      </c>
      <c r="AB24" s="14">
        <v>0</v>
      </c>
      <c r="AC24" s="14">
        <v>0</v>
      </c>
      <c r="AD24" s="14">
        <v>12036.1065</v>
      </c>
      <c r="AE24" s="14">
        <v>12718.043900000001</v>
      </c>
      <c r="AF24" s="14">
        <v>44871.423600000002</v>
      </c>
    </row>
    <row r="25" spans="1:32" x14ac:dyDescent="0.2">
      <c r="A25" s="8">
        <v>16</v>
      </c>
      <c r="B25" s="1" t="s">
        <v>147</v>
      </c>
      <c r="C25" s="1"/>
      <c r="D25" s="14">
        <v>1.2999999999999999E-3</v>
      </c>
      <c r="E25" s="14">
        <v>13.471299999999999</v>
      </c>
      <c r="F25" s="14">
        <v>7.3670999999999998</v>
      </c>
      <c r="G25" s="14">
        <v>83.344099999999997</v>
      </c>
      <c r="H25" s="14">
        <v>469.69970000000001</v>
      </c>
      <c r="I25" s="14">
        <v>51.353700000000003</v>
      </c>
      <c r="J25" s="14">
        <v>79.375600000000006</v>
      </c>
      <c r="K25" s="14">
        <v>11.0792</v>
      </c>
      <c r="L25" s="14">
        <v>7.4748000000000001</v>
      </c>
      <c r="M25" s="14">
        <v>268.82389999999998</v>
      </c>
      <c r="N25" s="14">
        <v>239.2765</v>
      </c>
      <c r="O25" s="14">
        <v>318.81169999999997</v>
      </c>
      <c r="P25" s="14">
        <v>0</v>
      </c>
      <c r="Q25" s="14">
        <v>217.17920000000001</v>
      </c>
      <c r="R25" s="14">
        <v>19.6248</v>
      </c>
      <c r="S25" s="14">
        <v>804.66060000000004</v>
      </c>
      <c r="T25" s="14">
        <v>2.0061</v>
      </c>
      <c r="U25" s="14">
        <v>6.2061000000000002</v>
      </c>
      <c r="V25" s="14">
        <v>69.405600000000007</v>
      </c>
      <c r="W25" s="14">
        <v>8.6630000000000003</v>
      </c>
      <c r="X25" s="14">
        <v>2677.8240999999998</v>
      </c>
      <c r="Y25" s="14"/>
      <c r="Z25" s="14">
        <v>366.57839999999999</v>
      </c>
      <c r="AA25" s="14">
        <v>40244.519</v>
      </c>
      <c r="AB25" s="14">
        <v>0</v>
      </c>
      <c r="AC25" s="14">
        <v>0</v>
      </c>
      <c r="AD25" s="14">
        <v>4.0830000000000002</v>
      </c>
      <c r="AE25" s="14">
        <v>40615.180399999997</v>
      </c>
      <c r="AF25" s="14">
        <v>43293.004500000003</v>
      </c>
    </row>
    <row r="26" spans="1:32" x14ac:dyDescent="0.2">
      <c r="A26" s="8">
        <v>17</v>
      </c>
      <c r="B26" s="1" t="s">
        <v>16</v>
      </c>
      <c r="C26" s="1"/>
      <c r="D26" s="14">
        <v>1.0800000000000001E-2</v>
      </c>
      <c r="E26" s="14">
        <v>29.482099999999999</v>
      </c>
      <c r="F26" s="14">
        <v>2.4420999999999999</v>
      </c>
      <c r="G26" s="14">
        <v>2.4704000000000002</v>
      </c>
      <c r="H26" s="14">
        <v>46.277900000000002</v>
      </c>
      <c r="I26" s="14">
        <v>4.7831000000000001</v>
      </c>
      <c r="J26" s="14">
        <v>48.771999999999998</v>
      </c>
      <c r="K26" s="14">
        <v>9.3573000000000004</v>
      </c>
      <c r="L26" s="14">
        <v>6.7991999999999999</v>
      </c>
      <c r="M26" s="14">
        <v>105.319</v>
      </c>
      <c r="N26" s="14">
        <v>49.026299999999999</v>
      </c>
      <c r="O26" s="14">
        <v>9.6379000000000001</v>
      </c>
      <c r="P26" s="14">
        <v>0</v>
      </c>
      <c r="Q26" s="14">
        <v>37.460999999999999</v>
      </c>
      <c r="R26" s="14">
        <v>14.531000000000001</v>
      </c>
      <c r="S26" s="14">
        <v>259.50799999999998</v>
      </c>
      <c r="T26" s="14">
        <v>455.03100000000001</v>
      </c>
      <c r="U26" s="14">
        <v>19.322800000000001</v>
      </c>
      <c r="V26" s="14">
        <v>6.2839</v>
      </c>
      <c r="W26" s="14">
        <v>7.0831999999999997</v>
      </c>
      <c r="X26" s="14">
        <v>1113.5989999999999</v>
      </c>
      <c r="Y26" s="14"/>
      <c r="Z26" s="14">
        <v>7035.1688999999997</v>
      </c>
      <c r="AA26" s="14">
        <v>9864.8708999999999</v>
      </c>
      <c r="AB26" s="14">
        <v>0</v>
      </c>
      <c r="AC26" s="14">
        <v>0</v>
      </c>
      <c r="AD26" s="14">
        <v>2505.7217000000001</v>
      </c>
      <c r="AE26" s="14">
        <v>19405.761500000001</v>
      </c>
      <c r="AF26" s="14">
        <v>20519.360499999999</v>
      </c>
    </row>
    <row r="27" spans="1:32" x14ac:dyDescent="0.2">
      <c r="A27" s="8">
        <v>18</v>
      </c>
      <c r="B27" s="1" t="s">
        <v>17</v>
      </c>
      <c r="C27" s="1"/>
      <c r="D27" s="14">
        <v>1.61E-2</v>
      </c>
      <c r="E27" s="14">
        <v>0</v>
      </c>
      <c r="F27" s="14">
        <v>3.6522000000000001</v>
      </c>
      <c r="G27" s="14">
        <v>6.3693999999999997</v>
      </c>
      <c r="H27" s="14">
        <v>37.0396</v>
      </c>
      <c r="I27" s="14">
        <v>0</v>
      </c>
      <c r="J27" s="14">
        <v>53.029000000000003</v>
      </c>
      <c r="K27" s="14">
        <v>1.4432</v>
      </c>
      <c r="L27" s="14">
        <v>3.3483000000000001</v>
      </c>
      <c r="M27" s="14">
        <v>28.774999999999999</v>
      </c>
      <c r="N27" s="14">
        <v>53.022100000000002</v>
      </c>
      <c r="O27" s="14">
        <v>8.0048999999999992</v>
      </c>
      <c r="P27" s="14">
        <v>0</v>
      </c>
      <c r="Q27" s="14">
        <v>391.80849999999998</v>
      </c>
      <c r="R27" s="14">
        <v>52.8322</v>
      </c>
      <c r="S27" s="14">
        <v>400.68689999999998</v>
      </c>
      <c r="T27" s="14">
        <v>18.253900000000002</v>
      </c>
      <c r="U27" s="14">
        <v>3070.3881000000001</v>
      </c>
      <c r="V27" s="14">
        <v>275.1506</v>
      </c>
      <c r="W27" s="14">
        <v>54.090699999999998</v>
      </c>
      <c r="X27" s="14">
        <v>4457.9107000000004</v>
      </c>
      <c r="Y27" s="14"/>
      <c r="Z27" s="14">
        <v>12899.014499999999</v>
      </c>
      <c r="AA27" s="14">
        <v>9823.6280000000006</v>
      </c>
      <c r="AB27" s="14">
        <v>0</v>
      </c>
      <c r="AC27" s="14">
        <v>0</v>
      </c>
      <c r="AD27" s="14">
        <v>610.93349999999998</v>
      </c>
      <c r="AE27" s="14">
        <v>23333.576000000001</v>
      </c>
      <c r="AF27" s="14">
        <v>27791.4866</v>
      </c>
    </row>
    <row r="28" spans="1:32" x14ac:dyDescent="0.2">
      <c r="A28" s="8">
        <v>19</v>
      </c>
      <c r="B28" s="1" t="s">
        <v>148</v>
      </c>
      <c r="C28" s="1"/>
      <c r="D28" s="14">
        <v>0</v>
      </c>
      <c r="E28" s="14">
        <v>8.8142999999999994</v>
      </c>
      <c r="F28" s="14">
        <v>1.6968000000000001</v>
      </c>
      <c r="G28" s="14">
        <v>61.872199999999999</v>
      </c>
      <c r="H28" s="14">
        <v>89.253100000000003</v>
      </c>
      <c r="I28" s="14">
        <v>37.925699999999999</v>
      </c>
      <c r="J28" s="14">
        <v>46.399299999999997</v>
      </c>
      <c r="K28" s="14">
        <v>6.2027000000000001</v>
      </c>
      <c r="L28" s="14">
        <v>3.6623000000000001</v>
      </c>
      <c r="M28" s="14">
        <v>191.70650000000001</v>
      </c>
      <c r="N28" s="14">
        <v>317.94119999999998</v>
      </c>
      <c r="O28" s="14">
        <v>11.5433</v>
      </c>
      <c r="P28" s="14">
        <v>0</v>
      </c>
      <c r="Q28" s="14">
        <v>65.656400000000005</v>
      </c>
      <c r="R28" s="14">
        <v>54.461799999999997</v>
      </c>
      <c r="S28" s="14">
        <v>18.861599999999999</v>
      </c>
      <c r="T28" s="14">
        <v>213.47370000000001</v>
      </c>
      <c r="U28" s="14">
        <v>17.105799999999999</v>
      </c>
      <c r="V28" s="14">
        <v>312.87959999999998</v>
      </c>
      <c r="W28" s="14">
        <v>18.4373</v>
      </c>
      <c r="X28" s="14">
        <v>1477.8938000000001</v>
      </c>
      <c r="Y28" s="14"/>
      <c r="Z28" s="14">
        <v>3489.0297</v>
      </c>
      <c r="AA28" s="14">
        <v>1227.942</v>
      </c>
      <c r="AB28" s="14">
        <v>0</v>
      </c>
      <c r="AC28" s="14">
        <v>0</v>
      </c>
      <c r="AD28" s="14">
        <v>2377.2473</v>
      </c>
      <c r="AE28" s="14">
        <v>7094.2191000000003</v>
      </c>
      <c r="AF28" s="14">
        <v>8572.1128000000008</v>
      </c>
    </row>
    <row r="29" spans="1:32" x14ac:dyDescent="0.2">
      <c r="A29" s="9">
        <v>20</v>
      </c>
      <c r="B29" s="3" t="s">
        <v>149</v>
      </c>
      <c r="C29" s="3"/>
      <c r="D29" s="15">
        <v>6.9400000000000003E-2</v>
      </c>
      <c r="E29" s="15">
        <v>98.421099999999996</v>
      </c>
      <c r="F29" s="15">
        <v>25.689900000000002</v>
      </c>
      <c r="G29" s="15">
        <v>61.040300000000002</v>
      </c>
      <c r="H29" s="15">
        <v>148.47479999999999</v>
      </c>
      <c r="I29" s="15">
        <v>30.1204</v>
      </c>
      <c r="J29" s="15">
        <v>303.69990000000001</v>
      </c>
      <c r="K29" s="15">
        <v>70.9846</v>
      </c>
      <c r="L29" s="15">
        <v>10.2621</v>
      </c>
      <c r="M29" s="15">
        <v>301.56479999999999</v>
      </c>
      <c r="N29" s="15">
        <v>213.17099999999999</v>
      </c>
      <c r="O29" s="15">
        <v>59.069099999999999</v>
      </c>
      <c r="P29" s="15">
        <v>76.467100000000002</v>
      </c>
      <c r="Q29" s="15">
        <v>129.68289999999999</v>
      </c>
      <c r="R29" s="15">
        <v>115.8844</v>
      </c>
      <c r="S29" s="15">
        <v>329.09179999999998</v>
      </c>
      <c r="T29" s="15">
        <v>164.16540000000001</v>
      </c>
      <c r="U29" s="15">
        <v>179.31549999999999</v>
      </c>
      <c r="V29" s="15">
        <v>159.7715</v>
      </c>
      <c r="W29" s="15">
        <v>105.9037</v>
      </c>
      <c r="X29" s="15">
        <v>2582.8498</v>
      </c>
      <c r="Y29" s="15"/>
      <c r="Z29" s="15">
        <v>7941.1172999999999</v>
      </c>
      <c r="AA29" s="15">
        <v>24.094999999999999</v>
      </c>
      <c r="AB29" s="15">
        <v>0</v>
      </c>
      <c r="AC29" s="15">
        <v>0</v>
      </c>
      <c r="AD29" s="15">
        <v>139.673</v>
      </c>
      <c r="AE29" s="15">
        <v>8104.8852999999999</v>
      </c>
      <c r="AF29" s="15">
        <v>10687.7351</v>
      </c>
    </row>
    <row r="30" spans="1:32" hidden="1" x14ac:dyDescent="0.2">
      <c r="A30" s="11" t="s">
        <v>24</v>
      </c>
      <c r="B30" s="5" t="s">
        <v>61</v>
      </c>
      <c r="C30" s="5"/>
      <c r="D30" s="17">
        <v>285.55900000000003</v>
      </c>
      <c r="E30" s="17">
        <v>116601.8778</v>
      </c>
      <c r="F30" s="17">
        <v>6224.4898999999996</v>
      </c>
      <c r="G30" s="17">
        <v>36703.108800000002</v>
      </c>
      <c r="H30" s="17">
        <v>72703.560800000007</v>
      </c>
      <c r="I30" s="17">
        <v>7520.8625000000002</v>
      </c>
      <c r="J30" s="17">
        <v>122005.0104</v>
      </c>
      <c r="K30" s="17">
        <v>2214.444</v>
      </c>
      <c r="L30" s="17">
        <v>6368.1041999999998</v>
      </c>
      <c r="M30" s="17">
        <v>78834.401199999993</v>
      </c>
      <c r="N30" s="17">
        <v>47551.516499999998</v>
      </c>
      <c r="O30" s="17">
        <v>18937.9892</v>
      </c>
      <c r="P30" s="17">
        <v>4246.1000000000004</v>
      </c>
      <c r="Q30" s="17">
        <v>24144.3226</v>
      </c>
      <c r="R30" s="17">
        <v>8088.8253999999997</v>
      </c>
      <c r="S30" s="17">
        <v>23375.6299</v>
      </c>
      <c r="T30" s="17">
        <v>4708.9521999999997</v>
      </c>
      <c r="U30" s="17">
        <v>9858.1422999999995</v>
      </c>
      <c r="V30" s="17">
        <v>3059.9477999999999</v>
      </c>
      <c r="W30" s="17">
        <v>2751.02</v>
      </c>
      <c r="X30" s="17">
        <v>596183.86450000003</v>
      </c>
      <c r="Y30" s="17"/>
      <c r="Z30" s="17">
        <v>141713.28880000001</v>
      </c>
      <c r="AA30" s="17">
        <v>64865.605900000002</v>
      </c>
      <c r="AB30" s="17">
        <v>85622.262400000007</v>
      </c>
      <c r="AC30" s="17">
        <v>2906.3222000000001</v>
      </c>
      <c r="AD30" s="17">
        <v>995920.71609999996</v>
      </c>
      <c r="AE30" s="17">
        <v>1291028.1953</v>
      </c>
      <c r="AF30" s="17">
        <v>1887212.0599</v>
      </c>
    </row>
    <row r="31" spans="1:32" x14ac:dyDescent="0.2">
      <c r="A31" s="8">
        <v>21</v>
      </c>
      <c r="B31" s="1" t="s">
        <v>19</v>
      </c>
      <c r="C31" s="1"/>
      <c r="D31" s="14">
        <v>270.0788</v>
      </c>
      <c r="E31" s="14">
        <v>221440.52179999999</v>
      </c>
      <c r="F31" s="14">
        <v>9260.5838000000003</v>
      </c>
      <c r="G31" s="14">
        <v>13127.0746</v>
      </c>
      <c r="H31" s="14">
        <v>101411.4317</v>
      </c>
      <c r="I31" s="14">
        <v>1299.8157000000001</v>
      </c>
      <c r="J31" s="14">
        <v>116756.60890000001</v>
      </c>
      <c r="K31" s="14">
        <v>643.04909999999995</v>
      </c>
      <c r="L31" s="14">
        <v>3208.2932999999998</v>
      </c>
      <c r="M31" s="14">
        <v>69020.604900000006</v>
      </c>
      <c r="N31" s="14">
        <v>39786.058599999997</v>
      </c>
      <c r="O31" s="14">
        <v>919.5181</v>
      </c>
      <c r="P31" s="14">
        <v>0</v>
      </c>
      <c r="Q31" s="14">
        <v>19896.1577</v>
      </c>
      <c r="R31" s="14">
        <v>3656.8607000000002</v>
      </c>
      <c r="S31" s="14">
        <v>8479.5817999999999</v>
      </c>
      <c r="T31" s="14">
        <v>1459.4719</v>
      </c>
      <c r="U31" s="14">
        <v>2790.0219000000002</v>
      </c>
      <c r="V31" s="14">
        <v>682.12099999999998</v>
      </c>
      <c r="W31" s="14">
        <v>1122.1242999999999</v>
      </c>
      <c r="X31" s="14">
        <v>615229.97849999997</v>
      </c>
      <c r="Y31" s="14"/>
      <c r="Z31" s="14">
        <v>38879.940399999999</v>
      </c>
      <c r="AA31" s="14">
        <v>0</v>
      </c>
      <c r="AB31" s="14">
        <v>51819.945299999999</v>
      </c>
      <c r="AC31" s="14">
        <v>7334.8778000000002</v>
      </c>
      <c r="AD31" s="14">
        <v>332876.68609999999</v>
      </c>
      <c r="AE31" s="14">
        <v>430911.44959999999</v>
      </c>
      <c r="AF31" s="14">
        <v>1046141.4282</v>
      </c>
    </row>
    <row r="32" spans="1:32" x14ac:dyDescent="0.2">
      <c r="A32" s="9">
        <v>22</v>
      </c>
      <c r="B32" s="3" t="s">
        <v>62</v>
      </c>
      <c r="C32" s="3"/>
      <c r="D32" s="15">
        <v>2.7355</v>
      </c>
      <c r="E32" s="15">
        <v>182.24189999999999</v>
      </c>
      <c r="F32" s="15">
        <v>215.0515</v>
      </c>
      <c r="G32" s="15">
        <v>34.3005</v>
      </c>
      <c r="H32" s="15">
        <v>112.8329</v>
      </c>
      <c r="I32" s="15">
        <v>22.488199999999999</v>
      </c>
      <c r="J32" s="15">
        <v>503.91750000000002</v>
      </c>
      <c r="K32" s="15">
        <v>24.4313</v>
      </c>
      <c r="L32" s="15">
        <v>402.78149999999999</v>
      </c>
      <c r="M32" s="15">
        <v>817.32119999999998</v>
      </c>
      <c r="N32" s="15">
        <v>1617.6438000000001</v>
      </c>
      <c r="O32" s="15">
        <v>396.04160000000002</v>
      </c>
      <c r="P32" s="15">
        <v>0</v>
      </c>
      <c r="Q32" s="15">
        <v>164.0402</v>
      </c>
      <c r="R32" s="15">
        <v>30.628900000000002</v>
      </c>
      <c r="S32" s="15">
        <v>212.4314</v>
      </c>
      <c r="T32" s="15">
        <v>144.44630000000001</v>
      </c>
      <c r="U32" s="15">
        <v>810.92460000000005</v>
      </c>
      <c r="V32" s="15">
        <v>109.37860000000001</v>
      </c>
      <c r="W32" s="15">
        <v>33.206800000000001</v>
      </c>
      <c r="X32" s="15">
        <v>5836.8441000000003</v>
      </c>
      <c r="Y32" s="15"/>
      <c r="Z32" s="15">
        <v>17704.1129</v>
      </c>
      <c r="AA32" s="15">
        <v>0</v>
      </c>
      <c r="AB32" s="15">
        <v>8263.7428999999993</v>
      </c>
      <c r="AC32" s="15">
        <v>0</v>
      </c>
      <c r="AD32" s="15">
        <v>0</v>
      </c>
      <c r="AE32" s="15">
        <v>25967.855899999999</v>
      </c>
      <c r="AF32" s="15">
        <v>31804.7</v>
      </c>
    </row>
    <row r="33" spans="1:33" hidden="1" x14ac:dyDescent="0.2">
      <c r="A33" s="11" t="s">
        <v>25</v>
      </c>
      <c r="B33" s="5" t="s">
        <v>42</v>
      </c>
      <c r="C33" s="5"/>
      <c r="D33" s="17">
        <v>558.37339999999995</v>
      </c>
      <c r="E33" s="17">
        <v>338224.64140000002</v>
      </c>
      <c r="F33" s="17">
        <v>15700.1253</v>
      </c>
      <c r="G33" s="17">
        <v>49864.483899999999</v>
      </c>
      <c r="H33" s="17">
        <v>174227.8254</v>
      </c>
      <c r="I33" s="17">
        <v>8843.1664000000001</v>
      </c>
      <c r="J33" s="17">
        <v>239265.5367</v>
      </c>
      <c r="K33" s="17">
        <v>2881.9243000000001</v>
      </c>
      <c r="L33" s="17">
        <v>9979.1789000000008</v>
      </c>
      <c r="M33" s="17">
        <v>148672.32740000001</v>
      </c>
      <c r="N33" s="17">
        <v>88955.218900000007</v>
      </c>
      <c r="O33" s="17">
        <v>20253.548900000002</v>
      </c>
      <c r="P33" s="17">
        <v>4246.1000000000004</v>
      </c>
      <c r="Q33" s="17">
        <v>44204.520499999999</v>
      </c>
      <c r="R33" s="17">
        <v>11776.315000000001</v>
      </c>
      <c r="S33" s="17">
        <v>32067.643199999999</v>
      </c>
      <c r="T33" s="17">
        <v>6312.8705</v>
      </c>
      <c r="U33" s="17">
        <v>13459.0887</v>
      </c>
      <c r="V33" s="17">
        <v>3851.4474</v>
      </c>
      <c r="W33" s="17">
        <v>3906.3510000000001</v>
      </c>
      <c r="X33" s="17">
        <v>1217250.6872</v>
      </c>
      <c r="Y33" s="17"/>
      <c r="Z33" s="17">
        <v>198297.34210000001</v>
      </c>
      <c r="AA33" s="17">
        <v>64865.605900000002</v>
      </c>
      <c r="AB33" s="17">
        <v>145705.95060000001</v>
      </c>
      <c r="AC33" s="17">
        <v>10241.200000000001</v>
      </c>
      <c r="AD33" s="17">
        <v>1328797.4021999999</v>
      </c>
      <c r="AE33" s="17">
        <v>1747907.5008</v>
      </c>
      <c r="AF33" s="17">
        <v>2965158.1880000001</v>
      </c>
    </row>
    <row r="34" spans="1:33" x14ac:dyDescent="0.2">
      <c r="A34" s="8">
        <v>23</v>
      </c>
      <c r="B34" s="1" t="s">
        <v>49</v>
      </c>
      <c r="C34" s="1"/>
      <c r="D34" s="14">
        <v>86.7</v>
      </c>
      <c r="E34" s="14">
        <v>28875.404900000001</v>
      </c>
      <c r="F34" s="14">
        <v>1862.0463999999999</v>
      </c>
      <c r="G34" s="14">
        <v>14884.0851</v>
      </c>
      <c r="H34" s="14">
        <v>26128.797699999999</v>
      </c>
      <c r="I34" s="14">
        <v>5168.4458999999997</v>
      </c>
      <c r="J34" s="14">
        <v>15083.0191</v>
      </c>
      <c r="K34" s="14">
        <v>1620.6025999999999</v>
      </c>
      <c r="L34" s="14">
        <v>3824.9321</v>
      </c>
      <c r="M34" s="14">
        <v>23450.095000000001</v>
      </c>
      <c r="N34" s="14">
        <v>34374.253900000003</v>
      </c>
      <c r="O34" s="14">
        <v>3492.3346000000001</v>
      </c>
      <c r="P34" s="14">
        <v>0</v>
      </c>
      <c r="Q34" s="14">
        <v>26688.5085</v>
      </c>
      <c r="R34" s="14">
        <v>9623.9709999999995</v>
      </c>
      <c r="S34" s="14">
        <v>14524.275100000001</v>
      </c>
      <c r="T34" s="14">
        <v>12878.346799999999</v>
      </c>
      <c r="U34" s="14">
        <v>13655.9414</v>
      </c>
      <c r="V34" s="14">
        <v>2367.5585999999998</v>
      </c>
      <c r="W34" s="14">
        <v>5624.6018000000004</v>
      </c>
      <c r="X34" s="14">
        <v>244213.9203</v>
      </c>
      <c r="Y34" s="14"/>
      <c r="Z34" s="14">
        <v>0</v>
      </c>
      <c r="AA34" s="14">
        <v>0</v>
      </c>
      <c r="AB34" s="14">
        <v>0</v>
      </c>
      <c r="AC34" s="14">
        <v>0</v>
      </c>
      <c r="AD34" s="14">
        <v>0</v>
      </c>
      <c r="AE34" s="14">
        <v>0</v>
      </c>
      <c r="AF34" s="14">
        <v>244213.9203</v>
      </c>
      <c r="AG34" s="45"/>
    </row>
    <row r="35" spans="1:33" x14ac:dyDescent="0.2">
      <c r="A35" s="8">
        <v>24</v>
      </c>
      <c r="B35" s="1" t="s">
        <v>50</v>
      </c>
      <c r="C35" s="1"/>
      <c r="D35" s="14">
        <v>6.4</v>
      </c>
      <c r="E35" s="14">
        <v>859.5</v>
      </c>
      <c r="F35" s="14">
        <v>270.7</v>
      </c>
      <c r="G35" s="14">
        <v>1728.8</v>
      </c>
      <c r="H35" s="14">
        <v>-91.1</v>
      </c>
      <c r="I35" s="14">
        <v>-64.099999999999994</v>
      </c>
      <c r="J35" s="14">
        <v>412.4</v>
      </c>
      <c r="K35" s="14">
        <v>81.900000000000006</v>
      </c>
      <c r="L35" s="14">
        <v>-221.3</v>
      </c>
      <c r="M35" s="14">
        <v>-57.3</v>
      </c>
      <c r="N35" s="14">
        <v>-99</v>
      </c>
      <c r="O35" s="14">
        <v>1781.9</v>
      </c>
      <c r="P35" s="14">
        <v>1128.9000000000001</v>
      </c>
      <c r="Q35" s="14">
        <v>-394.6</v>
      </c>
      <c r="R35" s="14">
        <v>-145.4</v>
      </c>
      <c r="S35" s="14">
        <v>24.3</v>
      </c>
      <c r="T35" s="14">
        <v>-119.7</v>
      </c>
      <c r="U35" s="14">
        <v>-66.099999999999994</v>
      </c>
      <c r="V35" s="14">
        <v>165.7</v>
      </c>
      <c r="W35" s="14">
        <v>331.4</v>
      </c>
      <c r="X35" s="14">
        <v>5533.3</v>
      </c>
      <c r="Y35" s="14"/>
      <c r="Z35" s="14">
        <v>0</v>
      </c>
      <c r="AA35" s="14">
        <v>0</v>
      </c>
      <c r="AB35" s="14">
        <v>0</v>
      </c>
      <c r="AC35" s="14">
        <v>0</v>
      </c>
      <c r="AD35" s="14">
        <v>0</v>
      </c>
      <c r="AE35" s="14">
        <v>0</v>
      </c>
      <c r="AF35" s="14">
        <v>5533.3</v>
      </c>
      <c r="AG35" s="45"/>
    </row>
    <row r="36" spans="1:33" x14ac:dyDescent="0.2">
      <c r="A36" s="9">
        <v>25</v>
      </c>
      <c r="B36" s="3" t="s">
        <v>51</v>
      </c>
      <c r="C36" s="3"/>
      <c r="D36" s="15">
        <v>90.525199999999998</v>
      </c>
      <c r="E36" s="15">
        <v>108658.2637</v>
      </c>
      <c r="F36" s="15">
        <v>6044.2293</v>
      </c>
      <c r="G36" s="15">
        <v>4607.6813000000002</v>
      </c>
      <c r="H36" s="15">
        <v>115761.836</v>
      </c>
      <c r="I36" s="15">
        <v>2850.8198000000002</v>
      </c>
      <c r="J36" s="15">
        <v>65383.8289</v>
      </c>
      <c r="K36" s="15">
        <v>1952.9903999999999</v>
      </c>
      <c r="L36" s="15">
        <v>1227.3981000000001</v>
      </c>
      <c r="M36" s="15">
        <v>10610.683300000001</v>
      </c>
      <c r="N36" s="15">
        <v>46466.165000000001</v>
      </c>
      <c r="O36" s="15">
        <v>13428.9259</v>
      </c>
      <c r="P36" s="15">
        <v>19370.400000000001</v>
      </c>
      <c r="Q36" s="15">
        <v>7362.4804999999997</v>
      </c>
      <c r="R36" s="15">
        <v>8967.1802000000007</v>
      </c>
      <c r="S36" s="15">
        <v>672.77160000000003</v>
      </c>
      <c r="T36" s="15">
        <v>2857.6432</v>
      </c>
      <c r="U36" s="15">
        <v>1357.2032999999999</v>
      </c>
      <c r="V36" s="15">
        <v>2246.2802000000001</v>
      </c>
      <c r="W36" s="15">
        <v>296.84640000000002</v>
      </c>
      <c r="X36" s="15">
        <v>420214.15240000002</v>
      </c>
      <c r="Y36" s="15"/>
      <c r="Z36" s="15">
        <v>0</v>
      </c>
      <c r="AA36" s="15">
        <v>0</v>
      </c>
      <c r="AB36" s="15">
        <v>0</v>
      </c>
      <c r="AC36" s="15">
        <v>0</v>
      </c>
      <c r="AD36" s="15">
        <v>0</v>
      </c>
      <c r="AE36" s="15">
        <v>0</v>
      </c>
      <c r="AF36" s="15">
        <v>420214.15240000002</v>
      </c>
      <c r="AG36" s="45"/>
    </row>
    <row r="37" spans="1:33" hidden="1" x14ac:dyDescent="0.2">
      <c r="A37" s="11" t="s">
        <v>44</v>
      </c>
      <c r="B37" s="5" t="s">
        <v>52</v>
      </c>
      <c r="C37" s="5"/>
      <c r="D37" s="17">
        <v>183.62520000000001</v>
      </c>
      <c r="E37" s="17">
        <v>138393.1686</v>
      </c>
      <c r="F37" s="17">
        <v>8176.9758000000002</v>
      </c>
      <c r="G37" s="17">
        <v>21220.5664</v>
      </c>
      <c r="H37" s="17">
        <v>141799.5337</v>
      </c>
      <c r="I37" s="17">
        <v>7955.1656000000003</v>
      </c>
      <c r="J37" s="17">
        <v>80879.248000000007</v>
      </c>
      <c r="K37" s="17">
        <v>3655.4929999999999</v>
      </c>
      <c r="L37" s="17">
        <v>4831.0300999999999</v>
      </c>
      <c r="M37" s="17">
        <v>34003.478300000002</v>
      </c>
      <c r="N37" s="17">
        <v>80741.418999999994</v>
      </c>
      <c r="O37" s="17">
        <v>18703.160500000002</v>
      </c>
      <c r="P37" s="17">
        <v>20499.3</v>
      </c>
      <c r="Q37" s="17">
        <v>33656.389000000003</v>
      </c>
      <c r="R37" s="17">
        <v>18445.751199999999</v>
      </c>
      <c r="S37" s="17">
        <v>15221.346600000001</v>
      </c>
      <c r="T37" s="17">
        <v>15616.29</v>
      </c>
      <c r="U37" s="17">
        <v>14947.0447</v>
      </c>
      <c r="V37" s="17">
        <v>4779.5387000000001</v>
      </c>
      <c r="W37" s="17">
        <v>6252.8482000000004</v>
      </c>
      <c r="X37" s="17">
        <v>669961.37269999995</v>
      </c>
      <c r="Y37" s="17"/>
      <c r="Z37" s="17">
        <v>0</v>
      </c>
      <c r="AA37" s="17">
        <v>0</v>
      </c>
      <c r="AB37" s="17">
        <v>0</v>
      </c>
      <c r="AC37" s="17">
        <v>0</v>
      </c>
      <c r="AD37" s="17">
        <v>0</v>
      </c>
      <c r="AE37" s="17">
        <v>0</v>
      </c>
      <c r="AF37" s="17">
        <v>669961.37269999995</v>
      </c>
      <c r="AG37" s="45"/>
    </row>
    <row r="38" spans="1:33" ht="16" thickBot="1" x14ac:dyDescent="0.25">
      <c r="A38" s="12" t="s">
        <v>45</v>
      </c>
      <c r="B38" s="6" t="s">
        <v>53</v>
      </c>
      <c r="C38" s="6"/>
      <c r="D38" s="18">
        <v>741.99860000000001</v>
      </c>
      <c r="E38" s="18">
        <v>476617.81</v>
      </c>
      <c r="F38" s="18">
        <v>23877.1011</v>
      </c>
      <c r="G38" s="18">
        <v>71085.050199999998</v>
      </c>
      <c r="H38" s="18">
        <v>316027.3591</v>
      </c>
      <c r="I38" s="18">
        <v>16798.331999999999</v>
      </c>
      <c r="J38" s="18">
        <v>320144.78480000002</v>
      </c>
      <c r="K38" s="18">
        <v>6537.4173000000001</v>
      </c>
      <c r="L38" s="18">
        <v>14810.2091</v>
      </c>
      <c r="M38" s="18">
        <v>182675.8057</v>
      </c>
      <c r="N38" s="18">
        <v>169696.6379</v>
      </c>
      <c r="O38" s="18">
        <v>38956.7094</v>
      </c>
      <c r="P38" s="18">
        <v>24745.4</v>
      </c>
      <c r="Q38" s="18">
        <v>77860.909499999994</v>
      </c>
      <c r="R38" s="18">
        <v>30222.066200000001</v>
      </c>
      <c r="S38" s="18">
        <v>47288.989800000003</v>
      </c>
      <c r="T38" s="18">
        <v>21929.160500000002</v>
      </c>
      <c r="U38" s="18">
        <v>28406.133399999999</v>
      </c>
      <c r="V38" s="18">
        <v>8630.9861000000001</v>
      </c>
      <c r="W38" s="18">
        <v>10159.1993</v>
      </c>
      <c r="X38" s="18">
        <v>1887212.0599</v>
      </c>
      <c r="Y38" s="18"/>
      <c r="Z38" s="18">
        <v>198297.34210000001</v>
      </c>
      <c r="AA38" s="18">
        <v>64865.605900000002</v>
      </c>
      <c r="AB38" s="18">
        <v>145705.95060000001</v>
      </c>
      <c r="AC38" s="18">
        <v>10241.200000000001</v>
      </c>
      <c r="AD38" s="18">
        <v>1328797.4021999999</v>
      </c>
      <c r="AE38" s="18">
        <v>1747907.5008</v>
      </c>
      <c r="AF38" s="18">
        <v>3635119.5606999998</v>
      </c>
    </row>
    <row r="39" spans="1:33" x14ac:dyDescent="0.2">
      <c r="D39" s="49"/>
      <c r="E39" s="49"/>
      <c r="F39" s="49"/>
      <c r="G39" s="49"/>
      <c r="H39" s="49"/>
      <c r="I39" s="49"/>
      <c r="J39" s="49"/>
      <c r="K39" s="49"/>
      <c r="L39" s="49"/>
      <c r="M39" s="49"/>
      <c r="N39" s="49"/>
      <c r="O39" s="49"/>
      <c r="P39" s="49"/>
      <c r="Q39" s="49"/>
      <c r="R39" s="49"/>
      <c r="S39" s="49"/>
      <c r="T39" s="49"/>
      <c r="U39" s="49"/>
      <c r="V39" s="49"/>
      <c r="W39" s="49"/>
      <c r="AF39" s="52"/>
    </row>
    <row r="40" spans="1:33" x14ac:dyDescent="0.2">
      <c r="D40" s="45"/>
      <c r="E40" s="45"/>
      <c r="F40" s="45"/>
      <c r="G40" s="45"/>
      <c r="H40" s="45"/>
      <c r="I40" s="45"/>
      <c r="J40" s="45"/>
      <c r="K40" s="45"/>
      <c r="L40" s="45"/>
      <c r="M40" s="45"/>
      <c r="N40" s="45"/>
      <c r="O40" s="45"/>
      <c r="P40" s="45"/>
      <c r="Q40" s="45"/>
      <c r="R40" s="45"/>
      <c r="S40" s="45"/>
      <c r="T40" s="45"/>
      <c r="U40" s="45"/>
      <c r="V40" s="45"/>
      <c r="W40" s="45"/>
      <c r="X40" s="45"/>
      <c r="Z40" s="45"/>
      <c r="AA40" s="45"/>
      <c r="AB40" s="45"/>
      <c r="AC40" s="45"/>
      <c r="AD40" s="45"/>
      <c r="AE40" s="45"/>
    </row>
    <row r="41" spans="1:33" x14ac:dyDescent="0.2">
      <c r="D41" s="45"/>
      <c r="E41" s="45"/>
      <c r="F41" s="45"/>
      <c r="G41" s="45"/>
      <c r="H41" s="45"/>
      <c r="I41" s="45"/>
      <c r="J41" s="45"/>
      <c r="K41" s="45"/>
      <c r="L41" s="45"/>
      <c r="M41" s="45"/>
      <c r="N41" s="45"/>
      <c r="O41" s="45"/>
      <c r="P41" s="45"/>
      <c r="Q41" s="45"/>
      <c r="R41" s="45"/>
      <c r="S41" s="45"/>
      <c r="T41" s="45"/>
      <c r="U41" s="45"/>
      <c r="V41" s="45"/>
      <c r="W41" s="45"/>
      <c r="X41" s="45"/>
    </row>
    <row r="42" spans="1:33" x14ac:dyDescent="0.2">
      <c r="D42" s="45"/>
      <c r="E42" s="45"/>
      <c r="F42" s="45"/>
      <c r="G42" s="45"/>
      <c r="H42" s="45"/>
      <c r="I42" s="45"/>
      <c r="J42" s="45"/>
      <c r="K42" s="45"/>
      <c r="L42" s="45"/>
      <c r="M42" s="45"/>
      <c r="N42" s="45"/>
      <c r="O42" s="45"/>
      <c r="P42" s="45"/>
      <c r="Q42" s="45"/>
      <c r="R42" s="45"/>
      <c r="S42" s="45"/>
      <c r="T42" s="45"/>
      <c r="U42" s="45"/>
      <c r="V42" s="45"/>
      <c r="W42" s="45"/>
      <c r="X42" s="45"/>
    </row>
    <row r="43" spans="1:33" x14ac:dyDescent="0.2">
      <c r="D43" s="45"/>
      <c r="E43" s="45"/>
      <c r="F43" s="45"/>
      <c r="G43" s="45"/>
      <c r="H43" s="45"/>
      <c r="I43" s="45"/>
      <c r="J43" s="45"/>
      <c r="K43" s="45"/>
      <c r="L43" s="45"/>
      <c r="M43" s="45"/>
      <c r="N43" s="45"/>
      <c r="O43" s="45"/>
      <c r="P43" s="45"/>
      <c r="Q43" s="45"/>
      <c r="R43" s="45"/>
      <c r="S43" s="45"/>
      <c r="T43" s="45"/>
      <c r="U43" s="45"/>
      <c r="V43" s="45"/>
      <c r="W43" s="45"/>
      <c r="X43" s="45"/>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C9DBB-A0D8-4A6B-9B74-75A7BD20D980}">
  <dimension ref="A1:AH30"/>
  <sheetViews>
    <sheetView zoomScale="125" workbookViewId="0">
      <pane xSplit="3" ySplit="9" topLeftCell="D11" activePane="bottomRight" state="frozenSplit"/>
      <selection pane="topRight" activeCell="D1" sqref="D1"/>
      <selection pane="bottomLeft" activeCell="A10" sqref="A10"/>
      <selection pane="bottomRight" activeCell="D10" sqref="D10:W30 Z10:AD30 AF10:AF30"/>
    </sheetView>
  </sheetViews>
  <sheetFormatPr baseColWidth="10" defaultColWidth="8.83203125" defaultRowHeight="15" x14ac:dyDescent="0.2"/>
  <cols>
    <col min="1" max="1" width="4.6640625" customWidth="1"/>
    <col min="2" max="2" width="40.6640625" customWidth="1"/>
    <col min="4" max="23" width="12.6640625" customWidth="1"/>
    <col min="24" max="25" width="12.6640625" hidden="1" customWidth="1"/>
    <col min="26" max="30" width="12.6640625" customWidth="1"/>
    <col min="31" max="31" width="12.6640625" hidden="1" customWidth="1"/>
    <col min="32" max="32" width="12.6640625" customWidth="1"/>
  </cols>
  <sheetData>
    <row r="1" spans="1:34" x14ac:dyDescent="0.2">
      <c r="A1" s="1" t="s">
        <v>66</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4" x14ac:dyDescent="0.2">
      <c r="A2" s="50" t="s">
        <v>138</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4" x14ac:dyDescent="0.2">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row>
    <row r="4" spans="1:34" ht="16" thickBot="1" x14ac:dyDescent="0.25">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row>
    <row r="5" spans="1:34" x14ac:dyDescent="0.2">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row>
    <row r="6" spans="1:34" ht="80.25" customHeight="1" x14ac:dyDescent="0.2">
      <c r="A6" s="1"/>
      <c r="B6" s="1"/>
      <c r="C6" s="1" t="s">
        <v>33</v>
      </c>
      <c r="D6" s="1" t="s">
        <v>140</v>
      </c>
      <c r="E6" s="1" t="s">
        <v>8</v>
      </c>
      <c r="F6" s="1" t="s">
        <v>9</v>
      </c>
      <c r="G6" s="1" t="s">
        <v>10</v>
      </c>
      <c r="H6" s="1" t="s">
        <v>11</v>
      </c>
      <c r="I6" s="1" t="s">
        <v>12</v>
      </c>
      <c r="J6" s="1" t="s">
        <v>141</v>
      </c>
      <c r="K6" s="1" t="s">
        <v>142</v>
      </c>
      <c r="L6" s="1" t="s">
        <v>143</v>
      </c>
      <c r="M6" s="1" t="s">
        <v>144</v>
      </c>
      <c r="N6" s="1" t="s">
        <v>145</v>
      </c>
      <c r="O6" s="1" t="s">
        <v>146</v>
      </c>
      <c r="P6" s="1" t="s">
        <v>13</v>
      </c>
      <c r="Q6" s="1" t="s">
        <v>14</v>
      </c>
      <c r="R6" s="1" t="s">
        <v>15</v>
      </c>
      <c r="S6" s="1" t="s">
        <v>147</v>
      </c>
      <c r="T6" s="1" t="s">
        <v>16</v>
      </c>
      <c r="U6" s="1" t="s">
        <v>17</v>
      </c>
      <c r="V6" s="1" t="s">
        <v>148</v>
      </c>
      <c r="W6" s="1" t="s">
        <v>149</v>
      </c>
      <c r="X6" s="1" t="s">
        <v>58</v>
      </c>
      <c r="Y6" s="1" t="s">
        <v>35</v>
      </c>
      <c r="Z6" s="1" t="s">
        <v>36</v>
      </c>
      <c r="AA6" s="1" t="s">
        <v>37</v>
      </c>
      <c r="AB6" s="1" t="s">
        <v>38</v>
      </c>
      <c r="AC6" s="1" t="s">
        <v>39</v>
      </c>
      <c r="AD6" s="1" t="s">
        <v>67</v>
      </c>
      <c r="AE6" s="1" t="s">
        <v>59</v>
      </c>
      <c r="AF6" s="1" t="s">
        <v>60</v>
      </c>
    </row>
    <row r="7" spans="1:34" x14ac:dyDescent="0.2">
      <c r="A7" s="1"/>
      <c r="B7" s="1"/>
      <c r="C7" s="3"/>
      <c r="D7" s="3"/>
      <c r="E7" s="3"/>
      <c r="F7" s="3"/>
      <c r="G7" s="3"/>
      <c r="H7" s="3"/>
      <c r="I7" s="3"/>
      <c r="J7" s="3"/>
      <c r="K7" s="3"/>
      <c r="L7" s="3"/>
      <c r="M7" s="3"/>
      <c r="N7" s="3"/>
      <c r="O7" s="3"/>
      <c r="P7" s="3"/>
      <c r="Q7" s="3"/>
      <c r="R7" s="3"/>
      <c r="S7" s="3"/>
      <c r="T7" s="3"/>
      <c r="U7" s="3"/>
      <c r="V7" s="3"/>
      <c r="W7" s="3"/>
      <c r="X7" s="3"/>
      <c r="Y7" s="3"/>
      <c r="Z7" s="3"/>
      <c r="AA7" s="3"/>
      <c r="AB7" s="3"/>
      <c r="AC7" s="3"/>
      <c r="AD7" s="3"/>
      <c r="AE7" s="3"/>
      <c r="AF7" s="3"/>
    </row>
    <row r="8" spans="1:34" x14ac:dyDescent="0.2">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row>
    <row r="9" spans="1:34" ht="16" thickBot="1" x14ac:dyDescent="0.25">
      <c r="A9" s="7"/>
      <c r="B9" s="2" t="s">
        <v>43</v>
      </c>
      <c r="C9" s="2"/>
      <c r="D9" s="7">
        <v>1</v>
      </c>
      <c r="E9" s="7">
        <v>2</v>
      </c>
      <c r="F9" s="7">
        <v>3</v>
      </c>
      <c r="G9" s="7">
        <v>4</v>
      </c>
      <c r="H9" s="7">
        <v>5</v>
      </c>
      <c r="I9" s="7">
        <v>6</v>
      </c>
      <c r="J9" s="7">
        <v>7</v>
      </c>
      <c r="K9" s="7">
        <v>8</v>
      </c>
      <c r="L9" s="7">
        <v>9</v>
      </c>
      <c r="M9" s="7">
        <v>10</v>
      </c>
      <c r="N9" s="7">
        <v>11</v>
      </c>
      <c r="O9" s="7">
        <v>12</v>
      </c>
      <c r="P9" s="7">
        <v>13</v>
      </c>
      <c r="Q9" s="7">
        <v>14</v>
      </c>
      <c r="R9" s="7">
        <v>15</v>
      </c>
      <c r="S9" s="7">
        <v>16</v>
      </c>
      <c r="T9" s="7">
        <v>17</v>
      </c>
      <c r="U9" s="7">
        <v>18</v>
      </c>
      <c r="V9" s="7">
        <v>19</v>
      </c>
      <c r="W9" s="7">
        <v>20</v>
      </c>
      <c r="X9" s="7" t="s">
        <v>5</v>
      </c>
      <c r="Y9" s="7"/>
      <c r="Z9" s="7">
        <v>21</v>
      </c>
      <c r="AA9" s="7">
        <v>22</v>
      </c>
      <c r="AB9" s="7">
        <v>23</v>
      </c>
      <c r="AC9" s="7">
        <v>24</v>
      </c>
      <c r="AD9" s="7">
        <v>25</v>
      </c>
      <c r="AE9" s="7" t="s">
        <v>6</v>
      </c>
      <c r="AF9" s="7" t="s">
        <v>7</v>
      </c>
    </row>
    <row r="10" spans="1:34" x14ac:dyDescent="0.2">
      <c r="A10" s="8">
        <v>1</v>
      </c>
      <c r="B10" s="1" t="s">
        <v>140</v>
      </c>
      <c r="C10" s="1"/>
      <c r="D10" s="14">
        <v>175.4145</v>
      </c>
      <c r="E10" s="14">
        <v>638.38739999999996</v>
      </c>
      <c r="F10" s="14">
        <v>34.832599999999999</v>
      </c>
      <c r="G10" s="14">
        <v>50.693399999999997</v>
      </c>
      <c r="H10" s="14">
        <v>0.21479999999999999</v>
      </c>
      <c r="I10" s="14">
        <v>0</v>
      </c>
      <c r="J10" s="14">
        <v>25.787600000000001</v>
      </c>
      <c r="K10" s="14">
        <v>116.72799999999999</v>
      </c>
      <c r="L10" s="14">
        <v>873.99310000000003</v>
      </c>
      <c r="M10" s="14">
        <v>1.0636000000000001</v>
      </c>
      <c r="N10" s="14">
        <v>7.6028000000000002</v>
      </c>
      <c r="O10" s="14">
        <v>0</v>
      </c>
      <c r="P10" s="14">
        <v>0</v>
      </c>
      <c r="Q10" s="14">
        <v>2.7974999999999999</v>
      </c>
      <c r="R10" s="14">
        <v>54.327399999999997</v>
      </c>
      <c r="S10" s="14">
        <v>6.1936</v>
      </c>
      <c r="T10" s="14">
        <v>1.9511000000000001</v>
      </c>
      <c r="U10" s="14">
        <v>10.599</v>
      </c>
      <c r="V10" s="14">
        <v>8.7410999999999994</v>
      </c>
      <c r="W10" s="14">
        <v>11.1416</v>
      </c>
      <c r="X10" s="14">
        <v>2020.4691</v>
      </c>
      <c r="Y10" s="14"/>
      <c r="Z10" s="14">
        <v>1498.4961000000001</v>
      </c>
      <c r="AA10" s="14">
        <v>0</v>
      </c>
      <c r="AB10" s="14">
        <v>103.95569999999999</v>
      </c>
      <c r="AC10" s="14">
        <v>588.59050000000002</v>
      </c>
      <c r="AD10" s="14">
        <v>505.36590000000001</v>
      </c>
      <c r="AE10" s="14">
        <v>2696.4081999999999</v>
      </c>
      <c r="AF10" s="14">
        <v>4716.8773000000001</v>
      </c>
      <c r="AH10" s="45"/>
    </row>
    <row r="11" spans="1:34" x14ac:dyDescent="0.2">
      <c r="A11" s="8">
        <v>2</v>
      </c>
      <c r="B11" s="1" t="s">
        <v>8</v>
      </c>
      <c r="C11" s="1"/>
      <c r="D11" s="14">
        <v>88.706199999999995</v>
      </c>
      <c r="E11" s="14">
        <v>197485.95420000001</v>
      </c>
      <c r="F11" s="14">
        <v>647.47829999999999</v>
      </c>
      <c r="G11" s="14">
        <v>12348.977699999999</v>
      </c>
      <c r="H11" s="14">
        <v>5675.1468000000004</v>
      </c>
      <c r="I11" s="14">
        <v>989.26239999999996</v>
      </c>
      <c r="J11" s="14">
        <v>29799.499800000001</v>
      </c>
      <c r="K11" s="14">
        <v>463.02589999999998</v>
      </c>
      <c r="L11" s="14">
        <v>2182.8624</v>
      </c>
      <c r="M11" s="14">
        <v>7768.1646000000001</v>
      </c>
      <c r="N11" s="14">
        <v>653.04250000000002</v>
      </c>
      <c r="O11" s="14">
        <v>747.7885</v>
      </c>
      <c r="P11" s="14">
        <v>0</v>
      </c>
      <c r="Q11" s="14">
        <v>8262.9696000000004</v>
      </c>
      <c r="R11" s="14">
        <v>1330.2090000000001</v>
      </c>
      <c r="S11" s="14">
        <v>8129.1544000000004</v>
      </c>
      <c r="T11" s="14">
        <v>1057.7675999999999</v>
      </c>
      <c r="U11" s="14">
        <v>2666.8670999999999</v>
      </c>
      <c r="V11" s="14">
        <v>343.67660000000001</v>
      </c>
      <c r="W11" s="14">
        <v>1069.732</v>
      </c>
      <c r="X11" s="14">
        <v>281710.28590000002</v>
      </c>
      <c r="Y11" s="14"/>
      <c r="Z11" s="14">
        <v>22578.213800000001</v>
      </c>
      <c r="AA11" s="14">
        <v>0</v>
      </c>
      <c r="AB11" s="14">
        <v>23355.573499999999</v>
      </c>
      <c r="AC11" s="14">
        <v>6411.1423000000004</v>
      </c>
      <c r="AD11" s="14">
        <v>331981.78019999998</v>
      </c>
      <c r="AE11" s="14">
        <v>384326.70970000001</v>
      </c>
      <c r="AF11" s="14">
        <v>666036.99560000002</v>
      </c>
      <c r="AH11" s="45"/>
    </row>
    <row r="12" spans="1:34" x14ac:dyDescent="0.2">
      <c r="A12" s="8">
        <v>3</v>
      </c>
      <c r="B12" s="1" t="s">
        <v>9</v>
      </c>
      <c r="C12" s="1"/>
      <c r="D12" s="14">
        <v>4.6182999999999996</v>
      </c>
      <c r="E12" s="14">
        <v>1371.1193000000001</v>
      </c>
      <c r="F12" s="14">
        <v>8470.1155999999992</v>
      </c>
      <c r="G12" s="14">
        <v>14.032400000000001</v>
      </c>
      <c r="H12" s="14">
        <v>6.2864000000000004</v>
      </c>
      <c r="I12" s="14">
        <v>3.0552000000000001</v>
      </c>
      <c r="J12" s="14">
        <v>120.3122</v>
      </c>
      <c r="K12" s="14">
        <v>0</v>
      </c>
      <c r="L12" s="14">
        <v>0</v>
      </c>
      <c r="M12" s="14">
        <v>8.9999999999999993E-3</v>
      </c>
      <c r="N12" s="14">
        <v>0</v>
      </c>
      <c r="O12" s="14">
        <v>0</v>
      </c>
      <c r="P12" s="14">
        <v>0</v>
      </c>
      <c r="Q12" s="14">
        <v>0.191</v>
      </c>
      <c r="R12" s="14">
        <v>0</v>
      </c>
      <c r="S12" s="14">
        <v>39.873199999999997</v>
      </c>
      <c r="T12" s="14">
        <v>0</v>
      </c>
      <c r="U12" s="14">
        <v>0</v>
      </c>
      <c r="V12" s="14">
        <v>0</v>
      </c>
      <c r="W12" s="14">
        <v>0</v>
      </c>
      <c r="X12" s="14">
        <v>10029.6127</v>
      </c>
      <c r="Y12" s="14"/>
      <c r="Z12" s="14">
        <v>133.53870000000001</v>
      </c>
      <c r="AA12" s="14">
        <v>0</v>
      </c>
      <c r="AB12" s="14">
        <v>0</v>
      </c>
      <c r="AC12" s="14">
        <v>335.14510000000001</v>
      </c>
      <c r="AD12" s="14">
        <v>389.54</v>
      </c>
      <c r="AE12" s="14">
        <v>858.22379999999998</v>
      </c>
      <c r="AF12" s="14">
        <v>10887.836499999999</v>
      </c>
      <c r="AH12" s="45"/>
    </row>
    <row r="13" spans="1:34" x14ac:dyDescent="0.2">
      <c r="A13" s="8">
        <v>4</v>
      </c>
      <c r="B13" s="1" t="s">
        <v>10</v>
      </c>
      <c r="C13" s="1"/>
      <c r="D13" s="14">
        <v>0</v>
      </c>
      <c r="E13" s="14">
        <v>9.3106000000000009</v>
      </c>
      <c r="F13" s="14">
        <v>0</v>
      </c>
      <c r="G13" s="14">
        <v>151.6002</v>
      </c>
      <c r="H13" s="14">
        <v>0</v>
      </c>
      <c r="I13" s="14">
        <v>0</v>
      </c>
      <c r="J13" s="14">
        <v>0</v>
      </c>
      <c r="K13" s="14">
        <v>0</v>
      </c>
      <c r="L13" s="14">
        <v>0</v>
      </c>
      <c r="M13" s="14">
        <v>0</v>
      </c>
      <c r="N13" s="14">
        <v>0</v>
      </c>
      <c r="O13" s="14">
        <v>0</v>
      </c>
      <c r="P13" s="14">
        <v>0</v>
      </c>
      <c r="Q13" s="14">
        <v>95.685699999999997</v>
      </c>
      <c r="R13" s="14">
        <v>0</v>
      </c>
      <c r="S13" s="14">
        <v>1.2814000000000001</v>
      </c>
      <c r="T13" s="14">
        <v>0</v>
      </c>
      <c r="U13" s="14">
        <v>0</v>
      </c>
      <c r="V13" s="14">
        <v>0</v>
      </c>
      <c r="W13" s="14">
        <v>0</v>
      </c>
      <c r="X13" s="14">
        <v>257.8777</v>
      </c>
      <c r="Y13" s="14"/>
      <c r="Z13" s="14">
        <v>0</v>
      </c>
      <c r="AA13" s="14">
        <v>0</v>
      </c>
      <c r="AB13" s="14">
        <v>1</v>
      </c>
      <c r="AC13" s="14">
        <v>0</v>
      </c>
      <c r="AD13" s="14">
        <v>0</v>
      </c>
      <c r="AE13" s="14">
        <v>1</v>
      </c>
      <c r="AF13" s="14">
        <v>258.8777</v>
      </c>
      <c r="AH13" s="45"/>
    </row>
    <row r="14" spans="1:34" x14ac:dyDescent="0.2">
      <c r="A14" s="8">
        <v>5</v>
      </c>
      <c r="B14" s="1" t="s">
        <v>11</v>
      </c>
      <c r="C14" s="1"/>
      <c r="D14" s="14">
        <v>0</v>
      </c>
      <c r="E14" s="14">
        <v>1453.9136000000001</v>
      </c>
      <c r="F14" s="14">
        <v>3.0000000000000001E-3</v>
      </c>
      <c r="G14" s="14">
        <v>0.39410000000000001</v>
      </c>
      <c r="H14" s="14">
        <v>1611.1591000000001</v>
      </c>
      <c r="I14" s="14">
        <v>15.443300000000001</v>
      </c>
      <c r="J14" s="14">
        <v>2.2639999999999998</v>
      </c>
      <c r="K14" s="14">
        <v>1.5471999999999999</v>
      </c>
      <c r="L14" s="14">
        <v>0</v>
      </c>
      <c r="M14" s="14">
        <v>902.46310000000005</v>
      </c>
      <c r="N14" s="14">
        <v>104.6893</v>
      </c>
      <c r="O14" s="14">
        <v>3.6200000000000003E-2</v>
      </c>
      <c r="P14" s="14">
        <v>0</v>
      </c>
      <c r="Q14" s="14">
        <v>44.890500000000003</v>
      </c>
      <c r="R14" s="14">
        <v>9.1453000000000007</v>
      </c>
      <c r="S14" s="14">
        <v>0</v>
      </c>
      <c r="T14" s="14">
        <v>3.7290000000000001</v>
      </c>
      <c r="U14" s="14">
        <v>1.123</v>
      </c>
      <c r="V14" s="14">
        <v>0</v>
      </c>
      <c r="W14" s="14">
        <v>5.0000000000000001E-3</v>
      </c>
      <c r="X14" s="14">
        <v>4150.8056999999999</v>
      </c>
      <c r="Y14" s="14"/>
      <c r="Z14" s="14">
        <v>0</v>
      </c>
      <c r="AA14" s="14">
        <v>0</v>
      </c>
      <c r="AB14" s="14">
        <v>0</v>
      </c>
      <c r="AC14" s="14">
        <v>0</v>
      </c>
      <c r="AD14" s="14">
        <v>0</v>
      </c>
      <c r="AE14" s="14">
        <v>0</v>
      </c>
      <c r="AF14" s="14">
        <v>4150.8056999999999</v>
      </c>
      <c r="AH14" s="45"/>
    </row>
    <row r="15" spans="1:34" x14ac:dyDescent="0.2">
      <c r="A15" s="8">
        <v>6</v>
      </c>
      <c r="B15" s="1" t="s">
        <v>12</v>
      </c>
      <c r="C15" s="1"/>
      <c r="D15" s="14">
        <v>0</v>
      </c>
      <c r="E15" s="14">
        <v>0</v>
      </c>
      <c r="F15" s="14">
        <v>0</v>
      </c>
      <c r="G15" s="14">
        <v>0</v>
      </c>
      <c r="H15" s="14">
        <v>0</v>
      </c>
      <c r="I15" s="14">
        <v>0</v>
      </c>
      <c r="J15" s="14">
        <v>0</v>
      </c>
      <c r="K15" s="14">
        <v>0</v>
      </c>
      <c r="L15" s="14">
        <v>0</v>
      </c>
      <c r="M15" s="14">
        <v>0</v>
      </c>
      <c r="N15" s="14">
        <v>0</v>
      </c>
      <c r="O15" s="14">
        <v>0</v>
      </c>
      <c r="P15" s="14">
        <v>0</v>
      </c>
      <c r="Q15" s="14">
        <v>0</v>
      </c>
      <c r="R15" s="14">
        <v>0</v>
      </c>
      <c r="S15" s="14">
        <v>0</v>
      </c>
      <c r="T15" s="14">
        <v>0</v>
      </c>
      <c r="U15" s="14">
        <v>0</v>
      </c>
      <c r="V15" s="14">
        <v>0</v>
      </c>
      <c r="W15" s="14">
        <v>0</v>
      </c>
      <c r="X15" s="14">
        <v>0</v>
      </c>
      <c r="Y15" s="14"/>
      <c r="Z15" s="14">
        <v>0</v>
      </c>
      <c r="AA15" s="14">
        <v>0</v>
      </c>
      <c r="AB15" s="14">
        <v>0</v>
      </c>
      <c r="AC15" s="14">
        <v>0</v>
      </c>
      <c r="AD15" s="14">
        <v>0</v>
      </c>
      <c r="AE15" s="14">
        <v>0</v>
      </c>
      <c r="AF15" s="14">
        <v>0</v>
      </c>
      <c r="AH15" s="45"/>
    </row>
    <row r="16" spans="1:34" x14ac:dyDescent="0.2">
      <c r="A16" s="8">
        <v>7</v>
      </c>
      <c r="B16" s="1" t="s">
        <v>141</v>
      </c>
      <c r="C16" s="1"/>
      <c r="D16" s="14">
        <v>1E-3</v>
      </c>
      <c r="E16" s="14">
        <v>1073.1171999999999</v>
      </c>
      <c r="F16" s="14">
        <v>12.998100000000001</v>
      </c>
      <c r="G16" s="14">
        <v>44.814599999999999</v>
      </c>
      <c r="H16" s="14">
        <v>70930.427899999995</v>
      </c>
      <c r="I16" s="14">
        <v>23.7819</v>
      </c>
      <c r="J16" s="14">
        <v>77517.723400000003</v>
      </c>
      <c r="K16" s="14">
        <v>1.3474999999999999</v>
      </c>
      <c r="L16" s="14">
        <v>6.4809000000000001</v>
      </c>
      <c r="M16" s="14">
        <v>1180.6409000000001</v>
      </c>
      <c r="N16" s="14">
        <v>111.39060000000001</v>
      </c>
      <c r="O16" s="14">
        <v>5.4375</v>
      </c>
      <c r="P16" s="14">
        <v>0</v>
      </c>
      <c r="Q16" s="14">
        <v>169.82040000000001</v>
      </c>
      <c r="R16" s="14">
        <v>77.752899999999997</v>
      </c>
      <c r="S16" s="14">
        <v>17.542999999999999</v>
      </c>
      <c r="T16" s="14">
        <v>12.9902</v>
      </c>
      <c r="U16" s="14">
        <v>8.0144000000000002</v>
      </c>
      <c r="V16" s="14">
        <v>5.5843999999999996</v>
      </c>
      <c r="W16" s="14">
        <v>5.0517000000000003</v>
      </c>
      <c r="X16" s="14">
        <v>151204.9184</v>
      </c>
      <c r="Y16" s="14"/>
      <c r="Z16" s="14">
        <v>1655.9894999999999</v>
      </c>
      <c r="AA16" s="14">
        <v>0</v>
      </c>
      <c r="AB16" s="14">
        <v>0</v>
      </c>
      <c r="AC16" s="14">
        <v>0</v>
      </c>
      <c r="AD16" s="14">
        <v>0</v>
      </c>
      <c r="AE16" s="14">
        <v>1655.9894999999999</v>
      </c>
      <c r="AF16" s="14">
        <v>152860.90789999999</v>
      </c>
      <c r="AH16" s="45"/>
    </row>
    <row r="17" spans="1:34" x14ac:dyDescent="0.2">
      <c r="A17" s="8">
        <v>8</v>
      </c>
      <c r="B17" s="1" t="s">
        <v>142</v>
      </c>
      <c r="C17" s="1"/>
      <c r="D17" s="14">
        <v>0</v>
      </c>
      <c r="E17" s="14">
        <v>216.90809999999999</v>
      </c>
      <c r="F17" s="14">
        <v>12.605</v>
      </c>
      <c r="G17" s="14">
        <v>120.1755</v>
      </c>
      <c r="H17" s="14">
        <v>161.77940000000001</v>
      </c>
      <c r="I17" s="14">
        <v>53.600900000000003</v>
      </c>
      <c r="J17" s="14">
        <v>648.45119999999997</v>
      </c>
      <c r="K17" s="14">
        <v>5.0989000000000004</v>
      </c>
      <c r="L17" s="14">
        <v>24.896599999999999</v>
      </c>
      <c r="M17" s="14">
        <v>556.04790000000003</v>
      </c>
      <c r="N17" s="14">
        <v>228.73150000000001</v>
      </c>
      <c r="O17" s="14">
        <v>21.508800000000001</v>
      </c>
      <c r="P17" s="14">
        <v>0</v>
      </c>
      <c r="Q17" s="14">
        <v>232.7251</v>
      </c>
      <c r="R17" s="14">
        <v>81.219499999999996</v>
      </c>
      <c r="S17" s="14">
        <v>66.723600000000005</v>
      </c>
      <c r="T17" s="14">
        <v>46.4131</v>
      </c>
      <c r="U17" s="14">
        <v>25.877500000000001</v>
      </c>
      <c r="V17" s="14">
        <v>20.081700000000001</v>
      </c>
      <c r="W17" s="14">
        <v>20.293199999999999</v>
      </c>
      <c r="X17" s="14">
        <v>2543.1377000000002</v>
      </c>
      <c r="Y17" s="14"/>
      <c r="Z17" s="14">
        <v>4364.1665000000003</v>
      </c>
      <c r="AA17" s="14">
        <v>0</v>
      </c>
      <c r="AB17" s="14">
        <v>0</v>
      </c>
      <c r="AC17" s="14">
        <v>0</v>
      </c>
      <c r="AD17" s="14">
        <v>0</v>
      </c>
      <c r="AE17" s="14">
        <v>4364.1665000000003</v>
      </c>
      <c r="AF17" s="14">
        <v>6907.3042999999998</v>
      </c>
      <c r="AH17" s="45"/>
    </row>
    <row r="18" spans="1:34" x14ac:dyDescent="0.2">
      <c r="A18" s="8">
        <v>9</v>
      </c>
      <c r="B18" s="1" t="s">
        <v>143</v>
      </c>
      <c r="C18" s="1"/>
      <c r="D18" s="14">
        <v>0</v>
      </c>
      <c r="E18" s="14">
        <v>120.3117</v>
      </c>
      <c r="F18" s="14">
        <v>6.9916</v>
      </c>
      <c r="G18" s="14">
        <v>66.658299999999997</v>
      </c>
      <c r="H18" s="14">
        <v>89.733599999999996</v>
      </c>
      <c r="I18" s="14">
        <v>29.730599999999999</v>
      </c>
      <c r="J18" s="14">
        <v>614.34339999999997</v>
      </c>
      <c r="K18" s="14">
        <v>2.8281999999999998</v>
      </c>
      <c r="L18" s="14">
        <v>13.8093</v>
      </c>
      <c r="M18" s="14">
        <v>305.95949999999999</v>
      </c>
      <c r="N18" s="14">
        <v>126.86969999999999</v>
      </c>
      <c r="O18" s="14">
        <v>11.930199999999999</v>
      </c>
      <c r="P18" s="14">
        <v>0</v>
      </c>
      <c r="Q18" s="14">
        <v>129.0848</v>
      </c>
      <c r="R18" s="14">
        <v>45.049700000000001</v>
      </c>
      <c r="S18" s="14">
        <v>38.096400000000003</v>
      </c>
      <c r="T18" s="14">
        <v>25.7438</v>
      </c>
      <c r="U18" s="14">
        <v>14.353400000000001</v>
      </c>
      <c r="V18" s="14">
        <v>11.1387</v>
      </c>
      <c r="W18" s="14">
        <v>11.2559</v>
      </c>
      <c r="X18" s="14">
        <v>1663.8888999999999</v>
      </c>
      <c r="Y18" s="14"/>
      <c r="Z18" s="14">
        <v>3011.277</v>
      </c>
      <c r="AA18" s="14">
        <v>0</v>
      </c>
      <c r="AB18" s="14">
        <v>0</v>
      </c>
      <c r="AC18" s="14">
        <v>0</v>
      </c>
      <c r="AD18" s="14">
        <v>0</v>
      </c>
      <c r="AE18" s="14">
        <v>3011.277</v>
      </c>
      <c r="AF18" s="14">
        <v>4675.1660000000002</v>
      </c>
      <c r="AH18" s="45"/>
    </row>
    <row r="19" spans="1:34" x14ac:dyDescent="0.2">
      <c r="A19" s="9">
        <v>10</v>
      </c>
      <c r="B19" s="3" t="s">
        <v>144</v>
      </c>
      <c r="C19" s="3"/>
      <c r="D19" s="15">
        <v>0.66710000000000003</v>
      </c>
      <c r="E19" s="15">
        <v>822.37869999999998</v>
      </c>
      <c r="F19" s="15">
        <v>8.2018000000000004</v>
      </c>
      <c r="G19" s="15">
        <v>67.089399999999998</v>
      </c>
      <c r="H19" s="15">
        <v>3878.4892</v>
      </c>
      <c r="I19" s="15">
        <v>18.020299999999999</v>
      </c>
      <c r="J19" s="15">
        <v>400.09289999999999</v>
      </c>
      <c r="K19" s="15">
        <v>4.8432000000000004</v>
      </c>
      <c r="L19" s="15">
        <v>3.3723000000000001</v>
      </c>
      <c r="M19" s="15">
        <v>46486.089699999997</v>
      </c>
      <c r="N19" s="15">
        <v>4015.7804000000001</v>
      </c>
      <c r="O19" s="15">
        <v>4.4231999999999996</v>
      </c>
      <c r="P19" s="15">
        <v>0</v>
      </c>
      <c r="Q19" s="15">
        <v>3290.0154000000002</v>
      </c>
      <c r="R19" s="15">
        <v>35.925899999999999</v>
      </c>
      <c r="S19" s="15">
        <v>48.637900000000002</v>
      </c>
      <c r="T19" s="15">
        <v>27.4026</v>
      </c>
      <c r="U19" s="15">
        <v>8.9192</v>
      </c>
      <c r="V19" s="15">
        <v>22.380400000000002</v>
      </c>
      <c r="W19" s="15">
        <v>1.6131</v>
      </c>
      <c r="X19" s="15">
        <v>59144.342700000001</v>
      </c>
      <c r="Y19" s="15"/>
      <c r="Z19" s="15">
        <v>867.61239999999998</v>
      </c>
      <c r="AA19" s="15">
        <v>0</v>
      </c>
      <c r="AB19" s="15">
        <v>758.09439999999995</v>
      </c>
      <c r="AC19" s="15">
        <v>0</v>
      </c>
      <c r="AD19" s="15">
        <v>0</v>
      </c>
      <c r="AE19" s="15">
        <v>1625.7067999999999</v>
      </c>
      <c r="AF19" s="15">
        <v>60770.049500000001</v>
      </c>
      <c r="AH19" s="45"/>
    </row>
    <row r="20" spans="1:34" x14ac:dyDescent="0.2">
      <c r="A20" s="10">
        <v>11</v>
      </c>
      <c r="B20" s="4" t="s">
        <v>145</v>
      </c>
      <c r="C20" s="4"/>
      <c r="D20" s="16">
        <v>0.35899999999999999</v>
      </c>
      <c r="E20" s="16">
        <v>199.17930000000001</v>
      </c>
      <c r="F20" s="16">
        <v>8.1128</v>
      </c>
      <c r="G20" s="16">
        <v>19.0548</v>
      </c>
      <c r="H20" s="16">
        <v>2890.4951000000001</v>
      </c>
      <c r="I20" s="16">
        <v>15.440200000000001</v>
      </c>
      <c r="J20" s="16">
        <v>170.6591</v>
      </c>
      <c r="K20" s="16">
        <v>2.8372000000000002</v>
      </c>
      <c r="L20" s="16">
        <v>3.8159999999999998</v>
      </c>
      <c r="M20" s="16">
        <v>338.7423</v>
      </c>
      <c r="N20" s="16">
        <v>27938.277300000002</v>
      </c>
      <c r="O20" s="16">
        <v>57.625500000000002</v>
      </c>
      <c r="P20" s="16">
        <v>0</v>
      </c>
      <c r="Q20" s="16">
        <v>85.831999999999994</v>
      </c>
      <c r="R20" s="16">
        <v>55.243099999999998</v>
      </c>
      <c r="S20" s="16">
        <v>0.28339999999999999</v>
      </c>
      <c r="T20" s="16">
        <v>9.8047000000000004</v>
      </c>
      <c r="U20" s="16">
        <v>6.83</v>
      </c>
      <c r="V20" s="16">
        <v>4.7472000000000003</v>
      </c>
      <c r="W20" s="16">
        <v>1.1295999999999999</v>
      </c>
      <c r="X20" s="16">
        <v>31808.4686</v>
      </c>
      <c r="Y20" s="16"/>
      <c r="Z20" s="16">
        <v>0</v>
      </c>
      <c r="AA20" s="16">
        <v>0</v>
      </c>
      <c r="AB20" s="16">
        <v>0</v>
      </c>
      <c r="AC20" s="16">
        <v>0</v>
      </c>
      <c r="AD20" s="16">
        <v>0</v>
      </c>
      <c r="AE20" s="16">
        <v>0</v>
      </c>
      <c r="AF20" s="16">
        <v>31808.4686</v>
      </c>
      <c r="AH20" s="45"/>
    </row>
    <row r="21" spans="1:34" x14ac:dyDescent="0.2">
      <c r="A21" s="8">
        <v>12</v>
      </c>
      <c r="B21" s="1" t="s">
        <v>146</v>
      </c>
      <c r="C21" s="1"/>
      <c r="D21" s="14">
        <v>0</v>
      </c>
      <c r="E21" s="14">
        <v>0</v>
      </c>
      <c r="F21" s="14">
        <v>0</v>
      </c>
      <c r="G21" s="14">
        <v>0</v>
      </c>
      <c r="H21" s="14">
        <v>1.7000000000000001E-2</v>
      </c>
      <c r="I21" s="14">
        <v>0</v>
      </c>
      <c r="J21" s="14">
        <v>0.91439999999999999</v>
      </c>
      <c r="K21" s="14">
        <v>0</v>
      </c>
      <c r="L21" s="14">
        <v>0</v>
      </c>
      <c r="M21" s="14">
        <v>2.1429999999999998</v>
      </c>
      <c r="N21" s="14">
        <v>1.9725999999999999</v>
      </c>
      <c r="O21" s="14">
        <v>32.489199999999997</v>
      </c>
      <c r="P21" s="14">
        <v>0</v>
      </c>
      <c r="Q21" s="14">
        <v>7.6250999999999998</v>
      </c>
      <c r="R21" s="14">
        <v>1.5699999999999999E-2</v>
      </c>
      <c r="S21" s="14">
        <v>26.859300000000001</v>
      </c>
      <c r="T21" s="14">
        <v>3.5999999999999997E-2</v>
      </c>
      <c r="U21" s="14">
        <v>0</v>
      </c>
      <c r="V21" s="14">
        <v>0</v>
      </c>
      <c r="W21" s="14">
        <v>0</v>
      </c>
      <c r="X21" s="14">
        <v>72.072400000000002</v>
      </c>
      <c r="Y21" s="14"/>
      <c r="Z21" s="14">
        <v>0</v>
      </c>
      <c r="AA21" s="14">
        <v>0</v>
      </c>
      <c r="AB21" s="14">
        <v>0</v>
      </c>
      <c r="AC21" s="14">
        <v>0</v>
      </c>
      <c r="AD21" s="14">
        <v>0</v>
      </c>
      <c r="AE21" s="14">
        <v>0</v>
      </c>
      <c r="AF21" s="14">
        <v>72.072400000000002</v>
      </c>
      <c r="AH21" s="45"/>
    </row>
    <row r="22" spans="1:34" x14ac:dyDescent="0.2">
      <c r="A22" s="8">
        <v>13</v>
      </c>
      <c r="B22" s="1" t="s">
        <v>13</v>
      </c>
      <c r="C22" s="1"/>
      <c r="D22" s="14">
        <v>0</v>
      </c>
      <c r="E22" s="14">
        <v>0</v>
      </c>
      <c r="F22" s="14">
        <v>0</v>
      </c>
      <c r="G22" s="14">
        <v>0</v>
      </c>
      <c r="H22" s="14">
        <v>0</v>
      </c>
      <c r="I22" s="14">
        <v>0</v>
      </c>
      <c r="J22" s="14">
        <v>0</v>
      </c>
      <c r="K22" s="14">
        <v>0</v>
      </c>
      <c r="L22" s="14">
        <v>0</v>
      </c>
      <c r="M22" s="14">
        <v>0</v>
      </c>
      <c r="N22" s="14">
        <v>0</v>
      </c>
      <c r="O22" s="14">
        <v>0</v>
      </c>
      <c r="P22" s="14">
        <v>0</v>
      </c>
      <c r="Q22" s="14">
        <v>0</v>
      </c>
      <c r="R22" s="14">
        <v>0</v>
      </c>
      <c r="S22" s="14">
        <v>0</v>
      </c>
      <c r="T22" s="14">
        <v>0</v>
      </c>
      <c r="U22" s="14">
        <v>0</v>
      </c>
      <c r="V22" s="14">
        <v>0</v>
      </c>
      <c r="W22" s="14">
        <v>0</v>
      </c>
      <c r="X22" s="14">
        <v>0</v>
      </c>
      <c r="Y22" s="14"/>
      <c r="Z22" s="14">
        <v>653.39149999999995</v>
      </c>
      <c r="AA22" s="14">
        <v>0</v>
      </c>
      <c r="AB22" s="14">
        <v>0</v>
      </c>
      <c r="AC22" s="14">
        <v>0</v>
      </c>
      <c r="AD22" s="14">
        <v>0</v>
      </c>
      <c r="AE22" s="14">
        <v>653.39149999999995</v>
      </c>
      <c r="AF22" s="14">
        <v>653.39149999999995</v>
      </c>
      <c r="AH22" s="45"/>
    </row>
    <row r="23" spans="1:34" x14ac:dyDescent="0.2">
      <c r="A23" s="8">
        <v>14</v>
      </c>
      <c r="B23" s="1" t="s">
        <v>14</v>
      </c>
      <c r="C23" s="1"/>
      <c r="D23" s="14">
        <v>4.0000000000000001E-3</v>
      </c>
      <c r="E23" s="14">
        <v>9153.0755000000008</v>
      </c>
      <c r="F23" s="14">
        <v>48.7776</v>
      </c>
      <c r="G23" s="14">
        <v>133.25120000000001</v>
      </c>
      <c r="H23" s="14">
        <v>6546.6562999999996</v>
      </c>
      <c r="I23" s="14">
        <v>57.485199999999999</v>
      </c>
      <c r="J23" s="14">
        <v>381.88389999999998</v>
      </c>
      <c r="K23" s="14">
        <v>12.919600000000001</v>
      </c>
      <c r="L23" s="14">
        <v>11.8683</v>
      </c>
      <c r="M23" s="14">
        <v>9769.2669000000005</v>
      </c>
      <c r="N23" s="14">
        <v>5334.0406999999996</v>
      </c>
      <c r="O23" s="14">
        <v>14.3514</v>
      </c>
      <c r="P23" s="14">
        <v>0</v>
      </c>
      <c r="Q23" s="14">
        <v>7037.3388999999997</v>
      </c>
      <c r="R23" s="14">
        <v>474.29610000000002</v>
      </c>
      <c r="S23" s="14">
        <v>62.746299999999998</v>
      </c>
      <c r="T23" s="14">
        <v>39.585700000000003</v>
      </c>
      <c r="U23" s="14">
        <v>12.8263</v>
      </c>
      <c r="V23" s="14">
        <v>56.599400000000003</v>
      </c>
      <c r="W23" s="14">
        <v>1.1768000000000001</v>
      </c>
      <c r="X23" s="14">
        <v>39148.149899999997</v>
      </c>
      <c r="Y23" s="14"/>
      <c r="Z23" s="14">
        <v>68.888599999999997</v>
      </c>
      <c r="AA23" s="14">
        <v>0</v>
      </c>
      <c r="AB23" s="14">
        <v>27601.3217</v>
      </c>
      <c r="AC23" s="14">
        <v>0</v>
      </c>
      <c r="AD23" s="14">
        <v>0</v>
      </c>
      <c r="AE23" s="14">
        <v>27670.210299999999</v>
      </c>
      <c r="AF23" s="14">
        <v>66818.360199999996</v>
      </c>
      <c r="AH23" s="45"/>
    </row>
    <row r="24" spans="1:34" x14ac:dyDescent="0.2">
      <c r="A24" s="8">
        <v>15</v>
      </c>
      <c r="B24" s="1" t="s">
        <v>15</v>
      </c>
      <c r="C24" s="1"/>
      <c r="D24" s="14">
        <v>3.15E-2</v>
      </c>
      <c r="E24" s="14">
        <v>8720.6178</v>
      </c>
      <c r="F24" s="14">
        <v>10.2431</v>
      </c>
      <c r="G24" s="14">
        <v>109.07340000000001</v>
      </c>
      <c r="H24" s="14">
        <v>9617.0275000000001</v>
      </c>
      <c r="I24" s="14">
        <v>93.973699999999994</v>
      </c>
      <c r="J24" s="14">
        <v>7055.8373000000001</v>
      </c>
      <c r="K24" s="14">
        <v>31.698499999999999</v>
      </c>
      <c r="L24" s="14">
        <v>87.194400000000002</v>
      </c>
      <c r="M24" s="14">
        <v>1694.5165999999999</v>
      </c>
      <c r="N24" s="14">
        <v>1236.5825</v>
      </c>
      <c r="O24" s="14">
        <v>23.782</v>
      </c>
      <c r="P24" s="14">
        <v>0</v>
      </c>
      <c r="Q24" s="14">
        <v>501.02170000000001</v>
      </c>
      <c r="R24" s="14">
        <v>1434.9018000000001</v>
      </c>
      <c r="S24" s="14">
        <v>23.145299999999999</v>
      </c>
      <c r="T24" s="14">
        <v>33.072000000000003</v>
      </c>
      <c r="U24" s="14">
        <v>2.0104000000000002</v>
      </c>
      <c r="V24" s="14">
        <v>175.7184</v>
      </c>
      <c r="W24" s="14">
        <v>0.38240000000000002</v>
      </c>
      <c r="X24" s="14">
        <v>30850.830300000001</v>
      </c>
      <c r="Y24" s="14"/>
      <c r="Z24" s="14">
        <v>97.651700000000005</v>
      </c>
      <c r="AA24" s="14">
        <v>0</v>
      </c>
      <c r="AB24" s="14">
        <v>0</v>
      </c>
      <c r="AC24" s="14">
        <v>0</v>
      </c>
      <c r="AD24" s="14">
        <v>0</v>
      </c>
      <c r="AE24" s="14">
        <v>97.651700000000005</v>
      </c>
      <c r="AF24" s="14">
        <v>30948.482</v>
      </c>
      <c r="AH24" s="45"/>
    </row>
    <row r="25" spans="1:34" x14ac:dyDescent="0.2">
      <c r="A25" s="8">
        <v>16</v>
      </c>
      <c r="B25" s="1" t="s">
        <v>147</v>
      </c>
      <c r="C25" s="1"/>
      <c r="D25" s="14">
        <v>0</v>
      </c>
      <c r="E25" s="14">
        <v>0</v>
      </c>
      <c r="F25" s="14">
        <v>0</v>
      </c>
      <c r="G25" s="14">
        <v>0</v>
      </c>
      <c r="H25" s="14">
        <v>0</v>
      </c>
      <c r="I25" s="14">
        <v>0</v>
      </c>
      <c r="J25" s="14">
        <v>0</v>
      </c>
      <c r="K25" s="14">
        <v>0</v>
      </c>
      <c r="L25" s="14">
        <v>0</v>
      </c>
      <c r="M25" s="14">
        <v>0</v>
      </c>
      <c r="N25" s="14">
        <v>0</v>
      </c>
      <c r="O25" s="14">
        <v>0</v>
      </c>
      <c r="P25" s="14">
        <v>0</v>
      </c>
      <c r="Q25" s="14">
        <v>0</v>
      </c>
      <c r="R25" s="14">
        <v>0</v>
      </c>
      <c r="S25" s="14">
        <v>0.7379</v>
      </c>
      <c r="T25" s="14">
        <v>0</v>
      </c>
      <c r="U25" s="14">
        <v>0</v>
      </c>
      <c r="V25" s="14">
        <v>0</v>
      </c>
      <c r="W25" s="14">
        <v>0</v>
      </c>
      <c r="X25" s="14">
        <v>0.7379</v>
      </c>
      <c r="Y25" s="14"/>
      <c r="Z25" s="14">
        <v>0</v>
      </c>
      <c r="AA25" s="14">
        <v>0</v>
      </c>
      <c r="AB25" s="14">
        <v>0</v>
      </c>
      <c r="AC25" s="14">
        <v>0</v>
      </c>
      <c r="AD25" s="14">
        <v>0</v>
      </c>
      <c r="AE25" s="14">
        <v>0</v>
      </c>
      <c r="AF25" s="14">
        <v>0.7379</v>
      </c>
      <c r="AH25" s="45"/>
    </row>
    <row r="26" spans="1:34" x14ac:dyDescent="0.2">
      <c r="A26" s="8">
        <v>17</v>
      </c>
      <c r="B26" s="1" t="s">
        <v>16</v>
      </c>
      <c r="C26" s="1"/>
      <c r="D26" s="14">
        <v>0.2772</v>
      </c>
      <c r="E26" s="14">
        <v>12.5633</v>
      </c>
      <c r="F26" s="14">
        <v>0.22420000000000001</v>
      </c>
      <c r="G26" s="14">
        <v>1.2596000000000001</v>
      </c>
      <c r="H26" s="14">
        <v>3.9679000000000002</v>
      </c>
      <c r="I26" s="14">
        <v>2.1999999999999999E-2</v>
      </c>
      <c r="J26" s="14">
        <v>16.8401</v>
      </c>
      <c r="K26" s="14">
        <v>0.13700000000000001</v>
      </c>
      <c r="L26" s="14">
        <v>0</v>
      </c>
      <c r="M26" s="14">
        <v>12.1326</v>
      </c>
      <c r="N26" s="14">
        <v>26.162500000000001</v>
      </c>
      <c r="O26" s="14">
        <v>8.8599999999999998E-2</v>
      </c>
      <c r="P26" s="14">
        <v>0</v>
      </c>
      <c r="Q26" s="14">
        <v>22.146799999999999</v>
      </c>
      <c r="R26" s="14">
        <v>5.0293999999999999</v>
      </c>
      <c r="S26" s="14">
        <v>16.467099999999999</v>
      </c>
      <c r="T26" s="14">
        <v>199.88210000000001</v>
      </c>
      <c r="U26" s="14">
        <v>3.9698000000000002</v>
      </c>
      <c r="V26" s="14">
        <v>0.59599999999999997</v>
      </c>
      <c r="W26" s="14">
        <v>0.26490000000000002</v>
      </c>
      <c r="X26" s="14">
        <v>322.03120000000001</v>
      </c>
      <c r="Y26" s="14"/>
      <c r="Z26" s="14">
        <v>2861.8562000000002</v>
      </c>
      <c r="AA26" s="14">
        <v>0</v>
      </c>
      <c r="AB26" s="14">
        <v>0</v>
      </c>
      <c r="AC26" s="14">
        <v>0</v>
      </c>
      <c r="AD26" s="14">
        <v>0</v>
      </c>
      <c r="AE26" s="14">
        <v>2861.8562000000002</v>
      </c>
      <c r="AF26" s="14">
        <v>3183.8872999999999</v>
      </c>
      <c r="AH26" s="45"/>
    </row>
    <row r="27" spans="1:34" x14ac:dyDescent="0.2">
      <c r="A27" s="8">
        <v>18</v>
      </c>
      <c r="B27" s="1" t="s">
        <v>17</v>
      </c>
      <c r="C27" s="1"/>
      <c r="D27" s="14">
        <v>0</v>
      </c>
      <c r="E27" s="14">
        <v>0</v>
      </c>
      <c r="F27" s="14">
        <v>0</v>
      </c>
      <c r="G27" s="14">
        <v>0</v>
      </c>
      <c r="H27" s="14">
        <v>0</v>
      </c>
      <c r="I27" s="14">
        <v>0</v>
      </c>
      <c r="J27" s="14">
        <v>0</v>
      </c>
      <c r="K27" s="14">
        <v>0</v>
      </c>
      <c r="L27" s="14">
        <v>0</v>
      </c>
      <c r="M27" s="14">
        <v>1.0147999999999999</v>
      </c>
      <c r="N27" s="14">
        <v>8.2100000000000006E-2</v>
      </c>
      <c r="O27" s="14">
        <v>5.7000000000000002E-2</v>
      </c>
      <c r="P27" s="14">
        <v>0</v>
      </c>
      <c r="Q27" s="14">
        <v>8.8504000000000005</v>
      </c>
      <c r="R27" s="14">
        <v>2.7547999999999999</v>
      </c>
      <c r="S27" s="14">
        <v>0.40860000000000002</v>
      </c>
      <c r="T27" s="14">
        <v>4.0899999999999999E-2</v>
      </c>
      <c r="U27" s="14">
        <v>27.869</v>
      </c>
      <c r="V27" s="14">
        <v>0</v>
      </c>
      <c r="W27" s="14">
        <v>7.8E-2</v>
      </c>
      <c r="X27" s="14">
        <v>41.155700000000003</v>
      </c>
      <c r="Y27" s="14"/>
      <c r="Z27" s="14">
        <v>636.52350000000001</v>
      </c>
      <c r="AA27" s="14">
        <v>0</v>
      </c>
      <c r="AB27" s="14">
        <v>0</v>
      </c>
      <c r="AC27" s="14">
        <v>0</v>
      </c>
      <c r="AD27" s="14">
        <v>0</v>
      </c>
      <c r="AE27" s="14">
        <v>636.52350000000001</v>
      </c>
      <c r="AF27" s="14">
        <v>677.67920000000004</v>
      </c>
      <c r="AH27" s="45"/>
    </row>
    <row r="28" spans="1:34" x14ac:dyDescent="0.2">
      <c r="A28" s="8">
        <v>19</v>
      </c>
      <c r="B28" s="1" t="s">
        <v>148</v>
      </c>
      <c r="C28" s="1"/>
      <c r="D28" s="14">
        <v>0</v>
      </c>
      <c r="E28" s="14">
        <v>0</v>
      </c>
      <c r="F28" s="14">
        <v>0</v>
      </c>
      <c r="G28" s="14">
        <v>0</v>
      </c>
      <c r="H28" s="14">
        <v>0</v>
      </c>
      <c r="I28" s="14">
        <v>0</v>
      </c>
      <c r="J28" s="14">
        <v>0</v>
      </c>
      <c r="K28" s="14">
        <v>3.7900000000000003E-2</v>
      </c>
      <c r="L28" s="14">
        <v>0</v>
      </c>
      <c r="M28" s="14">
        <v>2.3502999999999998</v>
      </c>
      <c r="N28" s="14">
        <v>0.48620000000000002</v>
      </c>
      <c r="O28" s="14">
        <v>0</v>
      </c>
      <c r="P28" s="14">
        <v>0</v>
      </c>
      <c r="Q28" s="14">
        <v>4.7666000000000004</v>
      </c>
      <c r="R28" s="14">
        <v>48.551299999999998</v>
      </c>
      <c r="S28" s="14">
        <v>0.14849999999999999</v>
      </c>
      <c r="T28" s="14">
        <v>1.0529999999999999</v>
      </c>
      <c r="U28" s="14">
        <v>0</v>
      </c>
      <c r="V28" s="14">
        <v>32.331000000000003</v>
      </c>
      <c r="W28" s="14">
        <v>0</v>
      </c>
      <c r="X28" s="14">
        <v>89.724900000000005</v>
      </c>
      <c r="Y28" s="14"/>
      <c r="Z28" s="14">
        <v>313.72629999999998</v>
      </c>
      <c r="AA28" s="14">
        <v>0</v>
      </c>
      <c r="AB28" s="14">
        <v>0</v>
      </c>
      <c r="AC28" s="14">
        <v>0</v>
      </c>
      <c r="AD28" s="14">
        <v>0</v>
      </c>
      <c r="AE28" s="14">
        <v>313.72629999999998</v>
      </c>
      <c r="AF28" s="14">
        <v>403.45119999999997</v>
      </c>
      <c r="AH28" s="45"/>
    </row>
    <row r="29" spans="1:34" x14ac:dyDescent="0.2">
      <c r="A29" s="9">
        <v>20</v>
      </c>
      <c r="B29" s="3" t="s">
        <v>149</v>
      </c>
      <c r="C29" s="3"/>
      <c r="D29" s="15">
        <v>0</v>
      </c>
      <c r="E29" s="15">
        <v>163.68510000000001</v>
      </c>
      <c r="F29" s="15">
        <v>0</v>
      </c>
      <c r="G29" s="15">
        <v>0</v>
      </c>
      <c r="H29" s="15">
        <v>3.0700000000000002E-2</v>
      </c>
      <c r="I29" s="15">
        <v>0</v>
      </c>
      <c r="J29" s="15">
        <v>1.9996</v>
      </c>
      <c r="K29" s="15">
        <v>0</v>
      </c>
      <c r="L29" s="15">
        <v>0</v>
      </c>
      <c r="M29" s="15">
        <v>0</v>
      </c>
      <c r="N29" s="15">
        <v>0.3478</v>
      </c>
      <c r="O29" s="15">
        <v>0</v>
      </c>
      <c r="P29" s="15">
        <v>0</v>
      </c>
      <c r="Q29" s="15">
        <v>0.39600000000000002</v>
      </c>
      <c r="R29" s="15">
        <v>2.4388000000000001</v>
      </c>
      <c r="S29" s="15">
        <v>1.2818000000000001</v>
      </c>
      <c r="T29" s="15">
        <v>0</v>
      </c>
      <c r="U29" s="15">
        <v>0.76300000000000001</v>
      </c>
      <c r="V29" s="15">
        <v>0.52600000000000002</v>
      </c>
      <c r="W29" s="15">
        <v>0</v>
      </c>
      <c r="X29" s="15">
        <v>171.46879999999999</v>
      </c>
      <c r="Y29" s="15"/>
      <c r="Z29" s="15">
        <v>138.6087</v>
      </c>
      <c r="AA29" s="15">
        <v>0</v>
      </c>
      <c r="AB29" s="15">
        <v>0</v>
      </c>
      <c r="AC29" s="15">
        <v>0</v>
      </c>
      <c r="AD29" s="15">
        <v>0</v>
      </c>
      <c r="AE29" s="15">
        <v>138.6087</v>
      </c>
      <c r="AF29" s="15">
        <v>310.07749999999999</v>
      </c>
      <c r="AH29" s="45"/>
    </row>
    <row r="30" spans="1:34" ht="16" thickBot="1" x14ac:dyDescent="0.25">
      <c r="A30" s="12" t="s">
        <v>24</v>
      </c>
      <c r="B30" s="6" t="s">
        <v>68</v>
      </c>
      <c r="C30" s="6"/>
      <c r="D30" s="18">
        <v>270.0788</v>
      </c>
      <c r="E30" s="18">
        <v>221440.52179999999</v>
      </c>
      <c r="F30" s="18">
        <v>9260.5838000000003</v>
      </c>
      <c r="G30" s="18">
        <v>13127.0746</v>
      </c>
      <c r="H30" s="18">
        <v>101411.4317</v>
      </c>
      <c r="I30" s="18">
        <v>1299.8157000000001</v>
      </c>
      <c r="J30" s="18">
        <v>116756.60890000001</v>
      </c>
      <c r="K30" s="18">
        <v>643.04909999999995</v>
      </c>
      <c r="L30" s="18">
        <v>3208.2932999999998</v>
      </c>
      <c r="M30" s="18">
        <v>69020.604900000006</v>
      </c>
      <c r="N30" s="18">
        <v>39786.058599999997</v>
      </c>
      <c r="O30" s="18">
        <v>919.5181</v>
      </c>
      <c r="P30" s="18">
        <v>0</v>
      </c>
      <c r="Q30" s="18">
        <v>19896.1577</v>
      </c>
      <c r="R30" s="18">
        <v>3656.8607000000002</v>
      </c>
      <c r="S30" s="18">
        <v>8479.5817999999999</v>
      </c>
      <c r="T30" s="18">
        <v>1459.4719</v>
      </c>
      <c r="U30" s="18">
        <v>2790.0219000000002</v>
      </c>
      <c r="V30" s="18">
        <v>682.12099999999998</v>
      </c>
      <c r="W30" s="18">
        <v>1122.1242999999999</v>
      </c>
      <c r="X30" s="18">
        <v>615229.97849999997</v>
      </c>
      <c r="Y30" s="18"/>
      <c r="Z30" s="18">
        <v>38879.940399999999</v>
      </c>
      <c r="AA30" s="18">
        <v>0</v>
      </c>
      <c r="AB30" s="18">
        <v>51819.945299999999</v>
      </c>
      <c r="AC30" s="18">
        <v>7334.8778000000002</v>
      </c>
      <c r="AD30" s="18">
        <v>332876.68609999999</v>
      </c>
      <c r="AE30" s="18">
        <v>430911.44959999999</v>
      </c>
      <c r="AF30" s="18">
        <v>1046141.4282</v>
      </c>
      <c r="AH30" s="45"/>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FF55D-F371-412A-8841-8C06273A7AC9}">
  <dimension ref="A1:AH83"/>
  <sheetViews>
    <sheetView workbookViewId="0">
      <pane xSplit="3" ySplit="9" topLeftCell="J10" activePane="bottomRight" state="frozenSplit"/>
      <selection pane="topRight" activeCell="D1" sqref="D1"/>
      <selection pane="bottomLeft" activeCell="A10" sqref="A10"/>
      <selection pane="bottomRight" activeCell="F64" sqref="F64"/>
    </sheetView>
  </sheetViews>
  <sheetFormatPr baseColWidth="10" defaultColWidth="8.83203125" defaultRowHeight="16" x14ac:dyDescent="0.2"/>
  <cols>
    <col min="1" max="1" width="4.6640625" style="54" customWidth="1"/>
    <col min="2" max="2" width="40.6640625" style="54" customWidth="1"/>
    <col min="3" max="3" width="18.33203125" style="54" customWidth="1"/>
    <col min="4" max="24" width="12.6640625" style="54" customWidth="1"/>
    <col min="25" max="25" width="15.83203125" style="54" customWidth="1"/>
    <col min="26" max="32" width="12.6640625" style="54" customWidth="1"/>
    <col min="33" max="33" width="10.83203125" style="54" bestFit="1" customWidth="1"/>
    <col min="34" max="34" width="21.5" style="54" bestFit="1" customWidth="1"/>
    <col min="35" max="16384" width="8.83203125" style="54"/>
  </cols>
  <sheetData>
    <row r="1" spans="1:34" x14ac:dyDescent="0.2">
      <c r="A1" s="34" t="s">
        <v>72</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row>
    <row r="2" spans="1:34" x14ac:dyDescent="0.2">
      <c r="A2" s="55" t="s">
        <v>138</v>
      </c>
      <c r="B2" s="34"/>
      <c r="C2" s="34"/>
      <c r="D2" s="34"/>
      <c r="E2" s="34" t="s">
        <v>154</v>
      </c>
      <c r="F2" s="34"/>
      <c r="G2" s="34"/>
      <c r="H2" s="34"/>
      <c r="I2" s="34"/>
      <c r="J2" s="34"/>
      <c r="K2" s="34"/>
      <c r="L2" s="34"/>
      <c r="M2" s="34"/>
      <c r="N2" s="34"/>
      <c r="O2" s="34"/>
      <c r="P2" s="34"/>
      <c r="Q2" s="34"/>
      <c r="R2" s="34"/>
      <c r="S2" s="34"/>
      <c r="T2" s="34"/>
      <c r="U2" s="34"/>
      <c r="V2" s="34"/>
      <c r="W2" s="34"/>
      <c r="X2" s="34"/>
      <c r="Y2" s="34"/>
      <c r="Z2" s="34"/>
      <c r="AA2" s="34"/>
      <c r="AB2" s="34"/>
      <c r="AC2" s="34"/>
      <c r="AD2" s="34"/>
      <c r="AE2" s="34"/>
      <c r="AF2" s="34"/>
    </row>
    <row r="3" spans="1:34" x14ac:dyDescent="0.2">
      <c r="A3" s="34"/>
      <c r="B3" s="34"/>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row>
    <row r="4" spans="1:34" ht="17" thickBot="1" x14ac:dyDescent="0.25">
      <c r="A4" s="56"/>
      <c r="B4" s="56"/>
      <c r="C4" s="56"/>
      <c r="D4" s="56"/>
      <c r="E4" s="56"/>
      <c r="F4" s="56"/>
      <c r="G4" s="56"/>
      <c r="H4" s="56"/>
      <c r="I4" s="56"/>
      <c r="J4" s="56"/>
      <c r="K4" s="56"/>
      <c r="L4" s="56"/>
      <c r="M4" s="56"/>
      <c r="N4" s="56"/>
      <c r="O4" s="56"/>
      <c r="P4" s="56"/>
      <c r="Q4" s="56"/>
      <c r="R4" s="56"/>
      <c r="S4" s="56"/>
      <c r="T4" s="56"/>
      <c r="U4" s="56"/>
      <c r="V4" s="56"/>
      <c r="W4" s="56"/>
      <c r="X4" s="56"/>
      <c r="Y4" s="56"/>
      <c r="Z4" s="56"/>
      <c r="AA4" s="56"/>
      <c r="AB4" s="56"/>
      <c r="AC4" s="56"/>
      <c r="AD4" s="56"/>
      <c r="AE4" s="56"/>
      <c r="AF4" s="56"/>
    </row>
    <row r="5" spans="1:34" x14ac:dyDescent="0.2">
      <c r="A5" s="34"/>
      <c r="B5" s="34"/>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row>
    <row r="6" spans="1:34" ht="80.25" customHeight="1" x14ac:dyDescent="0.2">
      <c r="A6" s="34"/>
      <c r="B6" s="34"/>
      <c r="C6" s="57" t="s">
        <v>33</v>
      </c>
      <c r="D6" s="57" t="s">
        <v>140</v>
      </c>
      <c r="E6" s="57" t="s">
        <v>8</v>
      </c>
      <c r="F6" s="57" t="s">
        <v>9</v>
      </c>
      <c r="G6" s="57" t="s">
        <v>10</v>
      </c>
      <c r="H6" s="57" t="s">
        <v>11</v>
      </c>
      <c r="I6" s="57" t="s">
        <v>12</v>
      </c>
      <c r="J6" s="57" t="s">
        <v>141</v>
      </c>
      <c r="K6" s="57" t="s">
        <v>142</v>
      </c>
      <c r="L6" s="57" t="s">
        <v>143</v>
      </c>
      <c r="M6" s="57" t="s">
        <v>144</v>
      </c>
      <c r="N6" s="57" t="s">
        <v>145</v>
      </c>
      <c r="O6" s="57" t="s">
        <v>146</v>
      </c>
      <c r="P6" s="57" t="s">
        <v>13</v>
      </c>
      <c r="Q6" s="57" t="s">
        <v>14</v>
      </c>
      <c r="R6" s="57" t="s">
        <v>15</v>
      </c>
      <c r="S6" s="57" t="s">
        <v>147</v>
      </c>
      <c r="T6" s="57" t="s">
        <v>16</v>
      </c>
      <c r="U6" s="57" t="s">
        <v>17</v>
      </c>
      <c r="V6" s="57" t="s">
        <v>148</v>
      </c>
      <c r="W6" s="57" t="s">
        <v>149</v>
      </c>
      <c r="X6" s="57" t="s">
        <v>58</v>
      </c>
      <c r="Y6" s="57" t="s">
        <v>35</v>
      </c>
      <c r="Z6" s="57" t="s">
        <v>36</v>
      </c>
      <c r="AA6" s="57" t="s">
        <v>37</v>
      </c>
      <c r="AB6" s="57" t="s">
        <v>38</v>
      </c>
      <c r="AC6" s="57" t="s">
        <v>39</v>
      </c>
      <c r="AD6" s="57" t="s">
        <v>40</v>
      </c>
      <c r="AE6" s="57" t="s">
        <v>73</v>
      </c>
      <c r="AF6" s="57" t="s">
        <v>74</v>
      </c>
    </row>
    <row r="7" spans="1:34" x14ac:dyDescent="0.2">
      <c r="A7" s="34"/>
      <c r="B7" s="34"/>
      <c r="C7" s="58"/>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row>
    <row r="8" spans="1:34" x14ac:dyDescent="0.2">
      <c r="A8" s="34"/>
      <c r="B8" s="34"/>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row>
    <row r="9" spans="1:34" ht="17" thickBot="1" x14ac:dyDescent="0.25">
      <c r="A9" s="59"/>
      <c r="B9" s="56" t="s">
        <v>75</v>
      </c>
      <c r="C9" s="56"/>
      <c r="D9" s="59">
        <v>1</v>
      </c>
      <c r="E9" s="59">
        <v>2</v>
      </c>
      <c r="F9" s="59">
        <v>3</v>
      </c>
      <c r="G9" s="59">
        <v>4</v>
      </c>
      <c r="H9" s="59">
        <v>5</v>
      </c>
      <c r="I9" s="59">
        <v>6</v>
      </c>
      <c r="J9" s="59">
        <v>7</v>
      </c>
      <c r="K9" s="59">
        <v>8</v>
      </c>
      <c r="L9" s="59">
        <v>9</v>
      </c>
      <c r="M9" s="59">
        <v>10</v>
      </c>
      <c r="N9" s="59">
        <v>11</v>
      </c>
      <c r="O9" s="59">
        <v>12</v>
      </c>
      <c r="P9" s="59">
        <v>13</v>
      </c>
      <c r="Q9" s="59">
        <v>14</v>
      </c>
      <c r="R9" s="59">
        <v>15</v>
      </c>
      <c r="S9" s="59">
        <v>16</v>
      </c>
      <c r="T9" s="59">
        <v>17</v>
      </c>
      <c r="U9" s="59">
        <v>18</v>
      </c>
      <c r="V9" s="59">
        <v>19</v>
      </c>
      <c r="W9" s="59">
        <v>20</v>
      </c>
      <c r="X9" s="59" t="s">
        <v>5</v>
      </c>
      <c r="Y9" s="59"/>
      <c r="Z9" s="59">
        <v>21</v>
      </c>
      <c r="AA9" s="59">
        <v>22</v>
      </c>
      <c r="AB9" s="59">
        <v>23</v>
      </c>
      <c r="AC9" s="59">
        <v>24</v>
      </c>
      <c r="AD9" s="59">
        <v>25</v>
      </c>
      <c r="AE9" s="59" t="s">
        <v>6</v>
      </c>
      <c r="AF9" s="59" t="s">
        <v>7</v>
      </c>
    </row>
    <row r="10" spans="1:34" x14ac:dyDescent="0.2">
      <c r="A10" s="60">
        <v>1</v>
      </c>
      <c r="B10" s="34" t="s">
        <v>140</v>
      </c>
      <c r="C10" s="34"/>
      <c r="D10" s="93">
        <v>150.3579</v>
      </c>
      <c r="E10" s="93">
        <v>53.059199999999997</v>
      </c>
      <c r="F10" s="93">
        <v>1.5652999999999999</v>
      </c>
      <c r="G10" s="93">
        <v>6.1299000000000001</v>
      </c>
      <c r="H10" s="93">
        <v>6.3800999999999997</v>
      </c>
      <c r="I10" s="93">
        <v>0.82489999999999997</v>
      </c>
      <c r="J10" s="93">
        <v>4.0452000000000004</v>
      </c>
      <c r="K10" s="93">
        <v>9.1014999999999997</v>
      </c>
      <c r="L10" s="93">
        <v>71.711100000000002</v>
      </c>
      <c r="M10" s="93">
        <v>8.4222000000000001</v>
      </c>
      <c r="N10" s="93">
        <v>3.5604</v>
      </c>
      <c r="O10" s="93">
        <v>2.0802999999999998</v>
      </c>
      <c r="P10" s="93">
        <v>0.27489999999999998</v>
      </c>
      <c r="Q10" s="93">
        <v>2.9794</v>
      </c>
      <c r="R10" s="93">
        <v>5.6923000000000004</v>
      </c>
      <c r="S10" s="93">
        <v>1.7456</v>
      </c>
      <c r="T10" s="93">
        <v>0.52390000000000003</v>
      </c>
      <c r="U10" s="93">
        <v>1.4944999999999999</v>
      </c>
      <c r="V10" s="93">
        <v>0.98380000000000001</v>
      </c>
      <c r="W10" s="93">
        <v>1.4014</v>
      </c>
      <c r="X10" s="61">
        <v>332.33390000000003</v>
      </c>
      <c r="Y10" s="61"/>
      <c r="Z10" s="61">
        <v>189.6874</v>
      </c>
      <c r="AA10" s="61">
        <v>0.5484</v>
      </c>
      <c r="AB10" s="61">
        <v>5.0930999999999997</v>
      </c>
      <c r="AC10" s="61">
        <v>22.6813</v>
      </c>
      <c r="AD10" s="61">
        <v>191.65450000000001</v>
      </c>
      <c r="AE10" s="61">
        <v>409.66480000000001</v>
      </c>
      <c r="AF10" s="61">
        <v>741.99860000000001</v>
      </c>
      <c r="AH10" s="62"/>
    </row>
    <row r="11" spans="1:34" x14ac:dyDescent="0.2">
      <c r="A11" s="60">
        <v>2</v>
      </c>
      <c r="B11" s="34" t="s">
        <v>8</v>
      </c>
      <c r="C11" s="34"/>
      <c r="D11" s="93">
        <v>39.583300000000001</v>
      </c>
      <c r="E11" s="93">
        <v>79298.270699999994</v>
      </c>
      <c r="F11" s="93">
        <v>384.05020000000002</v>
      </c>
      <c r="G11" s="93">
        <v>5452.2282999999998</v>
      </c>
      <c r="H11" s="93">
        <v>4662.0334999999995</v>
      </c>
      <c r="I11" s="93">
        <v>416.15559999999999</v>
      </c>
      <c r="J11" s="93">
        <v>15722.867899999999</v>
      </c>
      <c r="K11" s="93">
        <v>260.3811</v>
      </c>
      <c r="L11" s="93">
        <v>1596.1310000000001</v>
      </c>
      <c r="M11" s="93">
        <v>8518.1929999999993</v>
      </c>
      <c r="N11" s="93">
        <v>736.14020000000005</v>
      </c>
      <c r="O11" s="93">
        <v>1314.6909000000001</v>
      </c>
      <c r="P11" s="93">
        <v>47.219299999999997</v>
      </c>
      <c r="Q11" s="93">
        <v>7466.9215999999997</v>
      </c>
      <c r="R11" s="93">
        <v>1407.4277</v>
      </c>
      <c r="S11" s="93">
        <v>2254.4866000000002</v>
      </c>
      <c r="T11" s="93">
        <v>666.05269999999996</v>
      </c>
      <c r="U11" s="93">
        <v>1893.0707</v>
      </c>
      <c r="V11" s="93">
        <v>224.46090000000001</v>
      </c>
      <c r="W11" s="93">
        <v>498.87189999999998</v>
      </c>
      <c r="X11" s="61">
        <v>132859.2372</v>
      </c>
      <c r="Y11" s="61"/>
      <c r="Z11" s="61">
        <v>6583.4234999999999</v>
      </c>
      <c r="AA11" s="61">
        <v>456.07679999999999</v>
      </c>
      <c r="AB11" s="61">
        <v>10745.3809</v>
      </c>
      <c r="AC11" s="61">
        <v>2874.7545</v>
      </c>
      <c r="AD11" s="61">
        <v>323098.93709999998</v>
      </c>
      <c r="AE11" s="61">
        <v>343758.57280000002</v>
      </c>
      <c r="AF11" s="61">
        <v>476617.81</v>
      </c>
      <c r="AH11" s="62"/>
    </row>
    <row r="12" spans="1:34" x14ac:dyDescent="0.2">
      <c r="A12" s="60">
        <v>3</v>
      </c>
      <c r="B12" s="34" t="s">
        <v>9</v>
      </c>
      <c r="C12" s="34"/>
      <c r="D12" s="93">
        <v>21.463999999999999</v>
      </c>
      <c r="E12" s="93">
        <v>4394.0855000000001</v>
      </c>
      <c r="F12" s="93">
        <v>4021.1460999999999</v>
      </c>
      <c r="G12" s="93">
        <v>221.28469999999999</v>
      </c>
      <c r="H12" s="93">
        <v>557.27329999999995</v>
      </c>
      <c r="I12" s="93">
        <v>431.64139999999998</v>
      </c>
      <c r="J12" s="93">
        <v>1187.8379</v>
      </c>
      <c r="K12" s="93">
        <v>325.18939999999998</v>
      </c>
      <c r="L12" s="93">
        <v>671.50930000000005</v>
      </c>
      <c r="M12" s="93">
        <v>2465.9137999999998</v>
      </c>
      <c r="N12" s="93">
        <v>440.6884</v>
      </c>
      <c r="O12" s="93">
        <v>1208.2669000000001</v>
      </c>
      <c r="P12" s="93">
        <v>2.4765000000000001</v>
      </c>
      <c r="Q12" s="93">
        <v>350.77339999999998</v>
      </c>
      <c r="R12" s="93">
        <v>89.736000000000004</v>
      </c>
      <c r="S12" s="93">
        <v>1619.4481000000001</v>
      </c>
      <c r="T12" s="93">
        <v>443.47379999999998</v>
      </c>
      <c r="U12" s="93">
        <v>439.32499999999999</v>
      </c>
      <c r="V12" s="93">
        <v>371.6816</v>
      </c>
      <c r="W12" s="93">
        <v>140.41309999999999</v>
      </c>
      <c r="X12" s="61">
        <v>19403.628100000002</v>
      </c>
      <c r="Y12" s="61"/>
      <c r="Z12" s="61">
        <v>3019.4005000000002</v>
      </c>
      <c r="AA12" s="61">
        <v>735.73779999999999</v>
      </c>
      <c r="AB12" s="61">
        <v>51.5715</v>
      </c>
      <c r="AC12" s="61">
        <v>-22.680099999999999</v>
      </c>
      <c r="AD12" s="61">
        <v>689.44330000000002</v>
      </c>
      <c r="AE12" s="61">
        <v>4473.473</v>
      </c>
      <c r="AF12" s="61">
        <v>23877.1011</v>
      </c>
      <c r="AH12" s="62"/>
    </row>
    <row r="13" spans="1:34" x14ac:dyDescent="0.2">
      <c r="A13" s="60">
        <v>4</v>
      </c>
      <c r="B13" s="34" t="s">
        <v>10</v>
      </c>
      <c r="C13" s="34"/>
      <c r="D13" s="93">
        <v>0.33760000000000001</v>
      </c>
      <c r="E13" s="93">
        <v>479.7595</v>
      </c>
      <c r="F13" s="93">
        <v>109.17870000000001</v>
      </c>
      <c r="G13" s="93">
        <v>24118.940699999999</v>
      </c>
      <c r="H13" s="93">
        <v>209.59309999999999</v>
      </c>
      <c r="I13" s="93">
        <v>36.648499999999999</v>
      </c>
      <c r="J13" s="93">
        <v>290.6164</v>
      </c>
      <c r="K13" s="93">
        <v>95.286000000000001</v>
      </c>
      <c r="L13" s="93">
        <v>46.382399999999997</v>
      </c>
      <c r="M13" s="93">
        <v>186.97210000000001</v>
      </c>
      <c r="N13" s="93">
        <v>143.5444</v>
      </c>
      <c r="O13" s="93">
        <v>2146.0448999999999</v>
      </c>
      <c r="P13" s="93">
        <v>2500.3917999999999</v>
      </c>
      <c r="Q13" s="93">
        <v>518.98289999999997</v>
      </c>
      <c r="R13" s="93">
        <v>46.524700000000003</v>
      </c>
      <c r="S13" s="93">
        <v>221.38939999999999</v>
      </c>
      <c r="T13" s="93">
        <v>143.83179999999999</v>
      </c>
      <c r="U13" s="93">
        <v>80.443600000000004</v>
      </c>
      <c r="V13" s="93">
        <v>87.005899999999997</v>
      </c>
      <c r="W13" s="93">
        <v>16.034199999999998</v>
      </c>
      <c r="X13" s="61">
        <v>31477.9087</v>
      </c>
      <c r="Y13" s="61"/>
      <c r="Z13" s="61">
        <v>29.068899999999999</v>
      </c>
      <c r="AA13" s="61">
        <v>3.2124999999999999</v>
      </c>
      <c r="AB13" s="61">
        <v>37877.527999999998</v>
      </c>
      <c r="AC13" s="61">
        <v>0</v>
      </c>
      <c r="AD13" s="61">
        <v>1697.3321000000001</v>
      </c>
      <c r="AE13" s="61">
        <v>39607.141499999998</v>
      </c>
      <c r="AF13" s="61">
        <v>71085.050199999998</v>
      </c>
      <c r="AH13" s="62"/>
    </row>
    <row r="14" spans="1:34" x14ac:dyDescent="0.2">
      <c r="A14" s="60">
        <v>5</v>
      </c>
      <c r="B14" s="34" t="s">
        <v>11</v>
      </c>
      <c r="C14" s="34"/>
      <c r="D14" s="93">
        <v>58.186599999999999</v>
      </c>
      <c r="E14" s="93">
        <v>15825.8256</v>
      </c>
      <c r="F14" s="93">
        <v>210.72200000000001</v>
      </c>
      <c r="G14" s="93">
        <v>2394.2422000000001</v>
      </c>
      <c r="H14" s="93">
        <v>6520.6557000000003</v>
      </c>
      <c r="I14" s="93">
        <v>434.77050000000003</v>
      </c>
      <c r="J14" s="93">
        <v>5905.8334999999997</v>
      </c>
      <c r="K14" s="93">
        <v>220.12100000000001</v>
      </c>
      <c r="L14" s="93">
        <v>921.92840000000001</v>
      </c>
      <c r="M14" s="93">
        <v>7279.2354999999998</v>
      </c>
      <c r="N14" s="93">
        <v>1255.229</v>
      </c>
      <c r="O14" s="93">
        <v>463.38670000000002</v>
      </c>
      <c r="P14" s="93">
        <v>46.413800000000002</v>
      </c>
      <c r="Q14" s="93">
        <v>1463.7242000000001</v>
      </c>
      <c r="R14" s="93">
        <v>595.73810000000003</v>
      </c>
      <c r="S14" s="93">
        <v>1280.066</v>
      </c>
      <c r="T14" s="93">
        <v>315.4889</v>
      </c>
      <c r="U14" s="93">
        <v>671.81089999999995</v>
      </c>
      <c r="V14" s="93">
        <v>114.5311</v>
      </c>
      <c r="W14" s="93">
        <v>289.69940000000003</v>
      </c>
      <c r="X14" s="61">
        <v>46267.609299999996</v>
      </c>
      <c r="Y14" s="61"/>
      <c r="Z14" s="61">
        <v>8823.9313000000002</v>
      </c>
      <c r="AA14" s="61">
        <v>78.777000000000001</v>
      </c>
      <c r="AB14" s="61">
        <v>7627.8284000000003</v>
      </c>
      <c r="AC14" s="61">
        <v>5.3761999999999999</v>
      </c>
      <c r="AD14" s="61">
        <v>253223.83679999999</v>
      </c>
      <c r="AE14" s="61">
        <v>269759.74979999999</v>
      </c>
      <c r="AF14" s="61">
        <v>316027.3591</v>
      </c>
      <c r="AH14" s="62"/>
    </row>
    <row r="15" spans="1:34" x14ac:dyDescent="0.2">
      <c r="A15" s="60">
        <v>6</v>
      </c>
      <c r="B15" s="34" t="s">
        <v>12</v>
      </c>
      <c r="C15" s="34"/>
      <c r="D15" s="93">
        <v>0.14430000000000001</v>
      </c>
      <c r="E15" s="93">
        <v>61.697299999999998</v>
      </c>
      <c r="F15" s="93">
        <v>3.456</v>
      </c>
      <c r="G15" s="93">
        <v>242.27350000000001</v>
      </c>
      <c r="H15" s="93">
        <v>492.6422</v>
      </c>
      <c r="I15" s="93">
        <v>221.11949999999999</v>
      </c>
      <c r="J15" s="93">
        <v>251.0164</v>
      </c>
      <c r="K15" s="93">
        <v>18.8261</v>
      </c>
      <c r="L15" s="93">
        <v>196.2114</v>
      </c>
      <c r="M15" s="93">
        <v>297.19470000000001</v>
      </c>
      <c r="N15" s="93">
        <v>76.433400000000006</v>
      </c>
      <c r="O15" s="93">
        <v>39.299199999999999</v>
      </c>
      <c r="P15" s="93">
        <v>3.6360999999999999</v>
      </c>
      <c r="Q15" s="93">
        <v>122.9074</v>
      </c>
      <c r="R15" s="93">
        <v>42.2395</v>
      </c>
      <c r="S15" s="93">
        <v>99.2958</v>
      </c>
      <c r="T15" s="93">
        <v>31.9115</v>
      </c>
      <c r="U15" s="93">
        <v>67.4953</v>
      </c>
      <c r="V15" s="93">
        <v>13.9665</v>
      </c>
      <c r="W15" s="93">
        <v>33.585999999999999</v>
      </c>
      <c r="X15" s="61">
        <v>2315.3519999999999</v>
      </c>
      <c r="Y15" s="61"/>
      <c r="Z15" s="61">
        <v>12169.2497</v>
      </c>
      <c r="AA15" s="61">
        <v>6.7215999999999996</v>
      </c>
      <c r="AB15" s="61">
        <v>132.97</v>
      </c>
      <c r="AC15" s="61">
        <v>0</v>
      </c>
      <c r="AD15" s="61">
        <v>2174.0387000000001</v>
      </c>
      <c r="AE15" s="61">
        <v>14482.98</v>
      </c>
      <c r="AF15" s="61">
        <v>16798.331999999999</v>
      </c>
      <c r="AH15" s="62"/>
    </row>
    <row r="16" spans="1:34" x14ac:dyDescent="0.2">
      <c r="A16" s="60">
        <v>7</v>
      </c>
      <c r="B16" s="34" t="s">
        <v>141</v>
      </c>
      <c r="C16" s="34"/>
      <c r="D16" s="93">
        <v>2.8565999999999998</v>
      </c>
      <c r="E16" s="93">
        <v>3581.2449999999999</v>
      </c>
      <c r="F16" s="93">
        <v>139.67169999999999</v>
      </c>
      <c r="G16" s="93">
        <v>322.7944</v>
      </c>
      <c r="H16" s="93">
        <v>25877.245999999999</v>
      </c>
      <c r="I16" s="93">
        <v>857.77800000000002</v>
      </c>
      <c r="J16" s="93">
        <v>86667.435700000002</v>
      </c>
      <c r="K16" s="93">
        <v>37.796399999999998</v>
      </c>
      <c r="L16" s="93">
        <v>168.45910000000001</v>
      </c>
      <c r="M16" s="93">
        <v>1960.5673999999999</v>
      </c>
      <c r="N16" s="93">
        <v>1132.4567</v>
      </c>
      <c r="O16" s="93">
        <v>507.86180000000002</v>
      </c>
      <c r="P16" s="93">
        <v>49.366500000000002</v>
      </c>
      <c r="Q16" s="93">
        <v>519.09310000000005</v>
      </c>
      <c r="R16" s="93">
        <v>516.01559999999995</v>
      </c>
      <c r="S16" s="93">
        <v>2674.1997000000001</v>
      </c>
      <c r="T16" s="93">
        <v>136.46299999999999</v>
      </c>
      <c r="U16" s="93">
        <v>177.37780000000001</v>
      </c>
      <c r="V16" s="93">
        <v>68.326499999999996</v>
      </c>
      <c r="W16" s="93">
        <v>77.570599999999999</v>
      </c>
      <c r="X16" s="61">
        <v>125474.5816</v>
      </c>
      <c r="Y16" s="61"/>
      <c r="Z16" s="61">
        <v>7749.1687000000002</v>
      </c>
      <c r="AA16" s="61">
        <v>58.236600000000003</v>
      </c>
      <c r="AB16" s="61">
        <v>357.28969999999998</v>
      </c>
      <c r="AC16" s="61">
        <v>4.6371000000000002</v>
      </c>
      <c r="AD16" s="61">
        <v>186500.87100000001</v>
      </c>
      <c r="AE16" s="61">
        <v>194670.20319999999</v>
      </c>
      <c r="AF16" s="61">
        <v>320144.78480000002</v>
      </c>
      <c r="AH16" s="62"/>
    </row>
    <row r="17" spans="1:34" x14ac:dyDescent="0.2">
      <c r="A17" s="60">
        <v>8</v>
      </c>
      <c r="B17" s="34" t="s">
        <v>142</v>
      </c>
      <c r="C17" s="34"/>
      <c r="D17" s="93">
        <v>3.5799999999999998E-2</v>
      </c>
      <c r="E17" s="93">
        <v>51.682699999999997</v>
      </c>
      <c r="F17" s="93">
        <v>10.66</v>
      </c>
      <c r="G17" s="93">
        <v>46.460099999999997</v>
      </c>
      <c r="H17" s="93">
        <v>255.0248</v>
      </c>
      <c r="I17" s="93">
        <v>43.013100000000001</v>
      </c>
      <c r="J17" s="93">
        <v>316.40940000000001</v>
      </c>
      <c r="K17" s="93">
        <v>8.4842999999999993</v>
      </c>
      <c r="L17" s="93">
        <v>41.190100000000001</v>
      </c>
      <c r="M17" s="93">
        <v>86.341399999999993</v>
      </c>
      <c r="N17" s="93">
        <v>204.00810000000001</v>
      </c>
      <c r="O17" s="93">
        <v>20.8689</v>
      </c>
      <c r="P17" s="93">
        <v>0.28079999999999999</v>
      </c>
      <c r="Q17" s="93">
        <v>93.674199999999999</v>
      </c>
      <c r="R17" s="93">
        <v>44.463700000000003</v>
      </c>
      <c r="S17" s="93">
        <v>104.9036</v>
      </c>
      <c r="T17" s="93">
        <v>18.9099</v>
      </c>
      <c r="U17" s="93">
        <v>13.0146</v>
      </c>
      <c r="V17" s="93">
        <v>17.918600000000001</v>
      </c>
      <c r="W17" s="93">
        <v>18.100999999999999</v>
      </c>
      <c r="X17" s="61">
        <v>1395.4452000000001</v>
      </c>
      <c r="Y17" s="61"/>
      <c r="Z17" s="61">
        <v>1548.6393</v>
      </c>
      <c r="AA17" s="61">
        <v>39.282800000000002</v>
      </c>
      <c r="AB17" s="61">
        <v>53.182699999999997</v>
      </c>
      <c r="AC17" s="61">
        <v>0</v>
      </c>
      <c r="AD17" s="61">
        <v>3500.8672999999999</v>
      </c>
      <c r="AE17" s="61">
        <v>5141.9721</v>
      </c>
      <c r="AF17" s="61">
        <v>6537.4173000000001</v>
      </c>
      <c r="AH17" s="62"/>
    </row>
    <row r="18" spans="1:34" x14ac:dyDescent="0.2">
      <c r="A18" s="60">
        <v>9</v>
      </c>
      <c r="B18" s="34" t="s">
        <v>143</v>
      </c>
      <c r="C18" s="34"/>
      <c r="D18" s="93">
        <v>0.26960000000000001</v>
      </c>
      <c r="E18" s="93">
        <v>105.5557</v>
      </c>
      <c r="F18" s="93">
        <v>25.067399999999999</v>
      </c>
      <c r="G18" s="93">
        <v>62.0244</v>
      </c>
      <c r="H18" s="93">
        <v>911.19320000000005</v>
      </c>
      <c r="I18" s="93">
        <v>90.4238</v>
      </c>
      <c r="J18" s="93">
        <v>684.93880000000001</v>
      </c>
      <c r="K18" s="93">
        <v>15.26</v>
      </c>
      <c r="L18" s="93">
        <v>118.55759999999999</v>
      </c>
      <c r="M18" s="93">
        <v>243.09520000000001</v>
      </c>
      <c r="N18" s="93">
        <v>700.69500000000005</v>
      </c>
      <c r="O18" s="93">
        <v>84.263999999999996</v>
      </c>
      <c r="P18" s="93">
        <v>1.2981</v>
      </c>
      <c r="Q18" s="93">
        <v>199.49789999999999</v>
      </c>
      <c r="R18" s="93">
        <v>120.67700000000001</v>
      </c>
      <c r="S18" s="93">
        <v>111.9744</v>
      </c>
      <c r="T18" s="93">
        <v>42.055799999999998</v>
      </c>
      <c r="U18" s="93">
        <v>38.902900000000002</v>
      </c>
      <c r="V18" s="93">
        <v>66.172499999999999</v>
      </c>
      <c r="W18" s="93">
        <v>25.6494</v>
      </c>
      <c r="X18" s="61">
        <v>3647.5726</v>
      </c>
      <c r="Y18" s="61"/>
      <c r="Z18" s="61">
        <v>8921.1826999999994</v>
      </c>
      <c r="AA18" s="61">
        <v>212.2054</v>
      </c>
      <c r="AB18" s="61">
        <v>62.069000000000003</v>
      </c>
      <c r="AC18" s="61">
        <v>0</v>
      </c>
      <c r="AD18" s="61">
        <v>1967.1793</v>
      </c>
      <c r="AE18" s="61">
        <v>11162.636500000001</v>
      </c>
      <c r="AF18" s="61">
        <v>14810.2091</v>
      </c>
      <c r="AH18" s="62"/>
    </row>
    <row r="19" spans="1:34" x14ac:dyDescent="0.2">
      <c r="A19" s="63">
        <v>10</v>
      </c>
      <c r="B19" s="58" t="s">
        <v>144</v>
      </c>
      <c r="C19" s="58"/>
      <c r="D19" s="94">
        <v>2.0649999999999999</v>
      </c>
      <c r="E19" s="94">
        <v>2021.991</v>
      </c>
      <c r="F19" s="94">
        <v>222.16149999999999</v>
      </c>
      <c r="G19" s="94">
        <v>323.82510000000002</v>
      </c>
      <c r="H19" s="94">
        <v>6441.0324000000001</v>
      </c>
      <c r="I19" s="94">
        <v>416.4153</v>
      </c>
      <c r="J19" s="94">
        <v>1952.9204</v>
      </c>
      <c r="K19" s="94">
        <v>136.03100000000001</v>
      </c>
      <c r="L19" s="94">
        <v>161.2295</v>
      </c>
      <c r="M19" s="94">
        <v>39910.883399999999</v>
      </c>
      <c r="N19" s="94">
        <v>6346.6041999999998</v>
      </c>
      <c r="O19" s="94">
        <v>1124.7718</v>
      </c>
      <c r="P19" s="94">
        <v>112.7133</v>
      </c>
      <c r="Q19" s="94">
        <v>3669.6423</v>
      </c>
      <c r="R19" s="94">
        <v>762.3021</v>
      </c>
      <c r="S19" s="94">
        <v>3276.6259</v>
      </c>
      <c r="T19" s="94">
        <v>586.62289999999996</v>
      </c>
      <c r="U19" s="94">
        <v>818.45330000000001</v>
      </c>
      <c r="V19" s="94">
        <v>304.24470000000002</v>
      </c>
      <c r="W19" s="94">
        <v>226.04060000000001</v>
      </c>
      <c r="X19" s="64">
        <v>68816.575700000001</v>
      </c>
      <c r="Y19" s="64"/>
      <c r="Z19" s="64">
        <v>5099.7148999999999</v>
      </c>
      <c r="AA19" s="64">
        <v>308.19729999999998</v>
      </c>
      <c r="AB19" s="64">
        <v>8656.4940000000006</v>
      </c>
      <c r="AC19" s="64">
        <v>0.1381</v>
      </c>
      <c r="AD19" s="64">
        <v>99794.685700000002</v>
      </c>
      <c r="AE19" s="64">
        <v>113859.22990000001</v>
      </c>
      <c r="AF19" s="64">
        <v>182675.8057</v>
      </c>
      <c r="AH19" s="62"/>
    </row>
    <row r="20" spans="1:34" x14ac:dyDescent="0.2">
      <c r="A20" s="65">
        <v>11</v>
      </c>
      <c r="B20" s="66" t="s">
        <v>145</v>
      </c>
      <c r="C20" s="66"/>
      <c r="D20" s="95">
        <v>4.1203000000000003</v>
      </c>
      <c r="E20" s="95">
        <v>3063.8852999999999</v>
      </c>
      <c r="F20" s="95">
        <v>372.9794</v>
      </c>
      <c r="G20" s="95">
        <v>677.28800000000001</v>
      </c>
      <c r="H20" s="95">
        <v>8228.9701999999997</v>
      </c>
      <c r="I20" s="95">
        <v>792.75009999999997</v>
      </c>
      <c r="J20" s="95">
        <v>2104.1257999999998</v>
      </c>
      <c r="K20" s="95">
        <v>207.59979999999999</v>
      </c>
      <c r="L20" s="95">
        <v>289.45400000000001</v>
      </c>
      <c r="M20" s="95">
        <v>3159.0598</v>
      </c>
      <c r="N20" s="95">
        <v>26941.611700000001</v>
      </c>
      <c r="O20" s="95">
        <v>5349.2798000000003</v>
      </c>
      <c r="P20" s="95">
        <v>680.94259999999997</v>
      </c>
      <c r="Q20" s="95">
        <v>1613.9057</v>
      </c>
      <c r="R20" s="95">
        <v>760.85889999999995</v>
      </c>
      <c r="S20" s="95">
        <v>6553.7587999999996</v>
      </c>
      <c r="T20" s="95">
        <v>248.86959999999999</v>
      </c>
      <c r="U20" s="95">
        <v>424.08659999999998</v>
      </c>
      <c r="V20" s="95">
        <v>192.02099999999999</v>
      </c>
      <c r="W20" s="95">
        <v>170.9468</v>
      </c>
      <c r="X20" s="67">
        <v>61836.5141</v>
      </c>
      <c r="Y20" s="67"/>
      <c r="Z20" s="67">
        <v>28121.017599999999</v>
      </c>
      <c r="AA20" s="67">
        <v>600.78859999999997</v>
      </c>
      <c r="AB20" s="67">
        <v>1208.0136</v>
      </c>
      <c r="AC20" s="67">
        <v>0</v>
      </c>
      <c r="AD20" s="67">
        <v>77930.303899999999</v>
      </c>
      <c r="AE20" s="67">
        <v>107860.1237</v>
      </c>
      <c r="AF20" s="67">
        <v>169696.6379</v>
      </c>
      <c r="AH20" s="62"/>
    </row>
    <row r="21" spans="1:34" x14ac:dyDescent="0.2">
      <c r="A21" s="60">
        <v>12</v>
      </c>
      <c r="B21" s="34" t="s">
        <v>146</v>
      </c>
      <c r="C21" s="34"/>
      <c r="D21" s="93">
        <v>0.2858</v>
      </c>
      <c r="E21" s="93">
        <v>1354.5088000000001</v>
      </c>
      <c r="F21" s="93">
        <v>177.05590000000001</v>
      </c>
      <c r="G21" s="93">
        <v>376.07409999999999</v>
      </c>
      <c r="H21" s="93">
        <v>4466.1472999999996</v>
      </c>
      <c r="I21" s="93">
        <v>2658.3710000000001</v>
      </c>
      <c r="J21" s="93">
        <v>1156.4606000000001</v>
      </c>
      <c r="K21" s="93">
        <v>349.19869999999997</v>
      </c>
      <c r="L21" s="93">
        <v>1554.0011</v>
      </c>
      <c r="M21" s="93">
        <v>2906.9016999999999</v>
      </c>
      <c r="N21" s="93">
        <v>2756.0155</v>
      </c>
      <c r="O21" s="93">
        <v>1660.4422999999999</v>
      </c>
      <c r="P21" s="93">
        <v>11.5441</v>
      </c>
      <c r="Q21" s="93">
        <v>1871.0331000000001</v>
      </c>
      <c r="R21" s="93">
        <v>600.70740000000001</v>
      </c>
      <c r="S21" s="93">
        <v>746.76649999999995</v>
      </c>
      <c r="T21" s="93">
        <v>479.3793</v>
      </c>
      <c r="U21" s="93">
        <v>800.8374</v>
      </c>
      <c r="V21" s="93">
        <v>300.42309999999998</v>
      </c>
      <c r="W21" s="93">
        <v>626.03869999999995</v>
      </c>
      <c r="X21" s="61">
        <v>24852.1924</v>
      </c>
      <c r="Y21" s="61"/>
      <c r="Z21" s="61">
        <v>2497.3265999999999</v>
      </c>
      <c r="AA21" s="61">
        <v>119.34399999999999</v>
      </c>
      <c r="AB21" s="61">
        <v>10015.571599999999</v>
      </c>
      <c r="AC21" s="61">
        <v>1.2999999999999999E-3</v>
      </c>
      <c r="AD21" s="61">
        <v>1472.2736</v>
      </c>
      <c r="AE21" s="61">
        <v>14104.517</v>
      </c>
      <c r="AF21" s="61">
        <v>38956.7094</v>
      </c>
      <c r="AH21" s="62"/>
    </row>
    <row r="22" spans="1:34" x14ac:dyDescent="0.2">
      <c r="A22" s="60">
        <v>13</v>
      </c>
      <c r="B22" s="34" t="s">
        <v>13</v>
      </c>
      <c r="C22" s="34"/>
      <c r="D22" s="93">
        <v>0</v>
      </c>
      <c r="E22" s="93">
        <v>0</v>
      </c>
      <c r="F22" s="93">
        <v>0</v>
      </c>
      <c r="G22" s="93">
        <v>0</v>
      </c>
      <c r="H22" s="93">
        <v>0</v>
      </c>
      <c r="I22" s="93">
        <v>0</v>
      </c>
      <c r="J22" s="93">
        <v>0</v>
      </c>
      <c r="K22" s="93">
        <v>0</v>
      </c>
      <c r="L22" s="93">
        <v>0</v>
      </c>
      <c r="M22" s="93">
        <v>0</v>
      </c>
      <c r="N22" s="93">
        <v>0</v>
      </c>
      <c r="O22" s="93">
        <v>0</v>
      </c>
      <c r="P22" s="93">
        <v>0</v>
      </c>
      <c r="Q22" s="93">
        <v>0</v>
      </c>
      <c r="R22" s="93">
        <v>0</v>
      </c>
      <c r="S22" s="93">
        <v>0</v>
      </c>
      <c r="T22" s="93">
        <v>0</v>
      </c>
      <c r="U22" s="93">
        <v>0</v>
      </c>
      <c r="V22" s="93">
        <v>0</v>
      </c>
      <c r="W22" s="93">
        <v>0</v>
      </c>
      <c r="X22" s="61">
        <v>0</v>
      </c>
      <c r="Y22" s="61"/>
      <c r="Z22" s="61">
        <v>24241.766800000001</v>
      </c>
      <c r="AA22" s="61">
        <v>0</v>
      </c>
      <c r="AB22" s="61">
        <v>0</v>
      </c>
      <c r="AC22" s="61">
        <v>0</v>
      </c>
      <c r="AD22" s="61">
        <v>503.63319999999999</v>
      </c>
      <c r="AE22" s="61">
        <v>24745.4</v>
      </c>
      <c r="AF22" s="61">
        <v>24745.4</v>
      </c>
      <c r="AH22" s="62"/>
    </row>
    <row r="23" spans="1:34" x14ac:dyDescent="0.2">
      <c r="A23" s="60">
        <v>14</v>
      </c>
      <c r="B23" s="34" t="s">
        <v>14</v>
      </c>
      <c r="C23" s="34"/>
      <c r="D23" s="93">
        <v>5.1268000000000002</v>
      </c>
      <c r="E23" s="93">
        <v>3905.6788000000001</v>
      </c>
      <c r="F23" s="93">
        <v>197.2362</v>
      </c>
      <c r="G23" s="93">
        <v>1622.8725999999999</v>
      </c>
      <c r="H23" s="93">
        <v>8870.7577999999994</v>
      </c>
      <c r="I23" s="93">
        <v>535.60419999999999</v>
      </c>
      <c r="J23" s="93">
        <v>2031.3254999999999</v>
      </c>
      <c r="K23" s="93">
        <v>308.73899999999998</v>
      </c>
      <c r="L23" s="93">
        <v>246.4496</v>
      </c>
      <c r="M23" s="93">
        <v>7326.5348999999997</v>
      </c>
      <c r="N23" s="93">
        <v>4336.1288999999997</v>
      </c>
      <c r="O23" s="93">
        <v>2615.5068999999999</v>
      </c>
      <c r="P23" s="93">
        <v>390.20650000000001</v>
      </c>
      <c r="Q23" s="93">
        <v>4357.8149999999996</v>
      </c>
      <c r="R23" s="93">
        <v>969.4126</v>
      </c>
      <c r="S23" s="93">
        <v>1558.6089999999999</v>
      </c>
      <c r="T23" s="93">
        <v>459.6816</v>
      </c>
      <c r="U23" s="93">
        <v>469.26690000000002</v>
      </c>
      <c r="V23" s="93">
        <v>296.15129999999999</v>
      </c>
      <c r="W23" s="93">
        <v>274.3886</v>
      </c>
      <c r="X23" s="61">
        <v>40777.4928</v>
      </c>
      <c r="Y23" s="61"/>
      <c r="Z23" s="61">
        <v>849.68430000000001</v>
      </c>
      <c r="AA23" s="61">
        <v>1125.7217000000001</v>
      </c>
      <c r="AB23" s="61">
        <v>7815.3175000000001</v>
      </c>
      <c r="AC23" s="61">
        <v>20.684200000000001</v>
      </c>
      <c r="AD23" s="61">
        <v>27272.008999999998</v>
      </c>
      <c r="AE23" s="61">
        <v>37083.416700000002</v>
      </c>
      <c r="AF23" s="61">
        <v>77860.909499999994</v>
      </c>
      <c r="AH23" s="62"/>
    </row>
    <row r="24" spans="1:34" x14ac:dyDescent="0.2">
      <c r="A24" s="60">
        <v>15</v>
      </c>
      <c r="B24" s="34" t="s">
        <v>15</v>
      </c>
      <c r="C24" s="34"/>
      <c r="D24" s="93">
        <v>0.2198</v>
      </c>
      <c r="E24" s="93">
        <v>1999.4712999999999</v>
      </c>
      <c r="F24" s="93">
        <v>251.50649999999999</v>
      </c>
      <c r="G24" s="93">
        <v>550.51179999999999</v>
      </c>
      <c r="H24" s="93">
        <v>3754.4231</v>
      </c>
      <c r="I24" s="93">
        <v>284.53059999999999</v>
      </c>
      <c r="J24" s="93">
        <v>2810.5752000000002</v>
      </c>
      <c r="K24" s="93">
        <v>97.102199999999996</v>
      </c>
      <c r="L24" s="93">
        <v>146.089</v>
      </c>
      <c r="M24" s="93">
        <v>2915.3108000000002</v>
      </c>
      <c r="N24" s="93">
        <v>1295.8615</v>
      </c>
      <c r="O24" s="93">
        <v>1792.2797</v>
      </c>
      <c r="P24" s="93">
        <v>315.07339999999999</v>
      </c>
      <c r="Q24" s="93">
        <v>799.23590000000002</v>
      </c>
      <c r="R24" s="93">
        <v>1797.2317</v>
      </c>
      <c r="S24" s="93">
        <v>953.32259999999997</v>
      </c>
      <c r="T24" s="93">
        <v>265.96769999999998</v>
      </c>
      <c r="U24" s="93">
        <v>615.37099999999998</v>
      </c>
      <c r="V24" s="93">
        <v>184.1396</v>
      </c>
      <c r="W24" s="93">
        <v>122.13809999999999</v>
      </c>
      <c r="X24" s="61">
        <v>20950.361499999999</v>
      </c>
      <c r="Y24" s="61"/>
      <c r="Z24" s="61">
        <v>827.2749</v>
      </c>
      <c r="AA24" s="61">
        <v>42.6526</v>
      </c>
      <c r="AB24" s="61">
        <v>148.01650000000001</v>
      </c>
      <c r="AC24" s="61">
        <v>0.92530000000000001</v>
      </c>
      <c r="AD24" s="61">
        <v>8252.8353999999999</v>
      </c>
      <c r="AE24" s="61">
        <v>9271.7047000000002</v>
      </c>
      <c r="AF24" s="61">
        <v>30222.066200000001</v>
      </c>
      <c r="AH24" s="62"/>
    </row>
    <row r="25" spans="1:34" x14ac:dyDescent="0.2">
      <c r="A25" s="60">
        <v>16</v>
      </c>
      <c r="B25" s="34" t="s">
        <v>147</v>
      </c>
      <c r="C25" s="34"/>
      <c r="D25" s="93">
        <v>0.2324</v>
      </c>
      <c r="E25" s="93">
        <v>125.34650000000001</v>
      </c>
      <c r="F25" s="93">
        <v>55.1496</v>
      </c>
      <c r="G25" s="93">
        <v>130.29509999999999</v>
      </c>
      <c r="H25" s="93">
        <v>736.88649999999996</v>
      </c>
      <c r="I25" s="93">
        <v>153.35390000000001</v>
      </c>
      <c r="J25" s="93">
        <v>376.62450000000001</v>
      </c>
      <c r="K25" s="93">
        <v>27.4312</v>
      </c>
      <c r="L25" s="93">
        <v>70.180700000000002</v>
      </c>
      <c r="M25" s="93">
        <v>639.07360000000006</v>
      </c>
      <c r="N25" s="93">
        <v>378.75450000000001</v>
      </c>
      <c r="O25" s="93">
        <v>399.83600000000001</v>
      </c>
      <c r="P25" s="93">
        <v>4.4215999999999998</v>
      </c>
      <c r="Q25" s="93">
        <v>308.38420000000002</v>
      </c>
      <c r="R25" s="93">
        <v>50.219299999999997</v>
      </c>
      <c r="S25" s="93">
        <v>878.68340000000001</v>
      </c>
      <c r="T25" s="93">
        <v>33.581099999999999</v>
      </c>
      <c r="U25" s="93">
        <v>54.331000000000003</v>
      </c>
      <c r="V25" s="93">
        <v>86.466200000000001</v>
      </c>
      <c r="W25" s="93">
        <v>33.5871</v>
      </c>
      <c r="X25" s="61">
        <v>4542.8384999999998</v>
      </c>
      <c r="Y25" s="61"/>
      <c r="Z25" s="61">
        <v>720.82560000000001</v>
      </c>
      <c r="AA25" s="61">
        <v>40426.674700000003</v>
      </c>
      <c r="AB25" s="61">
        <v>437.25400000000002</v>
      </c>
      <c r="AC25" s="61">
        <v>-0.1973</v>
      </c>
      <c r="AD25" s="61">
        <v>1161.5942</v>
      </c>
      <c r="AE25" s="61">
        <v>42746.151299999998</v>
      </c>
      <c r="AF25" s="61">
        <v>47288.989800000003</v>
      </c>
      <c r="AH25" s="62"/>
    </row>
    <row r="26" spans="1:34" x14ac:dyDescent="0.2">
      <c r="A26" s="60">
        <v>17</v>
      </c>
      <c r="B26" s="34" t="s">
        <v>16</v>
      </c>
      <c r="C26" s="34"/>
      <c r="D26" s="93">
        <v>0.12770000000000001</v>
      </c>
      <c r="E26" s="93">
        <v>113.79470000000001</v>
      </c>
      <c r="F26" s="93">
        <v>7.7994000000000003</v>
      </c>
      <c r="G26" s="93">
        <v>19.250299999999999</v>
      </c>
      <c r="H26" s="93">
        <v>274.71839999999997</v>
      </c>
      <c r="I26" s="93">
        <v>29.138999999999999</v>
      </c>
      <c r="J26" s="93">
        <v>99.433599999999998</v>
      </c>
      <c r="K26" s="93">
        <v>17.940799999999999</v>
      </c>
      <c r="L26" s="93">
        <v>19.046199999999999</v>
      </c>
      <c r="M26" s="93">
        <v>314.18700000000001</v>
      </c>
      <c r="N26" s="93">
        <v>165.19139999999999</v>
      </c>
      <c r="O26" s="93">
        <v>76.034300000000002</v>
      </c>
      <c r="P26" s="93">
        <v>7.0587999999999997</v>
      </c>
      <c r="Q26" s="93">
        <v>147.18029999999999</v>
      </c>
      <c r="R26" s="93">
        <v>39.795400000000001</v>
      </c>
      <c r="S26" s="93">
        <v>293.95510000000002</v>
      </c>
      <c r="T26" s="93">
        <v>455.11270000000002</v>
      </c>
      <c r="U26" s="93">
        <v>34.628599999999999</v>
      </c>
      <c r="V26" s="93">
        <v>15.1508</v>
      </c>
      <c r="W26" s="93">
        <v>16.375399999999999</v>
      </c>
      <c r="X26" s="61">
        <v>2145.9198999999999</v>
      </c>
      <c r="Y26" s="61"/>
      <c r="Z26" s="61">
        <v>6884.1547</v>
      </c>
      <c r="AA26" s="61">
        <v>9602.6761000000006</v>
      </c>
      <c r="AB26" s="61">
        <v>196.0626</v>
      </c>
      <c r="AC26" s="61">
        <v>1.6000000000000001E-3</v>
      </c>
      <c r="AD26" s="61">
        <v>3100.3456000000001</v>
      </c>
      <c r="AE26" s="61">
        <v>19783.240600000001</v>
      </c>
      <c r="AF26" s="61">
        <v>21929.160500000002</v>
      </c>
      <c r="AH26" s="62"/>
    </row>
    <row r="27" spans="1:34" x14ac:dyDescent="0.2">
      <c r="A27" s="60">
        <v>18</v>
      </c>
      <c r="B27" s="34" t="s">
        <v>17</v>
      </c>
      <c r="C27" s="34"/>
      <c r="D27" s="93">
        <v>4.3299999999999998E-2</v>
      </c>
      <c r="E27" s="93">
        <v>27.471499999999999</v>
      </c>
      <c r="F27" s="93">
        <v>6.0107999999999997</v>
      </c>
      <c r="G27" s="93">
        <v>12.4962</v>
      </c>
      <c r="H27" s="93">
        <v>113.0701</v>
      </c>
      <c r="I27" s="93">
        <v>19.421900000000001</v>
      </c>
      <c r="J27" s="93">
        <v>74.201099999999997</v>
      </c>
      <c r="K27" s="93">
        <v>5.3209</v>
      </c>
      <c r="L27" s="93">
        <v>14.279299999999999</v>
      </c>
      <c r="M27" s="93">
        <v>96.777600000000007</v>
      </c>
      <c r="N27" s="93">
        <v>94.062899999999999</v>
      </c>
      <c r="O27" s="93">
        <v>32.523099999999999</v>
      </c>
      <c r="P27" s="93">
        <v>1.9353</v>
      </c>
      <c r="Q27" s="93">
        <v>423.97030000000001</v>
      </c>
      <c r="R27" s="93">
        <v>63.150100000000002</v>
      </c>
      <c r="S27" s="93">
        <v>413.79700000000003</v>
      </c>
      <c r="T27" s="93">
        <v>25.481100000000001</v>
      </c>
      <c r="U27" s="93">
        <v>3062.5720999999999</v>
      </c>
      <c r="V27" s="93">
        <v>277.58150000000001</v>
      </c>
      <c r="W27" s="93">
        <v>59.344000000000001</v>
      </c>
      <c r="X27" s="61">
        <v>4823.5101000000004</v>
      </c>
      <c r="Y27" s="61"/>
      <c r="Z27" s="61">
        <v>12888.7693</v>
      </c>
      <c r="AA27" s="61">
        <v>9810.2224999999999</v>
      </c>
      <c r="AB27" s="61">
        <v>94.404700000000005</v>
      </c>
      <c r="AC27" s="61">
        <v>0</v>
      </c>
      <c r="AD27" s="61">
        <v>789.22680000000003</v>
      </c>
      <c r="AE27" s="61">
        <v>23582.623299999999</v>
      </c>
      <c r="AF27" s="61">
        <v>28406.133399999999</v>
      </c>
      <c r="AH27" s="62"/>
    </row>
    <row r="28" spans="1:34" x14ac:dyDescent="0.2">
      <c r="A28" s="60">
        <v>19</v>
      </c>
      <c r="B28" s="34" t="s">
        <v>148</v>
      </c>
      <c r="C28" s="34"/>
      <c r="D28" s="93">
        <v>1.8200000000000001E-2</v>
      </c>
      <c r="E28" s="93">
        <v>26.596399999999999</v>
      </c>
      <c r="F28" s="93">
        <v>3.7101999999999999</v>
      </c>
      <c r="G28" s="93">
        <v>63.051099999999998</v>
      </c>
      <c r="H28" s="93">
        <v>142.68389999999999</v>
      </c>
      <c r="I28" s="93">
        <v>56.7789</v>
      </c>
      <c r="J28" s="93">
        <v>71.937799999999996</v>
      </c>
      <c r="K28" s="93">
        <v>8.9281000000000006</v>
      </c>
      <c r="L28" s="93">
        <v>17.1402</v>
      </c>
      <c r="M28" s="93">
        <v>212.05940000000001</v>
      </c>
      <c r="N28" s="93">
        <v>330.15929999999997</v>
      </c>
      <c r="O28" s="93">
        <v>28.100200000000001</v>
      </c>
      <c r="P28" s="93">
        <v>0.74</v>
      </c>
      <c r="Q28" s="93">
        <v>82.074100000000001</v>
      </c>
      <c r="R28" s="93">
        <v>59.309699999999999</v>
      </c>
      <c r="S28" s="93">
        <v>27.7255</v>
      </c>
      <c r="T28" s="93">
        <v>202.97649999999999</v>
      </c>
      <c r="U28" s="93">
        <v>23.8155</v>
      </c>
      <c r="V28" s="93">
        <v>292.78919999999999</v>
      </c>
      <c r="W28" s="93">
        <v>22.4404</v>
      </c>
      <c r="X28" s="61">
        <v>1673.0344</v>
      </c>
      <c r="Y28" s="61"/>
      <c r="Z28" s="61">
        <v>3402.8438000000001</v>
      </c>
      <c r="AA28" s="61">
        <v>1160.4414999999999</v>
      </c>
      <c r="AB28" s="61">
        <v>81.7821</v>
      </c>
      <c r="AC28" s="61">
        <v>0</v>
      </c>
      <c r="AD28" s="61">
        <v>2312.8843000000002</v>
      </c>
      <c r="AE28" s="61">
        <v>6957.9516999999996</v>
      </c>
      <c r="AF28" s="61">
        <v>8630.9861000000001</v>
      </c>
      <c r="AH28" s="62"/>
    </row>
    <row r="29" spans="1:34" x14ac:dyDescent="0.2">
      <c r="A29" s="63">
        <v>20</v>
      </c>
      <c r="B29" s="58" t="s">
        <v>149</v>
      </c>
      <c r="C29" s="58"/>
      <c r="D29" s="94">
        <v>8.3900000000000002E-2</v>
      </c>
      <c r="E29" s="94">
        <v>111.9524</v>
      </c>
      <c r="F29" s="94">
        <v>25.363</v>
      </c>
      <c r="G29" s="94">
        <v>61.066099999999999</v>
      </c>
      <c r="H29" s="94">
        <v>182.82900000000001</v>
      </c>
      <c r="I29" s="94">
        <v>42.122300000000003</v>
      </c>
      <c r="J29" s="94">
        <v>296.40469999999999</v>
      </c>
      <c r="K29" s="94">
        <v>65.706500000000005</v>
      </c>
      <c r="L29" s="94">
        <v>18.154199999999999</v>
      </c>
      <c r="M29" s="94">
        <v>307.67759999999998</v>
      </c>
      <c r="N29" s="94">
        <v>214.37100000000001</v>
      </c>
      <c r="O29" s="94">
        <v>72.451499999999996</v>
      </c>
      <c r="P29" s="94">
        <v>70.106800000000007</v>
      </c>
      <c r="Q29" s="94">
        <v>132.5275</v>
      </c>
      <c r="R29" s="94">
        <v>117.3235</v>
      </c>
      <c r="S29" s="94">
        <v>304.87700000000001</v>
      </c>
      <c r="T29" s="94">
        <v>152.5685</v>
      </c>
      <c r="U29" s="94">
        <v>171.84460000000001</v>
      </c>
      <c r="V29" s="94">
        <v>145.93289999999999</v>
      </c>
      <c r="W29" s="94">
        <v>98.393199999999993</v>
      </c>
      <c r="X29" s="64">
        <v>2591.7563</v>
      </c>
      <c r="Y29" s="64"/>
      <c r="Z29" s="64">
        <v>7146.1581999999999</v>
      </c>
      <c r="AA29" s="64">
        <v>78.088099999999997</v>
      </c>
      <c r="AB29" s="64">
        <v>56.432299999999998</v>
      </c>
      <c r="AC29" s="64">
        <v>0</v>
      </c>
      <c r="AD29" s="64">
        <v>286.76440000000002</v>
      </c>
      <c r="AE29" s="64">
        <v>7567.4430000000002</v>
      </c>
      <c r="AF29" s="64">
        <v>10159.1993</v>
      </c>
      <c r="AH29" s="62"/>
    </row>
    <row r="30" spans="1:34" x14ac:dyDescent="0.2">
      <c r="A30" s="68" t="s">
        <v>24</v>
      </c>
      <c r="B30" s="69" t="s">
        <v>61</v>
      </c>
      <c r="C30" s="69"/>
      <c r="D30" s="70">
        <v>285.55900000000003</v>
      </c>
      <c r="E30" s="70">
        <v>116601.8778</v>
      </c>
      <c r="F30" s="70">
        <v>6224.4898999999996</v>
      </c>
      <c r="G30" s="70">
        <v>36703.108800000002</v>
      </c>
      <c r="H30" s="70">
        <v>72703.560800000007</v>
      </c>
      <c r="I30" s="70">
        <v>7520.8625000000002</v>
      </c>
      <c r="J30" s="70">
        <v>122005.0104</v>
      </c>
      <c r="K30" s="70">
        <v>2214.444</v>
      </c>
      <c r="L30" s="70">
        <v>6368.1041999999998</v>
      </c>
      <c r="M30" s="70">
        <v>78834.401199999993</v>
      </c>
      <c r="N30" s="70">
        <v>47551.516499999998</v>
      </c>
      <c r="O30" s="70">
        <v>18937.9892</v>
      </c>
      <c r="P30" s="70">
        <v>4246.1000000000004</v>
      </c>
      <c r="Q30" s="70">
        <v>24144.3226</v>
      </c>
      <c r="R30" s="70">
        <v>8088.8253999999997</v>
      </c>
      <c r="S30" s="70">
        <v>23375.6299</v>
      </c>
      <c r="T30" s="70">
        <v>4708.9521999999997</v>
      </c>
      <c r="U30" s="70">
        <v>9858.1422999999995</v>
      </c>
      <c r="V30" s="70">
        <v>3059.9477999999999</v>
      </c>
      <c r="W30" s="70">
        <v>2751.02</v>
      </c>
      <c r="X30" s="70">
        <v>596183.86450000003</v>
      </c>
      <c r="Y30" s="70"/>
      <c r="Z30" s="70">
        <v>141713.28880000001</v>
      </c>
      <c r="AA30" s="70">
        <v>64865.605900000002</v>
      </c>
      <c r="AB30" s="70">
        <v>85622.262400000007</v>
      </c>
      <c r="AC30" s="70">
        <v>2906.3222000000001</v>
      </c>
      <c r="AD30" s="70">
        <v>995920.71609999996</v>
      </c>
      <c r="AE30" s="70">
        <v>1291028.1953</v>
      </c>
      <c r="AF30" s="70">
        <v>1887212.0599</v>
      </c>
      <c r="AH30" s="71"/>
    </row>
    <row r="31" spans="1:34" x14ac:dyDescent="0.2">
      <c r="A31" s="60">
        <v>21</v>
      </c>
      <c r="B31" s="34" t="s">
        <v>19</v>
      </c>
      <c r="C31" s="34"/>
      <c r="D31" s="61">
        <v>270.0788</v>
      </c>
      <c r="E31" s="61">
        <v>221440.52179999999</v>
      </c>
      <c r="F31" s="61">
        <v>9260.5838000000003</v>
      </c>
      <c r="G31" s="61">
        <v>13127.0746</v>
      </c>
      <c r="H31" s="61">
        <v>101411.4317</v>
      </c>
      <c r="I31" s="61">
        <v>1299.8157000000001</v>
      </c>
      <c r="J31" s="61">
        <v>116756.60890000001</v>
      </c>
      <c r="K31" s="61">
        <v>643.04909999999995</v>
      </c>
      <c r="L31" s="61">
        <v>3208.2932999999998</v>
      </c>
      <c r="M31" s="61">
        <v>69020.604900000006</v>
      </c>
      <c r="N31" s="61">
        <v>39786.058599999997</v>
      </c>
      <c r="O31" s="61">
        <v>919.5181</v>
      </c>
      <c r="P31" s="61">
        <v>0</v>
      </c>
      <c r="Q31" s="61">
        <v>19896.1577</v>
      </c>
      <c r="R31" s="61">
        <v>3656.8607000000002</v>
      </c>
      <c r="S31" s="61">
        <v>8479.5817999999999</v>
      </c>
      <c r="T31" s="61">
        <v>1459.4719</v>
      </c>
      <c r="U31" s="61">
        <v>2790.0219000000002</v>
      </c>
      <c r="V31" s="61">
        <v>682.12099999999998</v>
      </c>
      <c r="W31" s="61">
        <v>1122.1242999999999</v>
      </c>
      <c r="X31" s="61">
        <v>615229.97849999997</v>
      </c>
      <c r="Y31" s="61"/>
      <c r="Z31" s="61">
        <v>38879.940399999999</v>
      </c>
      <c r="AA31" s="61">
        <v>0</v>
      </c>
      <c r="AB31" s="61">
        <v>51819.945299999999</v>
      </c>
      <c r="AC31" s="61">
        <v>7334.8778000000002</v>
      </c>
      <c r="AD31" s="61">
        <v>332876.68609999999</v>
      </c>
      <c r="AE31" s="61">
        <v>430911.44959999999</v>
      </c>
      <c r="AF31" s="61">
        <v>1046141.4282</v>
      </c>
      <c r="AH31" s="71"/>
    </row>
    <row r="32" spans="1:34" x14ac:dyDescent="0.2">
      <c r="A32" s="63">
        <v>22</v>
      </c>
      <c r="B32" s="58" t="s">
        <v>62</v>
      </c>
      <c r="C32" s="58"/>
      <c r="D32" s="64">
        <v>2.7355</v>
      </c>
      <c r="E32" s="64">
        <v>182.24189999999999</v>
      </c>
      <c r="F32" s="64">
        <v>215.0515</v>
      </c>
      <c r="G32" s="64">
        <v>34.3005</v>
      </c>
      <c r="H32" s="64">
        <v>112.8329</v>
      </c>
      <c r="I32" s="64">
        <v>22.488199999999999</v>
      </c>
      <c r="J32" s="64">
        <v>503.91750000000002</v>
      </c>
      <c r="K32" s="64">
        <v>24.4313</v>
      </c>
      <c r="L32" s="64">
        <v>402.78149999999999</v>
      </c>
      <c r="M32" s="64">
        <v>817.32119999999998</v>
      </c>
      <c r="N32" s="64">
        <v>1617.6438000000001</v>
      </c>
      <c r="O32" s="64">
        <v>396.04160000000002</v>
      </c>
      <c r="P32" s="64">
        <v>0</v>
      </c>
      <c r="Q32" s="64">
        <v>164.0402</v>
      </c>
      <c r="R32" s="64">
        <v>30.628900000000002</v>
      </c>
      <c r="S32" s="64">
        <v>212.4314</v>
      </c>
      <c r="T32" s="64">
        <v>144.44630000000001</v>
      </c>
      <c r="U32" s="64">
        <v>810.92460000000005</v>
      </c>
      <c r="V32" s="64">
        <v>109.37860000000001</v>
      </c>
      <c r="W32" s="64">
        <v>33.206800000000001</v>
      </c>
      <c r="X32" s="64">
        <v>5836.8441000000003</v>
      </c>
      <c r="Y32" s="64"/>
      <c r="Z32" s="64">
        <v>17704.1129</v>
      </c>
      <c r="AA32" s="64">
        <v>0</v>
      </c>
      <c r="AB32" s="64">
        <v>8263.7428999999993</v>
      </c>
      <c r="AC32" s="64">
        <v>0</v>
      </c>
      <c r="AD32" s="64">
        <v>0</v>
      </c>
      <c r="AE32" s="64">
        <v>25967.855899999999</v>
      </c>
      <c r="AF32" s="64">
        <v>31804.7</v>
      </c>
      <c r="AH32" s="71"/>
    </row>
    <row r="33" spans="1:34" x14ac:dyDescent="0.2">
      <c r="A33" s="68" t="s">
        <v>25</v>
      </c>
      <c r="B33" s="69" t="s">
        <v>42</v>
      </c>
      <c r="C33" s="69"/>
      <c r="D33" s="70">
        <v>558.37339999999995</v>
      </c>
      <c r="E33" s="70">
        <v>338224.64140000002</v>
      </c>
      <c r="F33" s="70">
        <v>15700.1253</v>
      </c>
      <c r="G33" s="70">
        <v>49864.483899999999</v>
      </c>
      <c r="H33" s="70">
        <v>174227.8254</v>
      </c>
      <c r="I33" s="70">
        <v>8843.1664000000001</v>
      </c>
      <c r="J33" s="70">
        <v>239265.5367</v>
      </c>
      <c r="K33" s="70">
        <v>2881.9243000000001</v>
      </c>
      <c r="L33" s="70">
        <v>9979.1789000000008</v>
      </c>
      <c r="M33" s="70">
        <v>148672.32740000001</v>
      </c>
      <c r="N33" s="70">
        <v>88955.218900000007</v>
      </c>
      <c r="O33" s="70">
        <v>20253.548900000002</v>
      </c>
      <c r="P33" s="70">
        <v>4246.1000000000004</v>
      </c>
      <c r="Q33" s="70">
        <v>44204.520499999999</v>
      </c>
      <c r="R33" s="70">
        <v>11776.315000000001</v>
      </c>
      <c r="S33" s="70">
        <v>32067.643199999999</v>
      </c>
      <c r="T33" s="70">
        <v>6312.8705</v>
      </c>
      <c r="U33" s="70">
        <v>13459.0887</v>
      </c>
      <c r="V33" s="70">
        <v>3851.4474</v>
      </c>
      <c r="W33" s="70">
        <v>3906.3510000000001</v>
      </c>
      <c r="X33" s="70">
        <v>1217250.6872</v>
      </c>
      <c r="Y33" s="70"/>
      <c r="Z33" s="70">
        <v>198297.34210000001</v>
      </c>
      <c r="AA33" s="70">
        <v>64865.605900000002</v>
      </c>
      <c r="AB33" s="70">
        <v>145705.95060000001</v>
      </c>
      <c r="AC33" s="70">
        <v>10241.200000000001</v>
      </c>
      <c r="AD33" s="70">
        <v>1328797.4021999999</v>
      </c>
      <c r="AE33" s="70">
        <v>1747907.5008</v>
      </c>
      <c r="AF33" s="70">
        <v>2965158.1880000001</v>
      </c>
      <c r="AH33" s="71"/>
    </row>
    <row r="34" spans="1:34" x14ac:dyDescent="0.2">
      <c r="A34" s="60">
        <v>23</v>
      </c>
      <c r="B34" s="34" t="s">
        <v>49</v>
      </c>
      <c r="C34" s="34"/>
      <c r="D34" s="61">
        <v>86.7</v>
      </c>
      <c r="E34" s="61">
        <v>28875.404900000001</v>
      </c>
      <c r="F34" s="61">
        <v>1862.0463999999999</v>
      </c>
      <c r="G34" s="61">
        <v>14884.0851</v>
      </c>
      <c r="H34" s="61">
        <v>26128.797699999999</v>
      </c>
      <c r="I34" s="61">
        <v>5168.4458999999997</v>
      </c>
      <c r="J34" s="61">
        <v>15083.0191</v>
      </c>
      <c r="K34" s="61">
        <v>1620.6025999999999</v>
      </c>
      <c r="L34" s="61">
        <v>3824.9321</v>
      </c>
      <c r="M34" s="61">
        <v>23450.095000000001</v>
      </c>
      <c r="N34" s="61">
        <v>34374.253900000003</v>
      </c>
      <c r="O34" s="61">
        <v>3492.3346000000001</v>
      </c>
      <c r="P34" s="61">
        <v>0</v>
      </c>
      <c r="Q34" s="61">
        <v>26688.5085</v>
      </c>
      <c r="R34" s="61">
        <v>9623.9709999999995</v>
      </c>
      <c r="S34" s="61">
        <v>14524.275100000001</v>
      </c>
      <c r="T34" s="61">
        <v>12878.346799999999</v>
      </c>
      <c r="U34" s="61">
        <v>13655.9414</v>
      </c>
      <c r="V34" s="61">
        <v>2367.5585999999998</v>
      </c>
      <c r="W34" s="61">
        <v>5624.6018000000004</v>
      </c>
      <c r="X34" s="61">
        <v>244213.9203</v>
      </c>
      <c r="Y34" s="61"/>
      <c r="Z34" s="61">
        <v>0</v>
      </c>
      <c r="AA34" s="61">
        <v>0</v>
      </c>
      <c r="AB34" s="61">
        <v>0</v>
      </c>
      <c r="AC34" s="61">
        <v>0</v>
      </c>
      <c r="AD34" s="61">
        <v>0</v>
      </c>
      <c r="AE34" s="61">
        <v>0</v>
      </c>
      <c r="AF34" s="61">
        <v>244213.9203</v>
      </c>
      <c r="AH34" s="71"/>
    </row>
    <row r="35" spans="1:34" x14ac:dyDescent="0.2">
      <c r="A35" s="60">
        <v>24</v>
      </c>
      <c r="B35" s="34" t="s">
        <v>50</v>
      </c>
      <c r="C35" s="34"/>
      <c r="D35" s="61">
        <v>6.4</v>
      </c>
      <c r="E35" s="61">
        <v>859.5</v>
      </c>
      <c r="F35" s="61">
        <v>270.7</v>
      </c>
      <c r="G35" s="61">
        <v>1728.8</v>
      </c>
      <c r="H35" s="61">
        <v>-91.1</v>
      </c>
      <c r="I35" s="61">
        <v>-64.099999999999994</v>
      </c>
      <c r="J35" s="61">
        <v>412.4</v>
      </c>
      <c r="K35" s="61">
        <v>81.900000000000006</v>
      </c>
      <c r="L35" s="61">
        <v>-221.3</v>
      </c>
      <c r="M35" s="61">
        <v>-57.3</v>
      </c>
      <c r="N35" s="61">
        <v>-99</v>
      </c>
      <c r="O35" s="61">
        <v>1781.9</v>
      </c>
      <c r="P35" s="61">
        <v>1128.9000000000001</v>
      </c>
      <c r="Q35" s="61">
        <v>-394.6</v>
      </c>
      <c r="R35" s="61">
        <v>-145.4</v>
      </c>
      <c r="S35" s="61">
        <v>24.3</v>
      </c>
      <c r="T35" s="61">
        <v>-119.7</v>
      </c>
      <c r="U35" s="61">
        <v>-66.099999999999994</v>
      </c>
      <c r="V35" s="61">
        <v>165.7</v>
      </c>
      <c r="W35" s="61">
        <v>331.4</v>
      </c>
      <c r="X35" s="61">
        <v>5533.3</v>
      </c>
      <c r="Y35" s="61"/>
      <c r="Z35" s="61">
        <v>0</v>
      </c>
      <c r="AA35" s="61">
        <v>0</v>
      </c>
      <c r="AB35" s="61">
        <v>0</v>
      </c>
      <c r="AC35" s="61">
        <v>0</v>
      </c>
      <c r="AD35" s="61">
        <v>0</v>
      </c>
      <c r="AE35" s="61">
        <v>0</v>
      </c>
      <c r="AF35" s="61">
        <v>5533.3</v>
      </c>
      <c r="AH35" s="71"/>
    </row>
    <row r="36" spans="1:34" x14ac:dyDescent="0.2">
      <c r="A36" s="63">
        <v>25</v>
      </c>
      <c r="B36" s="58" t="s">
        <v>51</v>
      </c>
      <c r="C36" s="58"/>
      <c r="D36" s="64">
        <v>90.525199999999998</v>
      </c>
      <c r="E36" s="64">
        <v>108658.2637</v>
      </c>
      <c r="F36" s="64">
        <v>6044.2293</v>
      </c>
      <c r="G36" s="64">
        <v>4607.6813000000002</v>
      </c>
      <c r="H36" s="64">
        <v>115761.836</v>
      </c>
      <c r="I36" s="64">
        <v>2850.8198000000002</v>
      </c>
      <c r="J36" s="64">
        <v>65383.8289</v>
      </c>
      <c r="K36" s="64">
        <v>1952.9903999999999</v>
      </c>
      <c r="L36" s="64">
        <v>1227.3981000000001</v>
      </c>
      <c r="M36" s="64">
        <v>10610.683300000001</v>
      </c>
      <c r="N36" s="64">
        <v>46466.165000000001</v>
      </c>
      <c r="O36" s="64">
        <v>13428.9259</v>
      </c>
      <c r="P36" s="64">
        <v>19370.400000000001</v>
      </c>
      <c r="Q36" s="64">
        <v>7362.4804999999997</v>
      </c>
      <c r="R36" s="64">
        <v>8967.1802000000007</v>
      </c>
      <c r="S36" s="64">
        <v>672.77160000000003</v>
      </c>
      <c r="T36" s="64">
        <v>2857.6432</v>
      </c>
      <c r="U36" s="64">
        <v>1357.2032999999999</v>
      </c>
      <c r="V36" s="64">
        <v>2246.2802000000001</v>
      </c>
      <c r="W36" s="64">
        <v>296.84640000000002</v>
      </c>
      <c r="X36" s="64">
        <v>420214.15240000002</v>
      </c>
      <c r="Y36" s="64"/>
      <c r="Z36" s="64">
        <v>0</v>
      </c>
      <c r="AA36" s="64">
        <v>0</v>
      </c>
      <c r="AB36" s="64">
        <v>0</v>
      </c>
      <c r="AC36" s="64">
        <v>0</v>
      </c>
      <c r="AD36" s="64">
        <v>0</v>
      </c>
      <c r="AE36" s="64">
        <v>0</v>
      </c>
      <c r="AF36" s="64">
        <v>420214.15240000002</v>
      </c>
      <c r="AH36" s="71"/>
    </row>
    <row r="37" spans="1:34" x14ac:dyDescent="0.2">
      <c r="A37" s="68" t="s">
        <v>44</v>
      </c>
      <c r="B37" s="69" t="s">
        <v>52</v>
      </c>
      <c r="C37" s="69"/>
      <c r="D37" s="70">
        <v>183.62520000000001</v>
      </c>
      <c r="E37" s="70">
        <v>138393.1686</v>
      </c>
      <c r="F37" s="70">
        <v>8176.9758000000002</v>
      </c>
      <c r="G37" s="70">
        <v>21220.5664</v>
      </c>
      <c r="H37" s="70">
        <v>141799.5337</v>
      </c>
      <c r="I37" s="70">
        <v>7955.1656000000003</v>
      </c>
      <c r="J37" s="70">
        <v>80879.248000000007</v>
      </c>
      <c r="K37" s="70">
        <v>3655.4929999999999</v>
      </c>
      <c r="L37" s="70">
        <v>4831.0300999999999</v>
      </c>
      <c r="M37" s="70">
        <v>34003.478300000002</v>
      </c>
      <c r="N37" s="70">
        <v>80741.418999999994</v>
      </c>
      <c r="O37" s="70">
        <v>18703.160500000002</v>
      </c>
      <c r="P37" s="70">
        <v>20499.3</v>
      </c>
      <c r="Q37" s="70">
        <v>33656.389000000003</v>
      </c>
      <c r="R37" s="70">
        <v>18445.751199999999</v>
      </c>
      <c r="S37" s="70">
        <v>15221.346600000001</v>
      </c>
      <c r="T37" s="70">
        <v>15616.29</v>
      </c>
      <c r="U37" s="70">
        <v>14947.0447</v>
      </c>
      <c r="V37" s="70">
        <v>4779.5387000000001</v>
      </c>
      <c r="W37" s="70">
        <v>6252.8482000000004</v>
      </c>
      <c r="X37" s="70">
        <v>669961.37269999995</v>
      </c>
      <c r="Y37" s="70"/>
      <c r="Z37" s="70">
        <v>0</v>
      </c>
      <c r="AA37" s="70">
        <v>0</v>
      </c>
      <c r="AB37" s="70">
        <v>0</v>
      </c>
      <c r="AC37" s="70">
        <v>0</v>
      </c>
      <c r="AD37" s="70">
        <v>0</v>
      </c>
      <c r="AE37" s="70">
        <v>0</v>
      </c>
      <c r="AF37" s="70">
        <v>669961.37269999995</v>
      </c>
      <c r="AH37" s="71"/>
    </row>
    <row r="38" spans="1:34" ht="17" thickBot="1" x14ac:dyDescent="0.25">
      <c r="A38" s="72" t="s">
        <v>45</v>
      </c>
      <c r="B38" s="73" t="s">
        <v>53</v>
      </c>
      <c r="C38" s="73"/>
      <c r="D38" s="74">
        <v>741.99860000000001</v>
      </c>
      <c r="E38" s="74">
        <v>476617.81</v>
      </c>
      <c r="F38" s="74">
        <v>23877.1011</v>
      </c>
      <c r="G38" s="74">
        <v>71085.050199999998</v>
      </c>
      <c r="H38" s="74">
        <v>316027.3591</v>
      </c>
      <c r="I38" s="74">
        <v>16798.331999999999</v>
      </c>
      <c r="J38" s="74">
        <v>320144.78480000002</v>
      </c>
      <c r="K38" s="74">
        <v>6537.4173000000001</v>
      </c>
      <c r="L38" s="74">
        <v>14810.2091</v>
      </c>
      <c r="M38" s="74">
        <v>182675.8057</v>
      </c>
      <c r="N38" s="74">
        <v>169696.6379</v>
      </c>
      <c r="O38" s="74">
        <v>38956.7094</v>
      </c>
      <c r="P38" s="74">
        <v>24745.4</v>
      </c>
      <c r="Q38" s="74">
        <v>77860.909499999994</v>
      </c>
      <c r="R38" s="74">
        <v>30222.066200000001</v>
      </c>
      <c r="S38" s="74">
        <v>47288.989800000003</v>
      </c>
      <c r="T38" s="74">
        <v>21929.160500000002</v>
      </c>
      <c r="U38" s="74">
        <v>28406.133399999999</v>
      </c>
      <c r="V38" s="74">
        <v>8630.9861000000001</v>
      </c>
      <c r="W38" s="74">
        <v>10159.1993</v>
      </c>
      <c r="X38" s="74">
        <v>1887212.0599</v>
      </c>
      <c r="Y38" s="74"/>
      <c r="Z38" s="74">
        <v>198297.34210000001</v>
      </c>
      <c r="AA38" s="74">
        <v>64865.605900000002</v>
      </c>
      <c r="AB38" s="74">
        <v>145705.95060000001</v>
      </c>
      <c r="AC38" s="74">
        <v>10241.200000000001</v>
      </c>
      <c r="AD38" s="74">
        <v>1328797.4021999999</v>
      </c>
      <c r="AE38" s="74">
        <v>1747907.5008</v>
      </c>
      <c r="AF38" s="74">
        <v>3635119.5606999998</v>
      </c>
      <c r="AH38" s="71"/>
    </row>
    <row r="39" spans="1:34" x14ac:dyDescent="0.2">
      <c r="D39" s="75"/>
      <c r="E39" s="75"/>
      <c r="F39" s="75"/>
      <c r="G39" s="75"/>
      <c r="H39" s="75"/>
      <c r="I39" s="75"/>
      <c r="J39" s="75"/>
      <c r="K39" s="75"/>
      <c r="L39" s="75"/>
      <c r="M39" s="75"/>
      <c r="N39" s="75"/>
      <c r="O39" s="75"/>
      <c r="P39" s="75"/>
      <c r="Q39" s="75"/>
      <c r="R39" s="75"/>
      <c r="S39" s="75"/>
      <c r="T39" s="75"/>
      <c r="U39" s="75"/>
      <c r="V39" s="75"/>
      <c r="W39" s="75"/>
      <c r="X39" s="75"/>
    </row>
    <row r="40" spans="1:34" x14ac:dyDescent="0.2">
      <c r="A40" s="60">
        <v>21</v>
      </c>
      <c r="B40" s="34" t="s">
        <v>19</v>
      </c>
      <c r="D40" s="98">
        <v>0.36398828784852155</v>
      </c>
      <c r="E40" s="98">
        <v>0.46460815595623667</v>
      </c>
      <c r="F40" s="98">
        <v>0.38784372362522684</v>
      </c>
      <c r="G40" s="98">
        <v>0.18466716367318539</v>
      </c>
      <c r="H40" s="98">
        <v>0.32089446935482113</v>
      </c>
      <c r="I40" s="98">
        <v>7.7377664639560653E-2</v>
      </c>
      <c r="J40" s="98">
        <v>0.36469939366009002</v>
      </c>
      <c r="K40" s="98">
        <v>9.8364395370630534E-2</v>
      </c>
      <c r="L40" s="98">
        <v>0.21662714404214589</v>
      </c>
      <c r="M40" s="98">
        <v>0.37783112347865783</v>
      </c>
      <c r="N40" s="98">
        <v>0.2344540180191749</v>
      </c>
      <c r="O40" s="98">
        <v>2.3603587524771791E-2</v>
      </c>
      <c r="P40" s="98">
        <v>0</v>
      </c>
      <c r="Q40" s="98">
        <v>0.25553461714957237</v>
      </c>
      <c r="R40" s="98">
        <v>0.12099969194032141</v>
      </c>
      <c r="S40" s="98">
        <v>0.17931408211219602</v>
      </c>
      <c r="T40" s="98">
        <v>6.6553933972985424E-2</v>
      </c>
      <c r="U40" s="98">
        <v>9.8218995901779446E-2</v>
      </c>
      <c r="V40" s="98">
        <v>7.9031641587280502E-2</v>
      </c>
      <c r="W40" s="98">
        <v>0.110454009894264</v>
      </c>
      <c r="X40" s="76"/>
      <c r="Y40" s="76"/>
      <c r="Z40" s="76"/>
      <c r="AA40" s="76"/>
      <c r="AB40" s="76"/>
      <c r="AC40" s="76"/>
      <c r="AD40" s="76"/>
      <c r="AE40" s="76"/>
      <c r="AF40" s="76"/>
    </row>
    <row r="41" spans="1:34" x14ac:dyDescent="0.2">
      <c r="A41" s="63">
        <v>22</v>
      </c>
      <c r="B41" s="58" t="s">
        <v>62</v>
      </c>
      <c r="D41" s="98">
        <v>3.6866646379117157E-3</v>
      </c>
      <c r="E41" s="98">
        <v>3.8236485539640237E-4</v>
      </c>
      <c r="F41" s="98">
        <v>9.0066000516285452E-3</v>
      </c>
      <c r="G41" s="98">
        <v>4.8252761872566002E-4</v>
      </c>
      <c r="H41" s="98">
        <v>3.5703522733389825E-4</v>
      </c>
      <c r="I41" s="98">
        <v>1.3387162487323147E-3</v>
      </c>
      <c r="J41" s="98">
        <v>1.574030013685233E-3</v>
      </c>
      <c r="K41" s="98">
        <v>3.7371486137193657E-3</v>
      </c>
      <c r="L41" s="98">
        <v>2.7196206162950123E-2</v>
      </c>
      <c r="M41" s="98">
        <v>4.4741622836592205E-3</v>
      </c>
      <c r="N41" s="98">
        <v>9.5325624598010961E-3</v>
      </c>
      <c r="O41" s="98">
        <v>1.0166197456092121E-2</v>
      </c>
      <c r="P41" s="98">
        <v>0</v>
      </c>
      <c r="Q41" s="98">
        <v>2.1068364221972003E-3</v>
      </c>
      <c r="R41" s="98">
        <v>1.0134614819949008E-3</v>
      </c>
      <c r="S41" s="98">
        <v>4.4921957711179525E-3</v>
      </c>
      <c r="T41" s="98">
        <v>6.5869507407727715E-3</v>
      </c>
      <c r="U41" s="98">
        <v>2.8547517839932417E-2</v>
      </c>
      <c r="V41" s="98">
        <v>1.2672781387053793E-2</v>
      </c>
      <c r="W41" s="98">
        <v>3.2686434254715329E-3</v>
      </c>
      <c r="X41" s="76"/>
      <c r="Y41" s="76"/>
      <c r="Z41" s="76"/>
      <c r="AA41" s="76"/>
      <c r="AB41" s="76"/>
      <c r="AC41" s="76"/>
      <c r="AD41" s="76"/>
      <c r="AE41" s="76"/>
      <c r="AF41" s="76"/>
    </row>
    <row r="42" spans="1:34" x14ac:dyDescent="0.2">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6"/>
      <c r="AD42" s="76"/>
      <c r="AE42" s="76"/>
      <c r="AF42" s="76"/>
    </row>
    <row r="43" spans="1:34" x14ac:dyDescent="0.2">
      <c r="D43" s="98">
        <v>0.36398828784852155</v>
      </c>
      <c r="E43" s="76"/>
      <c r="F43" s="99" cm="1">
        <f t="array" ref="F43:Y62">IF(_xlfn.SEQUENCE(20,20)=TRANSPOSE(_xlfn.SEQUENCE(20,20)), D43:D62, 0)</f>
        <v>0.36398828784852155</v>
      </c>
      <c r="G43" s="99">
        <v>0</v>
      </c>
      <c r="H43" s="99">
        <v>0</v>
      </c>
      <c r="I43" s="99">
        <v>0</v>
      </c>
      <c r="J43" s="99">
        <v>0</v>
      </c>
      <c r="K43" s="99">
        <v>0</v>
      </c>
      <c r="L43" s="99">
        <v>0</v>
      </c>
      <c r="M43" s="99">
        <v>0</v>
      </c>
      <c r="N43" s="99">
        <v>0</v>
      </c>
      <c r="O43" s="99">
        <v>0</v>
      </c>
      <c r="P43" s="99">
        <v>0</v>
      </c>
      <c r="Q43" s="99">
        <v>0</v>
      </c>
      <c r="R43" s="99">
        <v>0</v>
      </c>
      <c r="S43" s="99">
        <v>0</v>
      </c>
      <c r="T43" s="99">
        <v>0</v>
      </c>
      <c r="U43" s="99">
        <v>0</v>
      </c>
      <c r="V43" s="99">
        <v>0</v>
      </c>
      <c r="W43" s="99">
        <v>0</v>
      </c>
      <c r="X43" s="99">
        <v>0</v>
      </c>
      <c r="Y43" s="99">
        <v>0</v>
      </c>
      <c r="Z43" s="76"/>
      <c r="AA43" s="76"/>
      <c r="AB43" s="76"/>
      <c r="AC43" s="76"/>
      <c r="AD43" s="76"/>
      <c r="AE43" s="76"/>
      <c r="AF43" s="76"/>
    </row>
    <row r="44" spans="1:34" x14ac:dyDescent="0.2">
      <c r="D44" s="98">
        <v>0.46460815595623667</v>
      </c>
      <c r="F44" s="99">
        <v>0</v>
      </c>
      <c r="G44" s="99">
        <v>0.46460815595623667</v>
      </c>
      <c r="H44" s="99">
        <v>0</v>
      </c>
      <c r="I44" s="99">
        <v>0</v>
      </c>
      <c r="J44" s="99">
        <v>0</v>
      </c>
      <c r="K44" s="99">
        <v>0</v>
      </c>
      <c r="L44" s="99">
        <v>0</v>
      </c>
      <c r="M44" s="99">
        <v>0</v>
      </c>
      <c r="N44" s="99">
        <v>0</v>
      </c>
      <c r="O44" s="99">
        <v>0</v>
      </c>
      <c r="P44" s="99">
        <v>0</v>
      </c>
      <c r="Q44" s="99">
        <v>0</v>
      </c>
      <c r="R44" s="99">
        <v>0</v>
      </c>
      <c r="S44" s="99">
        <v>0</v>
      </c>
      <c r="T44" s="99">
        <v>0</v>
      </c>
      <c r="U44" s="99">
        <v>0</v>
      </c>
      <c r="V44" s="99">
        <v>0</v>
      </c>
      <c r="W44" s="99">
        <v>0</v>
      </c>
      <c r="X44" s="99">
        <v>0</v>
      </c>
      <c r="Y44" s="99">
        <v>0</v>
      </c>
      <c r="Z44" s="76"/>
      <c r="AA44" s="76"/>
      <c r="AB44" s="76"/>
      <c r="AC44" s="76"/>
      <c r="AD44" s="76"/>
      <c r="AE44" s="76"/>
      <c r="AF44" s="76"/>
    </row>
    <row r="45" spans="1:34" x14ac:dyDescent="0.2">
      <c r="D45" s="98">
        <v>0.38784372362522684</v>
      </c>
      <c r="E45" s="76"/>
      <c r="F45" s="99">
        <v>0</v>
      </c>
      <c r="G45" s="99">
        <v>0</v>
      </c>
      <c r="H45" s="99">
        <v>0.38784372362522684</v>
      </c>
      <c r="I45" s="99">
        <v>0</v>
      </c>
      <c r="J45" s="99">
        <v>0</v>
      </c>
      <c r="K45" s="99">
        <v>0</v>
      </c>
      <c r="L45" s="99">
        <v>0</v>
      </c>
      <c r="M45" s="99">
        <v>0</v>
      </c>
      <c r="N45" s="99">
        <v>0</v>
      </c>
      <c r="O45" s="99">
        <v>0</v>
      </c>
      <c r="P45" s="99">
        <v>0</v>
      </c>
      <c r="Q45" s="99">
        <v>0</v>
      </c>
      <c r="R45" s="99">
        <v>0</v>
      </c>
      <c r="S45" s="99">
        <v>0</v>
      </c>
      <c r="T45" s="99">
        <v>0</v>
      </c>
      <c r="U45" s="99">
        <v>0</v>
      </c>
      <c r="V45" s="99">
        <v>0</v>
      </c>
      <c r="W45" s="99">
        <v>0</v>
      </c>
      <c r="X45" s="99">
        <v>0</v>
      </c>
      <c r="Y45" s="99">
        <v>0</v>
      </c>
      <c r="Z45" s="76"/>
      <c r="AA45" s="76"/>
      <c r="AB45" s="76"/>
      <c r="AC45" s="76"/>
      <c r="AD45" s="76"/>
      <c r="AE45" s="76"/>
      <c r="AF45" s="76"/>
    </row>
    <row r="46" spans="1:34" x14ac:dyDescent="0.2">
      <c r="D46" s="98">
        <v>0.18466716367318539</v>
      </c>
      <c r="E46" s="76"/>
      <c r="F46" s="99">
        <v>0</v>
      </c>
      <c r="G46" s="99">
        <v>0</v>
      </c>
      <c r="H46" s="99">
        <v>0</v>
      </c>
      <c r="I46" s="99">
        <v>0.18466716367318539</v>
      </c>
      <c r="J46" s="99">
        <v>0</v>
      </c>
      <c r="K46" s="99">
        <v>0</v>
      </c>
      <c r="L46" s="99">
        <v>0</v>
      </c>
      <c r="M46" s="99">
        <v>0</v>
      </c>
      <c r="N46" s="99">
        <v>0</v>
      </c>
      <c r="O46" s="99">
        <v>0</v>
      </c>
      <c r="P46" s="99">
        <v>0</v>
      </c>
      <c r="Q46" s="99">
        <v>0</v>
      </c>
      <c r="R46" s="99">
        <v>0</v>
      </c>
      <c r="S46" s="99">
        <v>0</v>
      </c>
      <c r="T46" s="99">
        <v>0</v>
      </c>
      <c r="U46" s="99">
        <v>0</v>
      </c>
      <c r="V46" s="99">
        <v>0</v>
      </c>
      <c r="W46" s="99">
        <v>0</v>
      </c>
      <c r="X46" s="99">
        <v>0</v>
      </c>
      <c r="Y46" s="99">
        <v>0</v>
      </c>
      <c r="Z46" s="76"/>
      <c r="AA46" s="76"/>
      <c r="AB46" s="76"/>
      <c r="AC46" s="76"/>
      <c r="AD46" s="76"/>
      <c r="AE46" s="76"/>
      <c r="AF46" s="76"/>
    </row>
    <row r="47" spans="1:34" x14ac:dyDescent="0.2">
      <c r="D47" s="98">
        <v>0.32089446935482113</v>
      </c>
      <c r="E47" s="76"/>
      <c r="F47" s="99">
        <v>0</v>
      </c>
      <c r="G47" s="99">
        <v>0</v>
      </c>
      <c r="H47" s="99">
        <v>0</v>
      </c>
      <c r="I47" s="99">
        <v>0</v>
      </c>
      <c r="J47" s="99">
        <v>0.32089446935482113</v>
      </c>
      <c r="K47" s="99">
        <v>0</v>
      </c>
      <c r="L47" s="99">
        <v>0</v>
      </c>
      <c r="M47" s="99">
        <v>0</v>
      </c>
      <c r="N47" s="99">
        <v>0</v>
      </c>
      <c r="O47" s="99">
        <v>0</v>
      </c>
      <c r="P47" s="99">
        <v>0</v>
      </c>
      <c r="Q47" s="99">
        <v>0</v>
      </c>
      <c r="R47" s="99">
        <v>0</v>
      </c>
      <c r="S47" s="99">
        <v>0</v>
      </c>
      <c r="T47" s="99">
        <v>0</v>
      </c>
      <c r="U47" s="99">
        <v>0</v>
      </c>
      <c r="V47" s="99">
        <v>0</v>
      </c>
      <c r="W47" s="99">
        <v>0</v>
      </c>
      <c r="X47" s="99">
        <v>0</v>
      </c>
      <c r="Y47" s="99">
        <v>0</v>
      </c>
      <c r="Z47" s="76"/>
      <c r="AA47" s="76"/>
      <c r="AB47" s="76"/>
      <c r="AC47" s="76"/>
      <c r="AD47" s="76"/>
      <c r="AE47" s="76"/>
      <c r="AF47" s="76"/>
    </row>
    <row r="48" spans="1:34" x14ac:dyDescent="0.2">
      <c r="D48" s="98">
        <v>7.7377664639560653E-2</v>
      </c>
      <c r="E48" s="76"/>
      <c r="F48" s="99">
        <v>0</v>
      </c>
      <c r="G48" s="99">
        <v>0</v>
      </c>
      <c r="H48" s="99">
        <v>0</v>
      </c>
      <c r="I48" s="99">
        <v>0</v>
      </c>
      <c r="J48" s="99">
        <v>0</v>
      </c>
      <c r="K48" s="99">
        <v>7.7377664639560653E-2</v>
      </c>
      <c r="L48" s="99">
        <v>0</v>
      </c>
      <c r="M48" s="99">
        <v>0</v>
      </c>
      <c r="N48" s="99">
        <v>0</v>
      </c>
      <c r="O48" s="99">
        <v>0</v>
      </c>
      <c r="P48" s="99">
        <v>0</v>
      </c>
      <c r="Q48" s="99">
        <v>0</v>
      </c>
      <c r="R48" s="99">
        <v>0</v>
      </c>
      <c r="S48" s="99">
        <v>0</v>
      </c>
      <c r="T48" s="99">
        <v>0</v>
      </c>
      <c r="U48" s="99">
        <v>0</v>
      </c>
      <c r="V48" s="99">
        <v>0</v>
      </c>
      <c r="W48" s="99">
        <v>0</v>
      </c>
      <c r="X48" s="99">
        <v>0</v>
      </c>
      <c r="Y48" s="99">
        <v>0</v>
      </c>
      <c r="Z48" s="76"/>
      <c r="AA48" s="76"/>
      <c r="AB48" s="76"/>
      <c r="AC48" s="76"/>
      <c r="AD48" s="76"/>
      <c r="AE48" s="76"/>
      <c r="AF48" s="76"/>
    </row>
    <row r="49" spans="4:25" x14ac:dyDescent="0.2">
      <c r="D49" s="98">
        <v>0.36469939366009002</v>
      </c>
      <c r="F49" s="99">
        <v>0</v>
      </c>
      <c r="G49" s="99">
        <v>0</v>
      </c>
      <c r="H49" s="99">
        <v>0</v>
      </c>
      <c r="I49" s="99">
        <v>0</v>
      </c>
      <c r="J49" s="99">
        <v>0</v>
      </c>
      <c r="K49" s="99">
        <v>0</v>
      </c>
      <c r="L49" s="99">
        <v>0.36469939366009002</v>
      </c>
      <c r="M49" s="99">
        <v>0</v>
      </c>
      <c r="N49" s="99">
        <v>0</v>
      </c>
      <c r="O49" s="99">
        <v>0</v>
      </c>
      <c r="P49" s="99">
        <v>0</v>
      </c>
      <c r="Q49" s="99">
        <v>0</v>
      </c>
      <c r="R49" s="99">
        <v>0</v>
      </c>
      <c r="S49" s="99">
        <v>0</v>
      </c>
      <c r="T49" s="99">
        <v>0</v>
      </c>
      <c r="U49" s="99">
        <v>0</v>
      </c>
      <c r="V49" s="99">
        <v>0</v>
      </c>
      <c r="W49" s="99">
        <v>0</v>
      </c>
      <c r="X49" s="99">
        <v>0</v>
      </c>
      <c r="Y49" s="99">
        <v>0</v>
      </c>
    </row>
    <row r="50" spans="4:25" x14ac:dyDescent="0.2">
      <c r="D50" s="98">
        <v>9.8364395370630534E-2</v>
      </c>
      <c r="F50" s="99">
        <v>0</v>
      </c>
      <c r="G50" s="99">
        <v>0</v>
      </c>
      <c r="H50" s="99">
        <v>0</v>
      </c>
      <c r="I50" s="99">
        <v>0</v>
      </c>
      <c r="J50" s="99">
        <v>0</v>
      </c>
      <c r="K50" s="99">
        <v>0</v>
      </c>
      <c r="L50" s="99">
        <v>0</v>
      </c>
      <c r="M50" s="99">
        <v>9.8364395370630534E-2</v>
      </c>
      <c r="N50" s="99">
        <v>0</v>
      </c>
      <c r="O50" s="99">
        <v>0</v>
      </c>
      <c r="P50" s="99">
        <v>0</v>
      </c>
      <c r="Q50" s="99">
        <v>0</v>
      </c>
      <c r="R50" s="99">
        <v>0</v>
      </c>
      <c r="S50" s="99">
        <v>0</v>
      </c>
      <c r="T50" s="99">
        <v>0</v>
      </c>
      <c r="U50" s="99">
        <v>0</v>
      </c>
      <c r="V50" s="99">
        <v>0</v>
      </c>
      <c r="W50" s="99">
        <v>0</v>
      </c>
      <c r="X50" s="99">
        <v>0</v>
      </c>
      <c r="Y50" s="99">
        <v>0</v>
      </c>
    </row>
    <row r="51" spans="4:25" x14ac:dyDescent="0.2">
      <c r="D51" s="98">
        <v>0.21662714404214589</v>
      </c>
      <c r="F51" s="99">
        <v>0</v>
      </c>
      <c r="G51" s="99">
        <v>0</v>
      </c>
      <c r="H51" s="99">
        <v>0</v>
      </c>
      <c r="I51" s="99">
        <v>0</v>
      </c>
      <c r="J51" s="99">
        <v>0</v>
      </c>
      <c r="K51" s="99">
        <v>0</v>
      </c>
      <c r="L51" s="99">
        <v>0</v>
      </c>
      <c r="M51" s="99">
        <v>0</v>
      </c>
      <c r="N51" s="99">
        <v>0.21662714404214589</v>
      </c>
      <c r="O51" s="99">
        <v>0</v>
      </c>
      <c r="P51" s="99">
        <v>0</v>
      </c>
      <c r="Q51" s="99">
        <v>0</v>
      </c>
      <c r="R51" s="99">
        <v>0</v>
      </c>
      <c r="S51" s="99">
        <v>0</v>
      </c>
      <c r="T51" s="99">
        <v>0</v>
      </c>
      <c r="U51" s="99">
        <v>0</v>
      </c>
      <c r="V51" s="99">
        <v>0</v>
      </c>
      <c r="W51" s="99">
        <v>0</v>
      </c>
      <c r="X51" s="99">
        <v>0</v>
      </c>
      <c r="Y51" s="99">
        <v>0</v>
      </c>
    </row>
    <row r="52" spans="4:25" x14ac:dyDescent="0.2">
      <c r="D52" s="98">
        <v>0.37783112347865783</v>
      </c>
      <c r="F52" s="99">
        <v>0</v>
      </c>
      <c r="G52" s="99">
        <v>0</v>
      </c>
      <c r="H52" s="99">
        <v>0</v>
      </c>
      <c r="I52" s="99">
        <v>0</v>
      </c>
      <c r="J52" s="99">
        <v>0</v>
      </c>
      <c r="K52" s="99">
        <v>0</v>
      </c>
      <c r="L52" s="99">
        <v>0</v>
      </c>
      <c r="M52" s="99">
        <v>0</v>
      </c>
      <c r="N52" s="99">
        <v>0</v>
      </c>
      <c r="O52" s="99">
        <v>0.37783112347865783</v>
      </c>
      <c r="P52" s="99">
        <v>0</v>
      </c>
      <c r="Q52" s="99">
        <v>0</v>
      </c>
      <c r="R52" s="99">
        <v>0</v>
      </c>
      <c r="S52" s="99">
        <v>0</v>
      </c>
      <c r="T52" s="99">
        <v>0</v>
      </c>
      <c r="U52" s="99">
        <v>0</v>
      </c>
      <c r="V52" s="99">
        <v>0</v>
      </c>
      <c r="W52" s="99">
        <v>0</v>
      </c>
      <c r="X52" s="99">
        <v>0</v>
      </c>
      <c r="Y52" s="99">
        <v>0</v>
      </c>
    </row>
    <row r="53" spans="4:25" x14ac:dyDescent="0.2">
      <c r="D53" s="98">
        <v>0.2344540180191749</v>
      </c>
      <c r="F53" s="99">
        <v>0</v>
      </c>
      <c r="G53" s="99">
        <v>0</v>
      </c>
      <c r="H53" s="99">
        <v>0</v>
      </c>
      <c r="I53" s="99">
        <v>0</v>
      </c>
      <c r="J53" s="99">
        <v>0</v>
      </c>
      <c r="K53" s="99">
        <v>0</v>
      </c>
      <c r="L53" s="99">
        <v>0</v>
      </c>
      <c r="M53" s="99">
        <v>0</v>
      </c>
      <c r="N53" s="99">
        <v>0</v>
      </c>
      <c r="O53" s="99">
        <v>0</v>
      </c>
      <c r="P53" s="99">
        <v>0.2344540180191749</v>
      </c>
      <c r="Q53" s="99">
        <v>0</v>
      </c>
      <c r="R53" s="99">
        <v>0</v>
      </c>
      <c r="S53" s="99">
        <v>0</v>
      </c>
      <c r="T53" s="99">
        <v>0</v>
      </c>
      <c r="U53" s="99">
        <v>0</v>
      </c>
      <c r="V53" s="99">
        <v>0</v>
      </c>
      <c r="W53" s="99">
        <v>0</v>
      </c>
      <c r="X53" s="99">
        <v>0</v>
      </c>
      <c r="Y53" s="99">
        <v>0</v>
      </c>
    </row>
    <row r="54" spans="4:25" x14ac:dyDescent="0.2">
      <c r="D54" s="98">
        <v>2.3603587524771791E-2</v>
      </c>
      <c r="F54" s="99">
        <v>0</v>
      </c>
      <c r="G54" s="99">
        <v>0</v>
      </c>
      <c r="H54" s="99">
        <v>0</v>
      </c>
      <c r="I54" s="99">
        <v>0</v>
      </c>
      <c r="J54" s="99">
        <v>0</v>
      </c>
      <c r="K54" s="99">
        <v>0</v>
      </c>
      <c r="L54" s="99">
        <v>0</v>
      </c>
      <c r="M54" s="99">
        <v>0</v>
      </c>
      <c r="N54" s="99">
        <v>0</v>
      </c>
      <c r="O54" s="99">
        <v>0</v>
      </c>
      <c r="P54" s="99">
        <v>0</v>
      </c>
      <c r="Q54" s="99">
        <v>2.3603587524771791E-2</v>
      </c>
      <c r="R54" s="99">
        <v>0</v>
      </c>
      <c r="S54" s="99">
        <v>0</v>
      </c>
      <c r="T54" s="99">
        <v>0</v>
      </c>
      <c r="U54" s="99">
        <v>0</v>
      </c>
      <c r="V54" s="99">
        <v>0</v>
      </c>
      <c r="W54" s="99">
        <v>0</v>
      </c>
      <c r="X54" s="99">
        <v>0</v>
      </c>
      <c r="Y54" s="99">
        <v>0</v>
      </c>
    </row>
    <row r="55" spans="4:25" x14ac:dyDescent="0.2">
      <c r="D55" s="98">
        <v>0</v>
      </c>
      <c r="F55" s="99">
        <v>0</v>
      </c>
      <c r="G55" s="99">
        <v>0</v>
      </c>
      <c r="H55" s="99">
        <v>0</v>
      </c>
      <c r="I55" s="99">
        <v>0</v>
      </c>
      <c r="J55" s="99">
        <v>0</v>
      </c>
      <c r="K55" s="99">
        <v>0</v>
      </c>
      <c r="L55" s="99">
        <v>0</v>
      </c>
      <c r="M55" s="99">
        <v>0</v>
      </c>
      <c r="N55" s="99">
        <v>0</v>
      </c>
      <c r="O55" s="99">
        <v>0</v>
      </c>
      <c r="P55" s="99">
        <v>0</v>
      </c>
      <c r="Q55" s="99">
        <v>0</v>
      </c>
      <c r="R55" s="99">
        <v>0</v>
      </c>
      <c r="S55" s="99">
        <v>0</v>
      </c>
      <c r="T55" s="99">
        <v>0</v>
      </c>
      <c r="U55" s="99">
        <v>0</v>
      </c>
      <c r="V55" s="99">
        <v>0</v>
      </c>
      <c r="W55" s="99">
        <v>0</v>
      </c>
      <c r="X55" s="99">
        <v>0</v>
      </c>
      <c r="Y55" s="99">
        <v>0</v>
      </c>
    </row>
    <row r="56" spans="4:25" x14ac:dyDescent="0.2">
      <c r="D56" s="98">
        <v>0.25553461714957237</v>
      </c>
      <c r="F56" s="99">
        <v>0</v>
      </c>
      <c r="G56" s="99">
        <v>0</v>
      </c>
      <c r="H56" s="99">
        <v>0</v>
      </c>
      <c r="I56" s="99">
        <v>0</v>
      </c>
      <c r="J56" s="99">
        <v>0</v>
      </c>
      <c r="K56" s="99">
        <v>0</v>
      </c>
      <c r="L56" s="99">
        <v>0</v>
      </c>
      <c r="M56" s="99">
        <v>0</v>
      </c>
      <c r="N56" s="99">
        <v>0</v>
      </c>
      <c r="O56" s="99">
        <v>0</v>
      </c>
      <c r="P56" s="99">
        <v>0</v>
      </c>
      <c r="Q56" s="99">
        <v>0</v>
      </c>
      <c r="R56" s="99">
        <v>0</v>
      </c>
      <c r="S56" s="99">
        <v>0.25553461714957237</v>
      </c>
      <c r="T56" s="99">
        <v>0</v>
      </c>
      <c r="U56" s="99">
        <v>0</v>
      </c>
      <c r="V56" s="99">
        <v>0</v>
      </c>
      <c r="W56" s="99">
        <v>0</v>
      </c>
      <c r="X56" s="99">
        <v>0</v>
      </c>
      <c r="Y56" s="99">
        <v>0</v>
      </c>
    </row>
    <row r="57" spans="4:25" x14ac:dyDescent="0.2">
      <c r="D57" s="98">
        <v>0.12099969194032141</v>
      </c>
      <c r="F57" s="99">
        <v>0</v>
      </c>
      <c r="G57" s="99">
        <v>0</v>
      </c>
      <c r="H57" s="99">
        <v>0</v>
      </c>
      <c r="I57" s="99">
        <v>0</v>
      </c>
      <c r="J57" s="99">
        <v>0</v>
      </c>
      <c r="K57" s="99">
        <v>0</v>
      </c>
      <c r="L57" s="99">
        <v>0</v>
      </c>
      <c r="M57" s="99">
        <v>0</v>
      </c>
      <c r="N57" s="99">
        <v>0</v>
      </c>
      <c r="O57" s="99">
        <v>0</v>
      </c>
      <c r="P57" s="99">
        <v>0</v>
      </c>
      <c r="Q57" s="99">
        <v>0</v>
      </c>
      <c r="R57" s="99">
        <v>0</v>
      </c>
      <c r="S57" s="99">
        <v>0</v>
      </c>
      <c r="T57" s="99">
        <v>0.12099969194032141</v>
      </c>
      <c r="U57" s="99">
        <v>0</v>
      </c>
      <c r="V57" s="99">
        <v>0</v>
      </c>
      <c r="W57" s="99">
        <v>0</v>
      </c>
      <c r="X57" s="99">
        <v>0</v>
      </c>
      <c r="Y57" s="99">
        <v>0</v>
      </c>
    </row>
    <row r="58" spans="4:25" x14ac:dyDescent="0.2">
      <c r="D58" s="98">
        <v>0.17931408211219602</v>
      </c>
      <c r="F58" s="99">
        <v>0</v>
      </c>
      <c r="G58" s="99">
        <v>0</v>
      </c>
      <c r="H58" s="99">
        <v>0</v>
      </c>
      <c r="I58" s="99">
        <v>0</v>
      </c>
      <c r="J58" s="99">
        <v>0</v>
      </c>
      <c r="K58" s="99">
        <v>0</v>
      </c>
      <c r="L58" s="99">
        <v>0</v>
      </c>
      <c r="M58" s="99">
        <v>0</v>
      </c>
      <c r="N58" s="99">
        <v>0</v>
      </c>
      <c r="O58" s="99">
        <v>0</v>
      </c>
      <c r="P58" s="99">
        <v>0</v>
      </c>
      <c r="Q58" s="99">
        <v>0</v>
      </c>
      <c r="R58" s="99">
        <v>0</v>
      </c>
      <c r="S58" s="99">
        <v>0</v>
      </c>
      <c r="T58" s="99">
        <v>0</v>
      </c>
      <c r="U58" s="99">
        <v>0.17931408211219602</v>
      </c>
      <c r="V58" s="99">
        <v>0</v>
      </c>
      <c r="W58" s="99">
        <v>0</v>
      </c>
      <c r="X58" s="99">
        <v>0</v>
      </c>
      <c r="Y58" s="99">
        <v>0</v>
      </c>
    </row>
    <row r="59" spans="4:25" x14ac:dyDescent="0.2">
      <c r="D59" s="98">
        <v>6.6553933972985424E-2</v>
      </c>
      <c r="F59" s="99">
        <v>0</v>
      </c>
      <c r="G59" s="99">
        <v>0</v>
      </c>
      <c r="H59" s="99">
        <v>0</v>
      </c>
      <c r="I59" s="99">
        <v>0</v>
      </c>
      <c r="J59" s="99">
        <v>0</v>
      </c>
      <c r="K59" s="99">
        <v>0</v>
      </c>
      <c r="L59" s="99">
        <v>0</v>
      </c>
      <c r="M59" s="99">
        <v>0</v>
      </c>
      <c r="N59" s="99">
        <v>0</v>
      </c>
      <c r="O59" s="99">
        <v>0</v>
      </c>
      <c r="P59" s="99">
        <v>0</v>
      </c>
      <c r="Q59" s="99">
        <v>0</v>
      </c>
      <c r="R59" s="99">
        <v>0</v>
      </c>
      <c r="S59" s="99">
        <v>0</v>
      </c>
      <c r="T59" s="99">
        <v>0</v>
      </c>
      <c r="U59" s="99">
        <v>0</v>
      </c>
      <c r="V59" s="99">
        <v>6.6553933972985424E-2</v>
      </c>
      <c r="W59" s="99">
        <v>0</v>
      </c>
      <c r="X59" s="99">
        <v>0</v>
      </c>
      <c r="Y59" s="99">
        <v>0</v>
      </c>
    </row>
    <row r="60" spans="4:25" x14ac:dyDescent="0.2">
      <c r="D60" s="98">
        <v>9.8218995901779446E-2</v>
      </c>
      <c r="F60" s="99">
        <v>0</v>
      </c>
      <c r="G60" s="99">
        <v>0</v>
      </c>
      <c r="H60" s="99">
        <v>0</v>
      </c>
      <c r="I60" s="99">
        <v>0</v>
      </c>
      <c r="J60" s="99">
        <v>0</v>
      </c>
      <c r="K60" s="99">
        <v>0</v>
      </c>
      <c r="L60" s="99">
        <v>0</v>
      </c>
      <c r="M60" s="99">
        <v>0</v>
      </c>
      <c r="N60" s="99">
        <v>0</v>
      </c>
      <c r="O60" s="99">
        <v>0</v>
      </c>
      <c r="P60" s="99">
        <v>0</v>
      </c>
      <c r="Q60" s="99">
        <v>0</v>
      </c>
      <c r="R60" s="99">
        <v>0</v>
      </c>
      <c r="S60" s="99">
        <v>0</v>
      </c>
      <c r="T60" s="99">
        <v>0</v>
      </c>
      <c r="U60" s="99">
        <v>0</v>
      </c>
      <c r="V60" s="99">
        <v>0</v>
      </c>
      <c r="W60" s="99">
        <v>9.8218995901779446E-2</v>
      </c>
      <c r="X60" s="99">
        <v>0</v>
      </c>
      <c r="Y60" s="99">
        <v>0</v>
      </c>
    </row>
    <row r="61" spans="4:25" x14ac:dyDescent="0.2">
      <c r="D61" s="98">
        <v>7.9031641587280502E-2</v>
      </c>
      <c r="F61" s="99">
        <v>0</v>
      </c>
      <c r="G61" s="99">
        <v>0</v>
      </c>
      <c r="H61" s="99">
        <v>0</v>
      </c>
      <c r="I61" s="99">
        <v>0</v>
      </c>
      <c r="J61" s="99">
        <v>0</v>
      </c>
      <c r="K61" s="99">
        <v>0</v>
      </c>
      <c r="L61" s="99">
        <v>0</v>
      </c>
      <c r="M61" s="99">
        <v>0</v>
      </c>
      <c r="N61" s="99">
        <v>0</v>
      </c>
      <c r="O61" s="99">
        <v>0</v>
      </c>
      <c r="P61" s="99">
        <v>0</v>
      </c>
      <c r="Q61" s="99">
        <v>0</v>
      </c>
      <c r="R61" s="99">
        <v>0</v>
      </c>
      <c r="S61" s="99">
        <v>0</v>
      </c>
      <c r="T61" s="99">
        <v>0</v>
      </c>
      <c r="U61" s="99">
        <v>0</v>
      </c>
      <c r="V61" s="99">
        <v>0</v>
      </c>
      <c r="W61" s="99">
        <v>0</v>
      </c>
      <c r="X61" s="99">
        <v>7.9031641587280502E-2</v>
      </c>
      <c r="Y61" s="99">
        <v>0</v>
      </c>
    </row>
    <row r="62" spans="4:25" x14ac:dyDescent="0.2">
      <c r="D62" s="98">
        <v>0.110454009894264</v>
      </c>
      <c r="F62" s="99">
        <v>0</v>
      </c>
      <c r="G62" s="99">
        <v>0</v>
      </c>
      <c r="H62" s="99">
        <v>0</v>
      </c>
      <c r="I62" s="99">
        <v>0</v>
      </c>
      <c r="J62" s="99">
        <v>0</v>
      </c>
      <c r="K62" s="99">
        <v>0</v>
      </c>
      <c r="L62" s="99">
        <v>0</v>
      </c>
      <c r="M62" s="99">
        <v>0</v>
      </c>
      <c r="N62" s="99">
        <v>0</v>
      </c>
      <c r="O62" s="99">
        <v>0</v>
      </c>
      <c r="P62" s="99">
        <v>0</v>
      </c>
      <c r="Q62" s="99">
        <v>0</v>
      </c>
      <c r="R62" s="99">
        <v>0</v>
      </c>
      <c r="S62" s="99">
        <v>0</v>
      </c>
      <c r="T62" s="99">
        <v>0</v>
      </c>
      <c r="U62" s="99">
        <v>0</v>
      </c>
      <c r="V62" s="99">
        <v>0</v>
      </c>
      <c r="W62" s="99">
        <v>0</v>
      </c>
      <c r="X62" s="99">
        <v>0</v>
      </c>
      <c r="Y62" s="99">
        <v>0.110454009894264</v>
      </c>
    </row>
    <row r="64" spans="4:25" x14ac:dyDescent="0.2">
      <c r="D64" s="98">
        <v>3.6866646379117157E-3</v>
      </c>
      <c r="F64" s="54" cm="1">
        <f t="array" ref="F64:Y83">IF(_xlfn.SEQUENCE(20,20)=TRANSPOSE(_xlfn.SEQUENCE(20,20)), D64:D83, 0)</f>
        <v>3.6866646379117157E-3</v>
      </c>
      <c r="G64" s="54">
        <v>0</v>
      </c>
      <c r="H64" s="54">
        <v>0</v>
      </c>
      <c r="I64" s="54">
        <v>0</v>
      </c>
      <c r="J64" s="54">
        <v>0</v>
      </c>
      <c r="K64" s="54">
        <v>0</v>
      </c>
      <c r="L64" s="54">
        <v>0</v>
      </c>
      <c r="M64" s="54">
        <v>0</v>
      </c>
      <c r="N64" s="54">
        <v>0</v>
      </c>
      <c r="O64" s="54">
        <v>0</v>
      </c>
      <c r="P64" s="54">
        <v>0</v>
      </c>
      <c r="Q64" s="54">
        <v>0</v>
      </c>
      <c r="R64" s="54">
        <v>0</v>
      </c>
      <c r="S64" s="54">
        <v>0</v>
      </c>
      <c r="T64" s="54">
        <v>0</v>
      </c>
      <c r="U64" s="54">
        <v>0</v>
      </c>
      <c r="V64" s="54">
        <v>0</v>
      </c>
      <c r="W64" s="54">
        <v>0</v>
      </c>
      <c r="X64" s="54">
        <v>0</v>
      </c>
      <c r="Y64" s="54">
        <v>0</v>
      </c>
    </row>
    <row r="65" spans="4:25" x14ac:dyDescent="0.2">
      <c r="D65" s="98">
        <v>3.8236485539640237E-4</v>
      </c>
      <c r="F65" s="54">
        <v>0</v>
      </c>
      <c r="G65" s="54">
        <v>3.8236485539640237E-4</v>
      </c>
      <c r="H65" s="54">
        <v>0</v>
      </c>
      <c r="I65" s="54">
        <v>0</v>
      </c>
      <c r="J65" s="54">
        <v>0</v>
      </c>
      <c r="K65" s="54">
        <v>0</v>
      </c>
      <c r="L65" s="54">
        <v>0</v>
      </c>
      <c r="M65" s="54">
        <v>0</v>
      </c>
      <c r="N65" s="54">
        <v>0</v>
      </c>
      <c r="O65" s="54">
        <v>0</v>
      </c>
      <c r="P65" s="54">
        <v>0</v>
      </c>
      <c r="Q65" s="54">
        <v>0</v>
      </c>
      <c r="R65" s="54">
        <v>0</v>
      </c>
      <c r="S65" s="54">
        <v>0</v>
      </c>
      <c r="T65" s="54">
        <v>0</v>
      </c>
      <c r="U65" s="54">
        <v>0</v>
      </c>
      <c r="V65" s="54">
        <v>0</v>
      </c>
      <c r="W65" s="54">
        <v>0</v>
      </c>
      <c r="X65" s="54">
        <v>0</v>
      </c>
      <c r="Y65" s="54">
        <v>0</v>
      </c>
    </row>
    <row r="66" spans="4:25" x14ac:dyDescent="0.2">
      <c r="D66" s="98">
        <v>9.0066000516285452E-3</v>
      </c>
      <c r="F66" s="54">
        <v>0</v>
      </c>
      <c r="G66" s="54">
        <v>0</v>
      </c>
      <c r="H66" s="54">
        <v>9.0066000516285452E-3</v>
      </c>
      <c r="I66" s="54">
        <v>0</v>
      </c>
      <c r="J66" s="54">
        <v>0</v>
      </c>
      <c r="K66" s="54">
        <v>0</v>
      </c>
      <c r="L66" s="54">
        <v>0</v>
      </c>
      <c r="M66" s="54">
        <v>0</v>
      </c>
      <c r="N66" s="54">
        <v>0</v>
      </c>
      <c r="O66" s="54">
        <v>0</v>
      </c>
      <c r="P66" s="54">
        <v>0</v>
      </c>
      <c r="Q66" s="54">
        <v>0</v>
      </c>
      <c r="R66" s="54">
        <v>0</v>
      </c>
      <c r="S66" s="54">
        <v>0</v>
      </c>
      <c r="T66" s="54">
        <v>0</v>
      </c>
      <c r="U66" s="54">
        <v>0</v>
      </c>
      <c r="V66" s="54">
        <v>0</v>
      </c>
      <c r="W66" s="54">
        <v>0</v>
      </c>
      <c r="X66" s="54">
        <v>0</v>
      </c>
      <c r="Y66" s="54">
        <v>0</v>
      </c>
    </row>
    <row r="67" spans="4:25" x14ac:dyDescent="0.2">
      <c r="D67" s="98">
        <v>4.8252761872566002E-4</v>
      </c>
      <c r="F67" s="54">
        <v>0</v>
      </c>
      <c r="G67" s="54">
        <v>0</v>
      </c>
      <c r="H67" s="54">
        <v>0</v>
      </c>
      <c r="I67" s="54">
        <v>4.8252761872566002E-4</v>
      </c>
      <c r="J67" s="54">
        <v>0</v>
      </c>
      <c r="K67" s="54">
        <v>0</v>
      </c>
      <c r="L67" s="54">
        <v>0</v>
      </c>
      <c r="M67" s="54">
        <v>0</v>
      </c>
      <c r="N67" s="54">
        <v>0</v>
      </c>
      <c r="O67" s="54">
        <v>0</v>
      </c>
      <c r="P67" s="54">
        <v>0</v>
      </c>
      <c r="Q67" s="54">
        <v>0</v>
      </c>
      <c r="R67" s="54">
        <v>0</v>
      </c>
      <c r="S67" s="54">
        <v>0</v>
      </c>
      <c r="T67" s="54">
        <v>0</v>
      </c>
      <c r="U67" s="54">
        <v>0</v>
      </c>
      <c r="V67" s="54">
        <v>0</v>
      </c>
      <c r="W67" s="54">
        <v>0</v>
      </c>
      <c r="X67" s="54">
        <v>0</v>
      </c>
      <c r="Y67" s="54">
        <v>0</v>
      </c>
    </row>
    <row r="68" spans="4:25" x14ac:dyDescent="0.2">
      <c r="D68" s="98">
        <v>3.5703522733389825E-4</v>
      </c>
      <c r="F68" s="54">
        <v>0</v>
      </c>
      <c r="G68" s="54">
        <v>0</v>
      </c>
      <c r="H68" s="54">
        <v>0</v>
      </c>
      <c r="I68" s="54">
        <v>0</v>
      </c>
      <c r="J68" s="54">
        <v>3.5703522733389825E-4</v>
      </c>
      <c r="K68" s="54">
        <v>0</v>
      </c>
      <c r="L68" s="54">
        <v>0</v>
      </c>
      <c r="M68" s="54">
        <v>0</v>
      </c>
      <c r="N68" s="54">
        <v>0</v>
      </c>
      <c r="O68" s="54">
        <v>0</v>
      </c>
      <c r="P68" s="54">
        <v>0</v>
      </c>
      <c r="Q68" s="54">
        <v>0</v>
      </c>
      <c r="R68" s="54">
        <v>0</v>
      </c>
      <c r="S68" s="54">
        <v>0</v>
      </c>
      <c r="T68" s="54">
        <v>0</v>
      </c>
      <c r="U68" s="54">
        <v>0</v>
      </c>
      <c r="V68" s="54">
        <v>0</v>
      </c>
      <c r="W68" s="54">
        <v>0</v>
      </c>
      <c r="X68" s="54">
        <v>0</v>
      </c>
      <c r="Y68" s="54">
        <v>0</v>
      </c>
    </row>
    <row r="69" spans="4:25" x14ac:dyDescent="0.2">
      <c r="D69" s="98">
        <v>1.3387162487323147E-3</v>
      </c>
      <c r="F69" s="54">
        <v>0</v>
      </c>
      <c r="G69" s="54">
        <v>0</v>
      </c>
      <c r="H69" s="54">
        <v>0</v>
      </c>
      <c r="I69" s="54">
        <v>0</v>
      </c>
      <c r="J69" s="54">
        <v>0</v>
      </c>
      <c r="K69" s="54">
        <v>1.3387162487323147E-3</v>
      </c>
      <c r="L69" s="54">
        <v>0</v>
      </c>
      <c r="M69" s="54">
        <v>0</v>
      </c>
      <c r="N69" s="54">
        <v>0</v>
      </c>
      <c r="O69" s="54">
        <v>0</v>
      </c>
      <c r="P69" s="54">
        <v>0</v>
      </c>
      <c r="Q69" s="54">
        <v>0</v>
      </c>
      <c r="R69" s="54">
        <v>0</v>
      </c>
      <c r="S69" s="54">
        <v>0</v>
      </c>
      <c r="T69" s="54">
        <v>0</v>
      </c>
      <c r="U69" s="54">
        <v>0</v>
      </c>
      <c r="V69" s="54">
        <v>0</v>
      </c>
      <c r="W69" s="54">
        <v>0</v>
      </c>
      <c r="X69" s="54">
        <v>0</v>
      </c>
      <c r="Y69" s="54">
        <v>0</v>
      </c>
    </row>
    <row r="70" spans="4:25" x14ac:dyDescent="0.2">
      <c r="D70" s="98">
        <v>1.574030013685233E-3</v>
      </c>
      <c r="F70" s="54">
        <v>0</v>
      </c>
      <c r="G70" s="54">
        <v>0</v>
      </c>
      <c r="H70" s="54">
        <v>0</v>
      </c>
      <c r="I70" s="54">
        <v>0</v>
      </c>
      <c r="J70" s="54">
        <v>0</v>
      </c>
      <c r="K70" s="54">
        <v>0</v>
      </c>
      <c r="L70" s="54">
        <v>1.574030013685233E-3</v>
      </c>
      <c r="M70" s="54">
        <v>0</v>
      </c>
      <c r="N70" s="54">
        <v>0</v>
      </c>
      <c r="O70" s="54">
        <v>0</v>
      </c>
      <c r="P70" s="54">
        <v>0</v>
      </c>
      <c r="Q70" s="54">
        <v>0</v>
      </c>
      <c r="R70" s="54">
        <v>0</v>
      </c>
      <c r="S70" s="54">
        <v>0</v>
      </c>
      <c r="T70" s="54">
        <v>0</v>
      </c>
      <c r="U70" s="54">
        <v>0</v>
      </c>
      <c r="V70" s="54">
        <v>0</v>
      </c>
      <c r="W70" s="54">
        <v>0</v>
      </c>
      <c r="X70" s="54">
        <v>0</v>
      </c>
      <c r="Y70" s="54">
        <v>0</v>
      </c>
    </row>
    <row r="71" spans="4:25" x14ac:dyDescent="0.2">
      <c r="D71" s="98">
        <v>3.7371486137193657E-3</v>
      </c>
      <c r="F71" s="54">
        <v>0</v>
      </c>
      <c r="G71" s="54">
        <v>0</v>
      </c>
      <c r="H71" s="54">
        <v>0</v>
      </c>
      <c r="I71" s="54">
        <v>0</v>
      </c>
      <c r="J71" s="54">
        <v>0</v>
      </c>
      <c r="K71" s="54">
        <v>0</v>
      </c>
      <c r="L71" s="54">
        <v>0</v>
      </c>
      <c r="M71" s="54">
        <v>3.7371486137193657E-3</v>
      </c>
      <c r="N71" s="54">
        <v>0</v>
      </c>
      <c r="O71" s="54">
        <v>0</v>
      </c>
      <c r="P71" s="54">
        <v>0</v>
      </c>
      <c r="Q71" s="54">
        <v>0</v>
      </c>
      <c r="R71" s="54">
        <v>0</v>
      </c>
      <c r="S71" s="54">
        <v>0</v>
      </c>
      <c r="T71" s="54">
        <v>0</v>
      </c>
      <c r="U71" s="54">
        <v>0</v>
      </c>
      <c r="V71" s="54">
        <v>0</v>
      </c>
      <c r="W71" s="54">
        <v>0</v>
      </c>
      <c r="X71" s="54">
        <v>0</v>
      </c>
      <c r="Y71" s="54">
        <v>0</v>
      </c>
    </row>
    <row r="72" spans="4:25" x14ac:dyDescent="0.2">
      <c r="D72" s="98">
        <v>2.7196206162950123E-2</v>
      </c>
      <c r="F72" s="54">
        <v>0</v>
      </c>
      <c r="G72" s="54">
        <v>0</v>
      </c>
      <c r="H72" s="54">
        <v>0</v>
      </c>
      <c r="I72" s="54">
        <v>0</v>
      </c>
      <c r="J72" s="54">
        <v>0</v>
      </c>
      <c r="K72" s="54">
        <v>0</v>
      </c>
      <c r="L72" s="54">
        <v>0</v>
      </c>
      <c r="M72" s="54">
        <v>0</v>
      </c>
      <c r="N72" s="54">
        <v>2.7196206162950123E-2</v>
      </c>
      <c r="O72" s="54">
        <v>0</v>
      </c>
      <c r="P72" s="54">
        <v>0</v>
      </c>
      <c r="Q72" s="54">
        <v>0</v>
      </c>
      <c r="R72" s="54">
        <v>0</v>
      </c>
      <c r="S72" s="54">
        <v>0</v>
      </c>
      <c r="T72" s="54">
        <v>0</v>
      </c>
      <c r="U72" s="54">
        <v>0</v>
      </c>
      <c r="V72" s="54">
        <v>0</v>
      </c>
      <c r="W72" s="54">
        <v>0</v>
      </c>
      <c r="X72" s="54">
        <v>0</v>
      </c>
      <c r="Y72" s="54">
        <v>0</v>
      </c>
    </row>
    <row r="73" spans="4:25" x14ac:dyDescent="0.2">
      <c r="D73" s="98">
        <v>4.4741622836592205E-3</v>
      </c>
      <c r="F73" s="54">
        <v>0</v>
      </c>
      <c r="G73" s="54">
        <v>0</v>
      </c>
      <c r="H73" s="54">
        <v>0</v>
      </c>
      <c r="I73" s="54">
        <v>0</v>
      </c>
      <c r="J73" s="54">
        <v>0</v>
      </c>
      <c r="K73" s="54">
        <v>0</v>
      </c>
      <c r="L73" s="54">
        <v>0</v>
      </c>
      <c r="M73" s="54">
        <v>0</v>
      </c>
      <c r="N73" s="54">
        <v>0</v>
      </c>
      <c r="O73" s="54">
        <v>4.4741622836592205E-3</v>
      </c>
      <c r="P73" s="54">
        <v>0</v>
      </c>
      <c r="Q73" s="54">
        <v>0</v>
      </c>
      <c r="R73" s="54">
        <v>0</v>
      </c>
      <c r="S73" s="54">
        <v>0</v>
      </c>
      <c r="T73" s="54">
        <v>0</v>
      </c>
      <c r="U73" s="54">
        <v>0</v>
      </c>
      <c r="V73" s="54">
        <v>0</v>
      </c>
      <c r="W73" s="54">
        <v>0</v>
      </c>
      <c r="X73" s="54">
        <v>0</v>
      </c>
      <c r="Y73" s="54">
        <v>0</v>
      </c>
    </row>
    <row r="74" spans="4:25" x14ac:dyDescent="0.2">
      <c r="D74" s="98">
        <v>9.5325624598010961E-3</v>
      </c>
      <c r="F74" s="54">
        <v>0</v>
      </c>
      <c r="G74" s="54">
        <v>0</v>
      </c>
      <c r="H74" s="54">
        <v>0</v>
      </c>
      <c r="I74" s="54">
        <v>0</v>
      </c>
      <c r="J74" s="54">
        <v>0</v>
      </c>
      <c r="K74" s="54">
        <v>0</v>
      </c>
      <c r="L74" s="54">
        <v>0</v>
      </c>
      <c r="M74" s="54">
        <v>0</v>
      </c>
      <c r="N74" s="54">
        <v>0</v>
      </c>
      <c r="O74" s="54">
        <v>0</v>
      </c>
      <c r="P74" s="54">
        <v>9.5325624598010961E-3</v>
      </c>
      <c r="Q74" s="54">
        <v>0</v>
      </c>
      <c r="R74" s="54">
        <v>0</v>
      </c>
      <c r="S74" s="54">
        <v>0</v>
      </c>
      <c r="T74" s="54">
        <v>0</v>
      </c>
      <c r="U74" s="54">
        <v>0</v>
      </c>
      <c r="V74" s="54">
        <v>0</v>
      </c>
      <c r="W74" s="54">
        <v>0</v>
      </c>
      <c r="X74" s="54">
        <v>0</v>
      </c>
      <c r="Y74" s="54">
        <v>0</v>
      </c>
    </row>
    <row r="75" spans="4:25" x14ac:dyDescent="0.2">
      <c r="D75" s="98">
        <v>1.0166197456092121E-2</v>
      </c>
      <c r="F75" s="54">
        <v>0</v>
      </c>
      <c r="G75" s="54">
        <v>0</v>
      </c>
      <c r="H75" s="54">
        <v>0</v>
      </c>
      <c r="I75" s="54">
        <v>0</v>
      </c>
      <c r="J75" s="54">
        <v>0</v>
      </c>
      <c r="K75" s="54">
        <v>0</v>
      </c>
      <c r="L75" s="54">
        <v>0</v>
      </c>
      <c r="M75" s="54">
        <v>0</v>
      </c>
      <c r="N75" s="54">
        <v>0</v>
      </c>
      <c r="O75" s="54">
        <v>0</v>
      </c>
      <c r="P75" s="54">
        <v>0</v>
      </c>
      <c r="Q75" s="54">
        <v>1.0166197456092121E-2</v>
      </c>
      <c r="R75" s="54">
        <v>0</v>
      </c>
      <c r="S75" s="54">
        <v>0</v>
      </c>
      <c r="T75" s="54">
        <v>0</v>
      </c>
      <c r="U75" s="54">
        <v>0</v>
      </c>
      <c r="V75" s="54">
        <v>0</v>
      </c>
      <c r="W75" s="54">
        <v>0</v>
      </c>
      <c r="X75" s="54">
        <v>0</v>
      </c>
      <c r="Y75" s="54">
        <v>0</v>
      </c>
    </row>
    <row r="76" spans="4:25" x14ac:dyDescent="0.2">
      <c r="D76" s="98">
        <v>0</v>
      </c>
      <c r="F76" s="54">
        <v>0</v>
      </c>
      <c r="G76" s="54">
        <v>0</v>
      </c>
      <c r="H76" s="54">
        <v>0</v>
      </c>
      <c r="I76" s="54">
        <v>0</v>
      </c>
      <c r="J76" s="54">
        <v>0</v>
      </c>
      <c r="K76" s="54">
        <v>0</v>
      </c>
      <c r="L76" s="54">
        <v>0</v>
      </c>
      <c r="M76" s="54">
        <v>0</v>
      </c>
      <c r="N76" s="54">
        <v>0</v>
      </c>
      <c r="O76" s="54">
        <v>0</v>
      </c>
      <c r="P76" s="54">
        <v>0</v>
      </c>
      <c r="Q76" s="54">
        <v>0</v>
      </c>
      <c r="R76" s="54">
        <v>0</v>
      </c>
      <c r="S76" s="54">
        <v>0</v>
      </c>
      <c r="T76" s="54">
        <v>0</v>
      </c>
      <c r="U76" s="54">
        <v>0</v>
      </c>
      <c r="V76" s="54">
        <v>0</v>
      </c>
      <c r="W76" s="54">
        <v>0</v>
      </c>
      <c r="X76" s="54">
        <v>0</v>
      </c>
      <c r="Y76" s="54">
        <v>0</v>
      </c>
    </row>
    <row r="77" spans="4:25" x14ac:dyDescent="0.2">
      <c r="D77" s="98">
        <v>2.1068364221972003E-3</v>
      </c>
      <c r="F77" s="54">
        <v>0</v>
      </c>
      <c r="G77" s="54">
        <v>0</v>
      </c>
      <c r="H77" s="54">
        <v>0</v>
      </c>
      <c r="I77" s="54">
        <v>0</v>
      </c>
      <c r="J77" s="54">
        <v>0</v>
      </c>
      <c r="K77" s="54">
        <v>0</v>
      </c>
      <c r="L77" s="54">
        <v>0</v>
      </c>
      <c r="M77" s="54">
        <v>0</v>
      </c>
      <c r="N77" s="54">
        <v>0</v>
      </c>
      <c r="O77" s="54">
        <v>0</v>
      </c>
      <c r="P77" s="54">
        <v>0</v>
      </c>
      <c r="Q77" s="54">
        <v>0</v>
      </c>
      <c r="R77" s="54">
        <v>0</v>
      </c>
      <c r="S77" s="54">
        <v>2.1068364221972003E-3</v>
      </c>
      <c r="T77" s="54">
        <v>0</v>
      </c>
      <c r="U77" s="54">
        <v>0</v>
      </c>
      <c r="V77" s="54">
        <v>0</v>
      </c>
      <c r="W77" s="54">
        <v>0</v>
      </c>
      <c r="X77" s="54">
        <v>0</v>
      </c>
      <c r="Y77" s="54">
        <v>0</v>
      </c>
    </row>
    <row r="78" spans="4:25" x14ac:dyDescent="0.2">
      <c r="D78" s="98">
        <v>1.0134614819949008E-3</v>
      </c>
      <c r="F78" s="54">
        <v>0</v>
      </c>
      <c r="G78" s="54">
        <v>0</v>
      </c>
      <c r="H78" s="54">
        <v>0</v>
      </c>
      <c r="I78" s="54">
        <v>0</v>
      </c>
      <c r="J78" s="54">
        <v>0</v>
      </c>
      <c r="K78" s="54">
        <v>0</v>
      </c>
      <c r="L78" s="54">
        <v>0</v>
      </c>
      <c r="M78" s="54">
        <v>0</v>
      </c>
      <c r="N78" s="54">
        <v>0</v>
      </c>
      <c r="O78" s="54">
        <v>0</v>
      </c>
      <c r="P78" s="54">
        <v>0</v>
      </c>
      <c r="Q78" s="54">
        <v>0</v>
      </c>
      <c r="R78" s="54">
        <v>0</v>
      </c>
      <c r="S78" s="54">
        <v>0</v>
      </c>
      <c r="T78" s="54">
        <v>1.0134614819949008E-3</v>
      </c>
      <c r="U78" s="54">
        <v>0</v>
      </c>
      <c r="V78" s="54">
        <v>0</v>
      </c>
      <c r="W78" s="54">
        <v>0</v>
      </c>
      <c r="X78" s="54">
        <v>0</v>
      </c>
      <c r="Y78" s="54">
        <v>0</v>
      </c>
    </row>
    <row r="79" spans="4:25" x14ac:dyDescent="0.2">
      <c r="D79" s="98">
        <v>4.4921957711179525E-3</v>
      </c>
      <c r="F79" s="54">
        <v>0</v>
      </c>
      <c r="G79" s="54">
        <v>0</v>
      </c>
      <c r="H79" s="54">
        <v>0</v>
      </c>
      <c r="I79" s="54">
        <v>0</v>
      </c>
      <c r="J79" s="54">
        <v>0</v>
      </c>
      <c r="K79" s="54">
        <v>0</v>
      </c>
      <c r="L79" s="54">
        <v>0</v>
      </c>
      <c r="M79" s="54">
        <v>0</v>
      </c>
      <c r="N79" s="54">
        <v>0</v>
      </c>
      <c r="O79" s="54">
        <v>0</v>
      </c>
      <c r="P79" s="54">
        <v>0</v>
      </c>
      <c r="Q79" s="54">
        <v>0</v>
      </c>
      <c r="R79" s="54">
        <v>0</v>
      </c>
      <c r="S79" s="54">
        <v>0</v>
      </c>
      <c r="T79" s="54">
        <v>0</v>
      </c>
      <c r="U79" s="54">
        <v>4.4921957711179525E-3</v>
      </c>
      <c r="V79" s="54">
        <v>0</v>
      </c>
      <c r="W79" s="54">
        <v>0</v>
      </c>
      <c r="X79" s="54">
        <v>0</v>
      </c>
      <c r="Y79" s="54">
        <v>0</v>
      </c>
    </row>
    <row r="80" spans="4:25" x14ac:dyDescent="0.2">
      <c r="D80" s="98">
        <v>6.5869507407727715E-3</v>
      </c>
      <c r="F80" s="54">
        <v>0</v>
      </c>
      <c r="G80" s="54">
        <v>0</v>
      </c>
      <c r="H80" s="54">
        <v>0</v>
      </c>
      <c r="I80" s="54">
        <v>0</v>
      </c>
      <c r="J80" s="54">
        <v>0</v>
      </c>
      <c r="K80" s="54">
        <v>0</v>
      </c>
      <c r="L80" s="54">
        <v>0</v>
      </c>
      <c r="M80" s="54">
        <v>0</v>
      </c>
      <c r="N80" s="54">
        <v>0</v>
      </c>
      <c r="O80" s="54">
        <v>0</v>
      </c>
      <c r="P80" s="54">
        <v>0</v>
      </c>
      <c r="Q80" s="54">
        <v>0</v>
      </c>
      <c r="R80" s="54">
        <v>0</v>
      </c>
      <c r="S80" s="54">
        <v>0</v>
      </c>
      <c r="T80" s="54">
        <v>0</v>
      </c>
      <c r="U80" s="54">
        <v>0</v>
      </c>
      <c r="V80" s="54">
        <v>6.5869507407727715E-3</v>
      </c>
      <c r="W80" s="54">
        <v>0</v>
      </c>
      <c r="X80" s="54">
        <v>0</v>
      </c>
      <c r="Y80" s="54">
        <v>0</v>
      </c>
    </row>
    <row r="81" spans="4:25" x14ac:dyDescent="0.2">
      <c r="D81" s="98">
        <v>2.8547517839932417E-2</v>
      </c>
      <c r="F81" s="54">
        <v>0</v>
      </c>
      <c r="G81" s="54">
        <v>0</v>
      </c>
      <c r="H81" s="54">
        <v>0</v>
      </c>
      <c r="I81" s="54">
        <v>0</v>
      </c>
      <c r="J81" s="54">
        <v>0</v>
      </c>
      <c r="K81" s="54">
        <v>0</v>
      </c>
      <c r="L81" s="54">
        <v>0</v>
      </c>
      <c r="M81" s="54">
        <v>0</v>
      </c>
      <c r="N81" s="54">
        <v>0</v>
      </c>
      <c r="O81" s="54">
        <v>0</v>
      </c>
      <c r="P81" s="54">
        <v>0</v>
      </c>
      <c r="Q81" s="54">
        <v>0</v>
      </c>
      <c r="R81" s="54">
        <v>0</v>
      </c>
      <c r="S81" s="54">
        <v>0</v>
      </c>
      <c r="T81" s="54">
        <v>0</v>
      </c>
      <c r="U81" s="54">
        <v>0</v>
      </c>
      <c r="V81" s="54">
        <v>0</v>
      </c>
      <c r="W81" s="54">
        <v>2.8547517839932417E-2</v>
      </c>
      <c r="X81" s="54">
        <v>0</v>
      </c>
      <c r="Y81" s="54">
        <v>0</v>
      </c>
    </row>
    <row r="82" spans="4:25" x14ac:dyDescent="0.2">
      <c r="D82" s="98">
        <v>1.2672781387053793E-2</v>
      </c>
      <c r="F82" s="54">
        <v>0</v>
      </c>
      <c r="G82" s="54">
        <v>0</v>
      </c>
      <c r="H82" s="54">
        <v>0</v>
      </c>
      <c r="I82" s="54">
        <v>0</v>
      </c>
      <c r="J82" s="54">
        <v>0</v>
      </c>
      <c r="K82" s="54">
        <v>0</v>
      </c>
      <c r="L82" s="54">
        <v>0</v>
      </c>
      <c r="M82" s="54">
        <v>0</v>
      </c>
      <c r="N82" s="54">
        <v>0</v>
      </c>
      <c r="O82" s="54">
        <v>0</v>
      </c>
      <c r="P82" s="54">
        <v>0</v>
      </c>
      <c r="Q82" s="54">
        <v>0</v>
      </c>
      <c r="R82" s="54">
        <v>0</v>
      </c>
      <c r="S82" s="54">
        <v>0</v>
      </c>
      <c r="T82" s="54">
        <v>0</v>
      </c>
      <c r="U82" s="54">
        <v>0</v>
      </c>
      <c r="V82" s="54">
        <v>0</v>
      </c>
      <c r="W82" s="54">
        <v>0</v>
      </c>
      <c r="X82" s="54">
        <v>1.2672781387053793E-2</v>
      </c>
      <c r="Y82" s="54">
        <v>0</v>
      </c>
    </row>
    <row r="83" spans="4:25" x14ac:dyDescent="0.2">
      <c r="D83" s="98">
        <v>3.2686434254715329E-3</v>
      </c>
      <c r="F83" s="54">
        <v>0</v>
      </c>
      <c r="G83" s="54">
        <v>0</v>
      </c>
      <c r="H83" s="54">
        <v>0</v>
      </c>
      <c r="I83" s="54">
        <v>0</v>
      </c>
      <c r="J83" s="54">
        <v>0</v>
      </c>
      <c r="K83" s="54">
        <v>0</v>
      </c>
      <c r="L83" s="54">
        <v>0</v>
      </c>
      <c r="M83" s="54">
        <v>0</v>
      </c>
      <c r="N83" s="54">
        <v>0</v>
      </c>
      <c r="O83" s="54">
        <v>0</v>
      </c>
      <c r="P83" s="54">
        <v>0</v>
      </c>
      <c r="Q83" s="54">
        <v>0</v>
      </c>
      <c r="R83" s="54">
        <v>0</v>
      </c>
      <c r="S83" s="54">
        <v>0</v>
      </c>
      <c r="T83" s="54">
        <v>0</v>
      </c>
      <c r="U83" s="54">
        <v>0</v>
      </c>
      <c r="V83" s="54">
        <v>0</v>
      </c>
      <c r="W83" s="54">
        <v>0</v>
      </c>
      <c r="X83" s="54">
        <v>0</v>
      </c>
      <c r="Y83" s="54">
        <v>3.2686434254715329E-3</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1AD87-5216-49D1-86D3-F37D7585E930}">
  <dimension ref="A1:W35"/>
  <sheetViews>
    <sheetView workbookViewId="0">
      <pane xSplit="3" ySplit="9" topLeftCell="D10" activePane="bottomRight" state="frozenSplit"/>
      <selection pane="topRight" activeCell="D1" sqref="D1"/>
      <selection pane="bottomLeft" activeCell="A10" sqref="A10"/>
      <selection pane="bottomRight" activeCell="E30" sqref="E30"/>
    </sheetView>
  </sheetViews>
  <sheetFormatPr baseColWidth="10" defaultColWidth="8.83203125" defaultRowHeight="19" x14ac:dyDescent="0.25"/>
  <cols>
    <col min="1" max="1" width="4.6640625" style="78" customWidth="1"/>
    <col min="2" max="2" width="40.6640625" style="78" customWidth="1"/>
    <col min="3" max="3" width="8.83203125" style="78"/>
    <col min="4" max="4" width="12.6640625" style="78" customWidth="1"/>
    <col min="5" max="5" width="17" style="78" customWidth="1"/>
    <col min="6" max="23" width="12.6640625" style="78" customWidth="1"/>
    <col min="24" max="16384" width="8.83203125" style="78"/>
  </cols>
  <sheetData>
    <row r="1" spans="1:23" x14ac:dyDescent="0.25">
      <c r="A1" s="77" t="s">
        <v>81</v>
      </c>
      <c r="B1" s="77"/>
      <c r="C1" s="77"/>
      <c r="D1" s="77"/>
      <c r="E1" s="77"/>
      <c r="F1" s="77"/>
      <c r="G1" s="77"/>
      <c r="H1" s="77"/>
      <c r="I1" s="77"/>
      <c r="J1" s="77"/>
      <c r="K1" s="77"/>
      <c r="L1" s="77"/>
      <c r="M1" s="77"/>
      <c r="N1" s="77"/>
      <c r="O1" s="77"/>
      <c r="P1" s="77"/>
      <c r="Q1" s="77"/>
      <c r="R1" s="77"/>
      <c r="S1" s="77"/>
      <c r="T1" s="77"/>
      <c r="U1" s="77"/>
      <c r="V1" s="77"/>
      <c r="W1" s="77"/>
    </row>
    <row r="2" spans="1:23" x14ac:dyDescent="0.25">
      <c r="A2" s="77"/>
      <c r="B2" s="77"/>
      <c r="C2" s="77"/>
      <c r="D2" s="77"/>
      <c r="E2" s="77"/>
      <c r="F2" s="77"/>
      <c r="G2" s="77"/>
      <c r="H2" s="77"/>
      <c r="I2" s="77"/>
      <c r="J2" s="77"/>
      <c r="K2" s="77"/>
      <c r="L2" s="77"/>
      <c r="M2" s="77"/>
      <c r="N2" s="77"/>
      <c r="O2" s="77"/>
      <c r="P2" s="77"/>
      <c r="Q2" s="77"/>
      <c r="R2" s="77"/>
      <c r="S2" s="77"/>
      <c r="T2" s="77"/>
      <c r="U2" s="77"/>
      <c r="V2" s="77"/>
      <c r="W2" s="77"/>
    </row>
    <row r="3" spans="1:23" x14ac:dyDescent="0.25">
      <c r="A3" s="77"/>
      <c r="B3" s="77"/>
      <c r="C3" s="77"/>
      <c r="D3" s="77"/>
      <c r="E3" s="77"/>
      <c r="F3" s="77"/>
      <c r="G3" s="77"/>
      <c r="H3" s="77"/>
      <c r="I3" s="77"/>
      <c r="J3" s="77"/>
      <c r="K3" s="77"/>
      <c r="L3" s="77"/>
      <c r="M3" s="77"/>
      <c r="N3" s="77"/>
      <c r="O3" s="77"/>
      <c r="P3" s="77"/>
      <c r="Q3" s="77"/>
      <c r="R3" s="77"/>
      <c r="S3" s="77"/>
      <c r="T3" s="77"/>
      <c r="U3" s="77"/>
      <c r="V3" s="77"/>
      <c r="W3" s="77"/>
    </row>
    <row r="4" spans="1:23" ht="20" thickBot="1" x14ac:dyDescent="0.3">
      <c r="A4" s="79"/>
      <c r="B4" s="79"/>
      <c r="C4" s="79"/>
      <c r="D4" s="79"/>
      <c r="E4" s="79"/>
      <c r="F4" s="79"/>
      <c r="G4" s="79"/>
      <c r="H4" s="79"/>
      <c r="I4" s="79"/>
      <c r="J4" s="79"/>
      <c r="K4" s="79"/>
      <c r="L4" s="79"/>
      <c r="M4" s="79"/>
      <c r="N4" s="79"/>
      <c r="O4" s="79"/>
      <c r="P4" s="79"/>
      <c r="Q4" s="79"/>
      <c r="R4" s="79"/>
      <c r="S4" s="79"/>
      <c r="T4" s="79"/>
      <c r="U4" s="79"/>
      <c r="V4" s="79"/>
      <c r="W4" s="79"/>
    </row>
    <row r="5" spans="1:23" x14ac:dyDescent="0.25">
      <c r="A5" s="77"/>
      <c r="B5" s="77"/>
      <c r="C5" s="77"/>
      <c r="D5" s="77"/>
      <c r="E5" s="77"/>
      <c r="F5" s="77"/>
      <c r="G5" s="77"/>
      <c r="H5" s="77"/>
      <c r="I5" s="77"/>
      <c r="J5" s="77"/>
      <c r="K5" s="77"/>
      <c r="L5" s="77"/>
      <c r="M5" s="77"/>
      <c r="N5" s="77"/>
      <c r="O5" s="77"/>
      <c r="P5" s="77"/>
      <c r="Q5" s="77"/>
      <c r="R5" s="77"/>
      <c r="S5" s="77"/>
      <c r="T5" s="77"/>
      <c r="U5" s="77"/>
      <c r="V5" s="77"/>
      <c r="W5" s="77"/>
    </row>
    <row r="6" spans="1:23" ht="80.25" customHeight="1" x14ac:dyDescent="0.25">
      <c r="A6" s="77"/>
      <c r="B6" s="77"/>
      <c r="C6" s="80"/>
      <c r="D6" s="80" t="s">
        <v>140</v>
      </c>
      <c r="E6" s="80" t="s">
        <v>8</v>
      </c>
      <c r="F6" s="80" t="s">
        <v>9</v>
      </c>
      <c r="G6" s="80" t="s">
        <v>10</v>
      </c>
      <c r="H6" s="80" t="s">
        <v>11</v>
      </c>
      <c r="I6" s="80" t="s">
        <v>12</v>
      </c>
      <c r="J6" s="80" t="s">
        <v>141</v>
      </c>
      <c r="K6" s="80" t="s">
        <v>142</v>
      </c>
      <c r="L6" s="80" t="s">
        <v>143</v>
      </c>
      <c r="M6" s="80" t="s">
        <v>144</v>
      </c>
      <c r="N6" s="80" t="s">
        <v>145</v>
      </c>
      <c r="O6" s="80" t="s">
        <v>146</v>
      </c>
      <c r="P6" s="80" t="s">
        <v>13</v>
      </c>
      <c r="Q6" s="80" t="s">
        <v>14</v>
      </c>
      <c r="R6" s="80" t="s">
        <v>15</v>
      </c>
      <c r="S6" s="80" t="s">
        <v>147</v>
      </c>
      <c r="T6" s="80" t="s">
        <v>16</v>
      </c>
      <c r="U6" s="80" t="s">
        <v>17</v>
      </c>
      <c r="V6" s="80" t="s">
        <v>148</v>
      </c>
      <c r="W6" s="80" t="s">
        <v>149</v>
      </c>
    </row>
    <row r="7" spans="1:23" x14ac:dyDescent="0.25">
      <c r="A7" s="77"/>
      <c r="B7" s="77"/>
      <c r="C7" s="81"/>
      <c r="D7" s="81"/>
      <c r="E7" s="81"/>
      <c r="F7" s="81"/>
      <c r="G7" s="81"/>
      <c r="H7" s="81"/>
      <c r="I7" s="81"/>
      <c r="J7" s="81"/>
      <c r="K7" s="81"/>
      <c r="L7" s="81"/>
      <c r="M7" s="81"/>
      <c r="N7" s="81"/>
      <c r="O7" s="81"/>
      <c r="P7" s="81"/>
      <c r="Q7" s="81"/>
      <c r="R7" s="81"/>
      <c r="S7" s="81"/>
      <c r="T7" s="81"/>
      <c r="U7" s="81"/>
      <c r="V7" s="81"/>
      <c r="W7" s="81"/>
    </row>
    <row r="8" spans="1:23" x14ac:dyDescent="0.25">
      <c r="A8" s="77"/>
      <c r="B8" s="77"/>
      <c r="C8" s="77"/>
      <c r="D8" s="77"/>
      <c r="E8" s="77"/>
      <c r="F8" s="77"/>
      <c r="G8" s="77"/>
      <c r="H8" s="77"/>
      <c r="I8" s="77"/>
      <c r="J8" s="77"/>
      <c r="K8" s="77"/>
      <c r="L8" s="77"/>
      <c r="M8" s="77"/>
      <c r="N8" s="77"/>
      <c r="O8" s="77"/>
      <c r="P8" s="77"/>
      <c r="Q8" s="77"/>
      <c r="R8" s="77"/>
      <c r="S8" s="77"/>
      <c r="T8" s="77"/>
      <c r="U8" s="77"/>
      <c r="V8" s="77"/>
      <c r="W8" s="77"/>
    </row>
    <row r="9" spans="1:23" ht="20" thickBot="1" x14ac:dyDescent="0.3">
      <c r="A9" s="82"/>
      <c r="B9" s="79"/>
      <c r="C9" s="79"/>
      <c r="D9" s="82">
        <v>1</v>
      </c>
      <c r="E9" s="82">
        <v>2</v>
      </c>
      <c r="F9" s="82">
        <v>3</v>
      </c>
      <c r="G9" s="82">
        <v>4</v>
      </c>
      <c r="H9" s="82">
        <v>5</v>
      </c>
      <c r="I9" s="82">
        <v>6</v>
      </c>
      <c r="J9" s="82">
        <v>7</v>
      </c>
      <c r="K9" s="82">
        <v>8</v>
      </c>
      <c r="L9" s="82">
        <v>9</v>
      </c>
      <c r="M9" s="82">
        <v>10</v>
      </c>
      <c r="N9" s="82">
        <v>11</v>
      </c>
      <c r="O9" s="82">
        <v>12</v>
      </c>
      <c r="P9" s="82">
        <v>13</v>
      </c>
      <c r="Q9" s="82">
        <v>14</v>
      </c>
      <c r="R9" s="82">
        <v>15</v>
      </c>
      <c r="S9" s="82">
        <v>16</v>
      </c>
      <c r="T9" s="82">
        <v>17</v>
      </c>
      <c r="U9" s="82">
        <v>18</v>
      </c>
      <c r="V9" s="82">
        <v>19</v>
      </c>
      <c r="W9" s="82">
        <v>20</v>
      </c>
    </row>
    <row r="10" spans="1:23" x14ac:dyDescent="0.25">
      <c r="A10" s="83">
        <v>1</v>
      </c>
      <c r="B10" s="77" t="s">
        <v>140</v>
      </c>
      <c r="C10" s="77"/>
      <c r="D10" s="84">
        <v>202.63910000000001</v>
      </c>
      <c r="E10" s="84">
        <v>0.1113</v>
      </c>
      <c r="F10" s="84">
        <v>6.5600000000000006E-2</v>
      </c>
      <c r="G10" s="84">
        <v>8.6199999999999999E-2</v>
      </c>
      <c r="H10" s="84">
        <v>2.0199999999999999E-2</v>
      </c>
      <c r="I10" s="84">
        <v>4.9099999999999998E-2</v>
      </c>
      <c r="J10" s="84">
        <v>1.26E-2</v>
      </c>
      <c r="K10" s="84">
        <v>1.3922000000000001</v>
      </c>
      <c r="L10" s="84">
        <v>4.8419999999999996</v>
      </c>
      <c r="M10" s="84">
        <v>4.6100000000000002E-2</v>
      </c>
      <c r="N10" s="84">
        <v>2.1000000000000001E-2</v>
      </c>
      <c r="O10" s="84">
        <v>5.3400000000000003E-2</v>
      </c>
      <c r="P10" s="84">
        <v>1.11E-2</v>
      </c>
      <c r="Q10" s="84">
        <v>3.8300000000000001E-2</v>
      </c>
      <c r="R10" s="84">
        <v>0.1883</v>
      </c>
      <c r="S10" s="84">
        <v>3.6900000000000002E-2</v>
      </c>
      <c r="T10" s="84">
        <v>2.3900000000000001E-2</v>
      </c>
      <c r="U10" s="84">
        <v>5.2600000000000001E-2</v>
      </c>
      <c r="V10" s="84">
        <v>0.114</v>
      </c>
      <c r="W10" s="84">
        <v>0.13789999999999999</v>
      </c>
    </row>
    <row r="11" spans="1:23" x14ac:dyDescent="0.25">
      <c r="A11" s="83">
        <v>2</v>
      </c>
      <c r="B11" s="77" t="s">
        <v>8</v>
      </c>
      <c r="C11" s="77"/>
      <c r="D11" s="84">
        <v>53.346899999999998</v>
      </c>
      <c r="E11" s="84">
        <v>166.37710000000001</v>
      </c>
      <c r="F11" s="84">
        <v>16.084499999999998</v>
      </c>
      <c r="G11" s="84">
        <v>76.700100000000006</v>
      </c>
      <c r="H11" s="84">
        <v>14.752000000000001</v>
      </c>
      <c r="I11" s="84">
        <v>24.773599999999998</v>
      </c>
      <c r="J11" s="84">
        <v>49.111699999999999</v>
      </c>
      <c r="K11" s="84">
        <v>39.8294</v>
      </c>
      <c r="L11" s="84">
        <v>107.7723</v>
      </c>
      <c r="M11" s="84">
        <v>46.630099999999999</v>
      </c>
      <c r="N11" s="84">
        <v>4.3380000000000001</v>
      </c>
      <c r="O11" s="84">
        <v>33.747500000000002</v>
      </c>
      <c r="P11" s="84">
        <v>1.9081999999999999</v>
      </c>
      <c r="Q11" s="84">
        <v>95.900800000000004</v>
      </c>
      <c r="R11" s="84">
        <v>46.569499999999998</v>
      </c>
      <c r="S11" s="84">
        <v>47.674700000000001</v>
      </c>
      <c r="T11" s="84">
        <v>30.372900000000001</v>
      </c>
      <c r="U11" s="84">
        <v>66.643000000000001</v>
      </c>
      <c r="V11" s="84">
        <v>26.006399999999999</v>
      </c>
      <c r="W11" s="84">
        <v>49.105400000000003</v>
      </c>
    </row>
    <row r="12" spans="1:23" x14ac:dyDescent="0.25">
      <c r="A12" s="83">
        <v>3</v>
      </c>
      <c r="B12" s="77" t="s">
        <v>9</v>
      </c>
      <c r="C12" s="77"/>
      <c r="D12" s="84">
        <v>28.927299999999999</v>
      </c>
      <c r="E12" s="84">
        <v>9.2193000000000005</v>
      </c>
      <c r="F12" s="84">
        <v>168.4101</v>
      </c>
      <c r="G12" s="84">
        <v>3.113</v>
      </c>
      <c r="H12" s="84">
        <v>1.7634000000000001</v>
      </c>
      <c r="I12" s="84">
        <v>25.695499999999999</v>
      </c>
      <c r="J12" s="84">
        <v>3.7103000000000002</v>
      </c>
      <c r="K12" s="84">
        <v>49.742800000000003</v>
      </c>
      <c r="L12" s="84">
        <v>45.341000000000001</v>
      </c>
      <c r="M12" s="84">
        <v>13.498900000000001</v>
      </c>
      <c r="N12" s="84">
        <v>2.5969000000000002</v>
      </c>
      <c r="O12" s="84">
        <v>31.015599999999999</v>
      </c>
      <c r="P12" s="84">
        <v>0.10009999999999999</v>
      </c>
      <c r="Q12" s="84">
        <v>4.5050999999999997</v>
      </c>
      <c r="R12" s="84">
        <v>2.9691999999999998</v>
      </c>
      <c r="S12" s="84">
        <v>34.245800000000003</v>
      </c>
      <c r="T12" s="84">
        <v>20.222999999999999</v>
      </c>
      <c r="U12" s="84">
        <v>15.4658</v>
      </c>
      <c r="V12" s="84">
        <v>43.063600000000001</v>
      </c>
      <c r="W12" s="84">
        <v>13.821300000000001</v>
      </c>
    </row>
    <row r="13" spans="1:23" x14ac:dyDescent="0.25">
      <c r="A13" s="83">
        <v>4</v>
      </c>
      <c r="B13" s="77" t="s">
        <v>10</v>
      </c>
      <c r="C13" s="77"/>
      <c r="D13" s="84">
        <v>0.45500000000000002</v>
      </c>
      <c r="E13" s="84">
        <v>1.0065999999999999</v>
      </c>
      <c r="F13" s="84">
        <v>4.5724999999999998</v>
      </c>
      <c r="G13" s="84">
        <v>339.29689999999999</v>
      </c>
      <c r="H13" s="84">
        <v>0.66320000000000001</v>
      </c>
      <c r="I13" s="84">
        <v>2.1817000000000002</v>
      </c>
      <c r="J13" s="84">
        <v>0.90780000000000005</v>
      </c>
      <c r="K13" s="84">
        <v>14.5755</v>
      </c>
      <c r="L13" s="84">
        <v>3.1318000000000001</v>
      </c>
      <c r="M13" s="84">
        <v>1.0235000000000001</v>
      </c>
      <c r="N13" s="84">
        <v>0.84589999999999999</v>
      </c>
      <c r="O13" s="84">
        <v>55.087899999999998</v>
      </c>
      <c r="P13" s="84">
        <v>101.04470000000001</v>
      </c>
      <c r="Q13" s="84">
        <v>6.6654999999999998</v>
      </c>
      <c r="R13" s="84">
        <v>1.5394000000000001</v>
      </c>
      <c r="S13" s="84">
        <v>4.6816000000000004</v>
      </c>
      <c r="T13" s="84">
        <v>6.5589000000000004</v>
      </c>
      <c r="U13" s="84">
        <v>2.8319000000000001</v>
      </c>
      <c r="V13" s="84">
        <v>10.0806</v>
      </c>
      <c r="W13" s="84">
        <v>1.5783</v>
      </c>
    </row>
    <row r="14" spans="1:23" x14ac:dyDescent="0.25">
      <c r="A14" s="83">
        <v>5</v>
      </c>
      <c r="B14" s="77" t="s">
        <v>11</v>
      </c>
      <c r="C14" s="77"/>
      <c r="D14" s="84">
        <v>78.418700000000001</v>
      </c>
      <c r="E14" s="84">
        <v>33.2044</v>
      </c>
      <c r="F14" s="84">
        <v>8.8253000000000004</v>
      </c>
      <c r="G14" s="84">
        <v>33.681399999999996</v>
      </c>
      <c r="H14" s="84">
        <v>20.633199999999999</v>
      </c>
      <c r="I14" s="84">
        <v>25.881799999999998</v>
      </c>
      <c r="J14" s="84">
        <v>18.447399999999998</v>
      </c>
      <c r="K14" s="84">
        <v>33.670900000000003</v>
      </c>
      <c r="L14" s="84">
        <v>62.249499999999998</v>
      </c>
      <c r="M14" s="84">
        <v>39.847799999999999</v>
      </c>
      <c r="N14" s="84">
        <v>7.3968999999999996</v>
      </c>
      <c r="O14" s="84">
        <v>11.8949</v>
      </c>
      <c r="P14" s="84">
        <v>1.8756999999999999</v>
      </c>
      <c r="Q14" s="84">
        <v>18.799199999999999</v>
      </c>
      <c r="R14" s="84">
        <v>19.712</v>
      </c>
      <c r="S14" s="84">
        <v>27.068999999999999</v>
      </c>
      <c r="T14" s="84">
        <v>14.386699999999999</v>
      </c>
      <c r="U14" s="84">
        <v>23.650200000000002</v>
      </c>
      <c r="V14" s="84">
        <v>13.2698</v>
      </c>
      <c r="W14" s="84">
        <v>28.515999999999998</v>
      </c>
    </row>
    <row r="15" spans="1:23" x14ac:dyDescent="0.25">
      <c r="A15" s="83">
        <v>6</v>
      </c>
      <c r="B15" s="77" t="s">
        <v>12</v>
      </c>
      <c r="C15" s="77"/>
      <c r="D15" s="84">
        <v>0.19439999999999999</v>
      </c>
      <c r="E15" s="84">
        <v>0.12939999999999999</v>
      </c>
      <c r="F15" s="84">
        <v>0.1447</v>
      </c>
      <c r="G15" s="84">
        <v>3.4081999999999999</v>
      </c>
      <c r="H15" s="84">
        <v>1.5589</v>
      </c>
      <c r="I15" s="84">
        <v>13.1632</v>
      </c>
      <c r="J15" s="84">
        <v>0.78410000000000002</v>
      </c>
      <c r="K15" s="84">
        <v>2.8797999999999999</v>
      </c>
      <c r="L15" s="84">
        <v>13.2484</v>
      </c>
      <c r="M15" s="84">
        <v>1.6269</v>
      </c>
      <c r="N15" s="84">
        <v>0.45040000000000002</v>
      </c>
      <c r="O15" s="84">
        <v>1.0087999999999999</v>
      </c>
      <c r="P15" s="84">
        <v>0.1469</v>
      </c>
      <c r="Q15" s="84">
        <v>1.5786</v>
      </c>
      <c r="R15" s="84">
        <v>1.3976</v>
      </c>
      <c r="S15" s="84">
        <v>2.0998000000000001</v>
      </c>
      <c r="T15" s="84">
        <v>1.4552</v>
      </c>
      <c r="U15" s="84">
        <v>2.3761000000000001</v>
      </c>
      <c r="V15" s="84">
        <v>1.6182000000000001</v>
      </c>
      <c r="W15" s="84">
        <v>3.306</v>
      </c>
    </row>
    <row r="16" spans="1:23" x14ac:dyDescent="0.25">
      <c r="A16" s="83">
        <v>7</v>
      </c>
      <c r="B16" s="77" t="s">
        <v>141</v>
      </c>
      <c r="C16" s="77"/>
      <c r="D16" s="84">
        <v>3.8498999999999999</v>
      </c>
      <c r="E16" s="84">
        <v>7.5138999999999996</v>
      </c>
      <c r="F16" s="84">
        <v>5.8495999999999997</v>
      </c>
      <c r="G16" s="84">
        <v>4.5410000000000004</v>
      </c>
      <c r="H16" s="84">
        <v>81.882900000000006</v>
      </c>
      <c r="I16" s="84">
        <v>51.063299999999998</v>
      </c>
      <c r="J16" s="84">
        <v>270.7133</v>
      </c>
      <c r="K16" s="84">
        <v>5.7815000000000003</v>
      </c>
      <c r="L16" s="84">
        <v>11.374499999999999</v>
      </c>
      <c r="M16" s="84">
        <v>10.7325</v>
      </c>
      <c r="N16" s="84">
        <v>6.6734</v>
      </c>
      <c r="O16" s="84">
        <v>13.0366</v>
      </c>
      <c r="P16" s="84">
        <v>1.9950000000000001</v>
      </c>
      <c r="Q16" s="84">
        <v>6.6669</v>
      </c>
      <c r="R16" s="84">
        <v>17.074100000000001</v>
      </c>
      <c r="S16" s="84">
        <v>56.550199999999997</v>
      </c>
      <c r="T16" s="84">
        <v>6.2229000000000001</v>
      </c>
      <c r="U16" s="84">
        <v>6.2443</v>
      </c>
      <c r="V16" s="84">
        <v>7.9164000000000003</v>
      </c>
      <c r="W16" s="84">
        <v>7.6355000000000004</v>
      </c>
    </row>
    <row r="17" spans="1:23" x14ac:dyDescent="0.25">
      <c r="A17" s="83">
        <v>8</v>
      </c>
      <c r="B17" s="77" t="s">
        <v>142</v>
      </c>
      <c r="C17" s="77"/>
      <c r="D17" s="84">
        <v>4.8300000000000003E-2</v>
      </c>
      <c r="E17" s="84">
        <v>0.1084</v>
      </c>
      <c r="F17" s="84">
        <v>0.44650000000000001</v>
      </c>
      <c r="G17" s="84">
        <v>0.65359999999999996</v>
      </c>
      <c r="H17" s="84">
        <v>0.80700000000000005</v>
      </c>
      <c r="I17" s="84">
        <v>2.5606</v>
      </c>
      <c r="J17" s="84">
        <v>0.98829999999999996</v>
      </c>
      <c r="K17" s="84">
        <v>1.2978000000000001</v>
      </c>
      <c r="L17" s="84">
        <v>2.7812000000000001</v>
      </c>
      <c r="M17" s="84">
        <v>0.47260000000000002</v>
      </c>
      <c r="N17" s="84">
        <v>1.2021999999999999</v>
      </c>
      <c r="O17" s="84">
        <v>0.53569999999999995</v>
      </c>
      <c r="P17" s="84">
        <v>1.1299999999999999E-2</v>
      </c>
      <c r="Q17" s="84">
        <v>1.2031000000000001</v>
      </c>
      <c r="R17" s="84">
        <v>1.4712000000000001</v>
      </c>
      <c r="S17" s="84">
        <v>2.2183999999999999</v>
      </c>
      <c r="T17" s="84">
        <v>0.86229999999999996</v>
      </c>
      <c r="U17" s="84">
        <v>0.4582</v>
      </c>
      <c r="V17" s="84">
        <v>2.0760999999999998</v>
      </c>
      <c r="W17" s="84">
        <v>1.7817000000000001</v>
      </c>
    </row>
    <row r="18" spans="1:23" x14ac:dyDescent="0.25">
      <c r="A18" s="83">
        <v>9</v>
      </c>
      <c r="B18" s="77" t="s">
        <v>143</v>
      </c>
      <c r="C18" s="77"/>
      <c r="D18" s="84">
        <v>0.36330000000000001</v>
      </c>
      <c r="E18" s="84">
        <v>0.2215</v>
      </c>
      <c r="F18" s="84">
        <v>1.0499000000000001</v>
      </c>
      <c r="G18" s="84">
        <v>0.87250000000000005</v>
      </c>
      <c r="H18" s="84">
        <v>2.8833000000000002</v>
      </c>
      <c r="I18" s="84">
        <v>5.3829000000000002</v>
      </c>
      <c r="J18" s="84">
        <v>2.1395</v>
      </c>
      <c r="K18" s="84">
        <v>2.3342000000000001</v>
      </c>
      <c r="L18" s="84">
        <v>8.0051000000000005</v>
      </c>
      <c r="M18" s="84">
        <v>1.3307</v>
      </c>
      <c r="N18" s="84">
        <v>4.1291000000000002</v>
      </c>
      <c r="O18" s="84">
        <v>2.1629999999999998</v>
      </c>
      <c r="P18" s="84">
        <v>5.2499999999999998E-2</v>
      </c>
      <c r="Q18" s="84">
        <v>2.5621999999999998</v>
      </c>
      <c r="R18" s="84">
        <v>3.9929999999999999</v>
      </c>
      <c r="S18" s="84">
        <v>2.3679000000000001</v>
      </c>
      <c r="T18" s="84">
        <v>1.9177999999999999</v>
      </c>
      <c r="U18" s="84">
        <v>1.3694999999999999</v>
      </c>
      <c r="V18" s="84">
        <v>7.6669</v>
      </c>
      <c r="W18" s="84">
        <v>2.5247000000000002</v>
      </c>
    </row>
    <row r="19" spans="1:23" x14ac:dyDescent="0.25">
      <c r="A19" s="85">
        <v>10</v>
      </c>
      <c r="B19" s="81" t="s">
        <v>144</v>
      </c>
      <c r="C19" s="81"/>
      <c r="D19" s="86">
        <v>2.7829999999999999</v>
      </c>
      <c r="E19" s="86">
        <v>4.2423999999999999</v>
      </c>
      <c r="F19" s="86">
        <v>9.3043999999999993</v>
      </c>
      <c r="G19" s="86">
        <v>4.5555000000000003</v>
      </c>
      <c r="H19" s="86">
        <v>20.3812</v>
      </c>
      <c r="I19" s="86">
        <v>24.789100000000001</v>
      </c>
      <c r="J19" s="86">
        <v>6.1001000000000003</v>
      </c>
      <c r="K19" s="86">
        <v>20.8081</v>
      </c>
      <c r="L19" s="86">
        <v>10.8864</v>
      </c>
      <c r="M19" s="86">
        <v>218.47929999999999</v>
      </c>
      <c r="N19" s="86">
        <v>37.399700000000003</v>
      </c>
      <c r="O19" s="86">
        <v>28.872399999999999</v>
      </c>
      <c r="P19" s="86">
        <v>4.5548999999999999</v>
      </c>
      <c r="Q19" s="86">
        <v>47.130699999999997</v>
      </c>
      <c r="R19" s="86">
        <v>25.223400000000002</v>
      </c>
      <c r="S19" s="86">
        <v>69.289400000000001</v>
      </c>
      <c r="T19" s="86">
        <v>26.750800000000002</v>
      </c>
      <c r="U19" s="86">
        <v>28.8126</v>
      </c>
      <c r="V19" s="86">
        <v>35.250300000000003</v>
      </c>
      <c r="W19" s="86">
        <v>22.2498</v>
      </c>
    </row>
    <row r="20" spans="1:23" x14ac:dyDescent="0.25">
      <c r="A20" s="87">
        <v>11</v>
      </c>
      <c r="B20" s="88" t="s">
        <v>145</v>
      </c>
      <c r="C20" s="88"/>
      <c r="D20" s="89">
        <v>5.5529999999999999</v>
      </c>
      <c r="E20" s="89">
        <v>6.4283999999999999</v>
      </c>
      <c r="F20" s="89">
        <v>15.620799999999999</v>
      </c>
      <c r="G20" s="89">
        <v>9.5279000000000007</v>
      </c>
      <c r="H20" s="89">
        <v>26.038799999999998</v>
      </c>
      <c r="I20" s="89">
        <v>47.1922</v>
      </c>
      <c r="J20" s="89">
        <v>6.5724</v>
      </c>
      <c r="K20" s="89">
        <v>31.755600000000001</v>
      </c>
      <c r="L20" s="89">
        <v>19.5442</v>
      </c>
      <c r="M20" s="89">
        <v>17.293299999999999</v>
      </c>
      <c r="N20" s="89">
        <v>158.76339999999999</v>
      </c>
      <c r="O20" s="89">
        <v>137.3134</v>
      </c>
      <c r="P20" s="89">
        <v>27.517900000000001</v>
      </c>
      <c r="Q20" s="89">
        <v>20.728100000000001</v>
      </c>
      <c r="R20" s="89">
        <v>25.175599999999999</v>
      </c>
      <c r="S20" s="89">
        <v>138.58949999999999</v>
      </c>
      <c r="T20" s="89">
        <v>11.348800000000001</v>
      </c>
      <c r="U20" s="89">
        <v>14.929399999999999</v>
      </c>
      <c r="V20" s="89">
        <v>22.247900000000001</v>
      </c>
      <c r="W20" s="89">
        <v>16.826799999999999</v>
      </c>
    </row>
    <row r="21" spans="1:23" x14ac:dyDescent="0.25">
      <c r="A21" s="83">
        <v>12</v>
      </c>
      <c r="B21" s="77" t="s">
        <v>146</v>
      </c>
      <c r="C21" s="77"/>
      <c r="D21" s="84">
        <v>0.38519999999999999</v>
      </c>
      <c r="E21" s="84">
        <v>2.8418999999999999</v>
      </c>
      <c r="F21" s="84">
        <v>7.4153000000000002</v>
      </c>
      <c r="G21" s="84">
        <v>5.2904999999999998</v>
      </c>
      <c r="H21" s="84">
        <v>14.132199999999999</v>
      </c>
      <c r="I21" s="84">
        <v>158.25210000000001</v>
      </c>
      <c r="J21" s="84">
        <v>3.6122999999999998</v>
      </c>
      <c r="K21" s="84">
        <v>53.415399999999998</v>
      </c>
      <c r="L21" s="84">
        <v>104.9277</v>
      </c>
      <c r="M21" s="84">
        <v>15.9129</v>
      </c>
      <c r="N21" s="84">
        <v>16.2408</v>
      </c>
      <c r="O21" s="84">
        <v>42.622799999999998</v>
      </c>
      <c r="P21" s="84">
        <v>0.46650000000000003</v>
      </c>
      <c r="Q21" s="84">
        <v>24.0305</v>
      </c>
      <c r="R21" s="84">
        <v>19.8765</v>
      </c>
      <c r="S21" s="84">
        <v>15.791600000000001</v>
      </c>
      <c r="T21" s="84">
        <v>21.860399999999998</v>
      </c>
      <c r="U21" s="84">
        <v>28.192399999999999</v>
      </c>
      <c r="V21" s="84">
        <v>34.807499999999997</v>
      </c>
      <c r="W21" s="84">
        <v>61.622799999999998</v>
      </c>
    </row>
    <row r="22" spans="1:23" x14ac:dyDescent="0.25">
      <c r="A22" s="83">
        <v>13</v>
      </c>
      <c r="B22" s="77" t="s">
        <v>13</v>
      </c>
      <c r="C22" s="77"/>
      <c r="D22" s="84">
        <v>0</v>
      </c>
      <c r="E22" s="84">
        <v>0</v>
      </c>
      <c r="F22" s="84">
        <v>0</v>
      </c>
      <c r="G22" s="84">
        <v>0</v>
      </c>
      <c r="H22" s="84">
        <v>0</v>
      </c>
      <c r="I22" s="84">
        <v>0</v>
      </c>
      <c r="J22" s="84">
        <v>0</v>
      </c>
      <c r="K22" s="84">
        <v>0</v>
      </c>
      <c r="L22" s="84">
        <v>0</v>
      </c>
      <c r="M22" s="84">
        <v>0</v>
      </c>
      <c r="N22" s="84">
        <v>0</v>
      </c>
      <c r="O22" s="84">
        <v>0</v>
      </c>
      <c r="P22" s="84">
        <v>0</v>
      </c>
      <c r="Q22" s="84">
        <v>0</v>
      </c>
      <c r="R22" s="84">
        <v>0</v>
      </c>
      <c r="S22" s="84">
        <v>0</v>
      </c>
      <c r="T22" s="84">
        <v>0</v>
      </c>
      <c r="U22" s="84">
        <v>0</v>
      </c>
      <c r="V22" s="84">
        <v>0</v>
      </c>
      <c r="W22" s="84">
        <v>0</v>
      </c>
    </row>
    <row r="23" spans="1:23" x14ac:dyDescent="0.25">
      <c r="A23" s="83">
        <v>14</v>
      </c>
      <c r="B23" s="77" t="s">
        <v>14</v>
      </c>
      <c r="C23" s="77"/>
      <c r="D23" s="84">
        <v>6.9095000000000004</v>
      </c>
      <c r="E23" s="84">
        <v>8.1945999999999994</v>
      </c>
      <c r="F23" s="84">
        <v>8.2605000000000004</v>
      </c>
      <c r="G23" s="84">
        <v>22.83</v>
      </c>
      <c r="H23" s="84">
        <v>28.069600000000001</v>
      </c>
      <c r="I23" s="84">
        <v>31.884399999999999</v>
      </c>
      <c r="J23" s="84">
        <v>6.3449999999999998</v>
      </c>
      <c r="K23" s="84">
        <v>47.226399999999998</v>
      </c>
      <c r="L23" s="84">
        <v>16.640499999999999</v>
      </c>
      <c r="M23" s="84">
        <v>40.1068</v>
      </c>
      <c r="N23" s="84">
        <v>25.552199999999999</v>
      </c>
      <c r="O23" s="84">
        <v>67.138800000000003</v>
      </c>
      <c r="P23" s="84">
        <v>15.768800000000001</v>
      </c>
      <c r="Q23" s="84">
        <v>55.969200000000001</v>
      </c>
      <c r="R23" s="84">
        <v>32.076300000000003</v>
      </c>
      <c r="S23" s="84">
        <v>32.959200000000003</v>
      </c>
      <c r="T23" s="84">
        <v>20.9621</v>
      </c>
      <c r="U23" s="84">
        <v>16.5199</v>
      </c>
      <c r="V23" s="84">
        <v>34.312600000000003</v>
      </c>
      <c r="W23" s="84">
        <v>27.008900000000001</v>
      </c>
    </row>
    <row r="24" spans="1:23" x14ac:dyDescent="0.25">
      <c r="A24" s="83">
        <v>15</v>
      </c>
      <c r="B24" s="77" t="s">
        <v>15</v>
      </c>
      <c r="C24" s="77"/>
      <c r="D24" s="84">
        <v>0.29620000000000002</v>
      </c>
      <c r="E24" s="84">
        <v>4.1951000000000001</v>
      </c>
      <c r="F24" s="84">
        <v>10.5334</v>
      </c>
      <c r="G24" s="84">
        <v>7.7443999999999997</v>
      </c>
      <c r="H24" s="84">
        <v>11.880100000000001</v>
      </c>
      <c r="I24" s="84">
        <v>16.937999999999999</v>
      </c>
      <c r="J24" s="84">
        <v>8.7790999999999997</v>
      </c>
      <c r="K24" s="84">
        <v>14.853300000000001</v>
      </c>
      <c r="L24" s="84">
        <v>9.8641000000000005</v>
      </c>
      <c r="M24" s="84">
        <v>15.9589</v>
      </c>
      <c r="N24" s="84">
        <v>7.6363000000000003</v>
      </c>
      <c r="O24" s="84">
        <v>46.006999999999998</v>
      </c>
      <c r="P24" s="84">
        <v>12.7326</v>
      </c>
      <c r="Q24" s="84">
        <v>10.264900000000001</v>
      </c>
      <c r="R24" s="84">
        <v>59.467500000000001</v>
      </c>
      <c r="S24" s="84">
        <v>20.159500000000001</v>
      </c>
      <c r="T24" s="84">
        <v>12.128500000000001</v>
      </c>
      <c r="U24" s="84">
        <v>21.6633</v>
      </c>
      <c r="V24" s="84">
        <v>21.334700000000002</v>
      </c>
      <c r="W24" s="84">
        <v>12.022399999999999</v>
      </c>
    </row>
    <row r="25" spans="1:23" x14ac:dyDescent="0.25">
      <c r="A25" s="83">
        <v>16</v>
      </c>
      <c r="B25" s="77" t="s">
        <v>147</v>
      </c>
      <c r="C25" s="77"/>
      <c r="D25" s="84">
        <v>0.31319999999999998</v>
      </c>
      <c r="E25" s="84">
        <v>0.26300000000000001</v>
      </c>
      <c r="F25" s="84">
        <v>2.3096999999999999</v>
      </c>
      <c r="G25" s="84">
        <v>1.8329</v>
      </c>
      <c r="H25" s="84">
        <v>2.3317000000000001</v>
      </c>
      <c r="I25" s="84">
        <v>9.1290999999999993</v>
      </c>
      <c r="J25" s="84">
        <v>1.1763999999999999</v>
      </c>
      <c r="K25" s="84">
        <v>4.1959999999999997</v>
      </c>
      <c r="L25" s="84">
        <v>4.7386999999999997</v>
      </c>
      <c r="M25" s="84">
        <v>3.4984000000000002</v>
      </c>
      <c r="N25" s="84">
        <v>2.2320000000000002</v>
      </c>
      <c r="O25" s="84">
        <v>10.2636</v>
      </c>
      <c r="P25" s="84">
        <v>0.1787</v>
      </c>
      <c r="Q25" s="84">
        <v>3.9607000000000001</v>
      </c>
      <c r="R25" s="84">
        <v>1.6617</v>
      </c>
      <c r="S25" s="84">
        <v>18.581099999999999</v>
      </c>
      <c r="T25" s="84">
        <v>1.5313000000000001</v>
      </c>
      <c r="U25" s="84">
        <v>1.9127000000000001</v>
      </c>
      <c r="V25" s="84">
        <v>10.0181</v>
      </c>
      <c r="W25" s="84">
        <v>3.3060999999999998</v>
      </c>
    </row>
    <row r="26" spans="1:23" x14ac:dyDescent="0.25">
      <c r="A26" s="83">
        <v>17</v>
      </c>
      <c r="B26" s="77" t="s">
        <v>16</v>
      </c>
      <c r="C26" s="77"/>
      <c r="D26" s="84">
        <v>0.1721</v>
      </c>
      <c r="E26" s="84">
        <v>0.23880000000000001</v>
      </c>
      <c r="F26" s="84">
        <v>0.3266</v>
      </c>
      <c r="G26" s="84">
        <v>0.27079999999999999</v>
      </c>
      <c r="H26" s="84">
        <v>0.86929999999999996</v>
      </c>
      <c r="I26" s="84">
        <v>1.7345999999999999</v>
      </c>
      <c r="J26" s="84">
        <v>0.31059999999999999</v>
      </c>
      <c r="K26" s="84">
        <v>2.7443</v>
      </c>
      <c r="L26" s="84">
        <v>1.286</v>
      </c>
      <c r="M26" s="84">
        <v>1.7199</v>
      </c>
      <c r="N26" s="84">
        <v>0.97350000000000003</v>
      </c>
      <c r="O26" s="84">
        <v>1.9518</v>
      </c>
      <c r="P26" s="84">
        <v>0.2853</v>
      </c>
      <c r="Q26" s="84">
        <v>1.8903000000000001</v>
      </c>
      <c r="R26" s="84">
        <v>1.3168</v>
      </c>
      <c r="S26" s="84">
        <v>6.2161</v>
      </c>
      <c r="T26" s="84">
        <v>20.753799999999998</v>
      </c>
      <c r="U26" s="84">
        <v>1.2191000000000001</v>
      </c>
      <c r="V26" s="84">
        <v>1.7554000000000001</v>
      </c>
      <c r="W26" s="84">
        <v>1.6119000000000001</v>
      </c>
    </row>
    <row r="27" spans="1:23" x14ac:dyDescent="0.25">
      <c r="A27" s="83">
        <v>18</v>
      </c>
      <c r="B27" s="77" t="s">
        <v>17</v>
      </c>
      <c r="C27" s="77"/>
      <c r="D27" s="84">
        <v>5.8400000000000001E-2</v>
      </c>
      <c r="E27" s="84">
        <v>5.7599999999999998E-2</v>
      </c>
      <c r="F27" s="84">
        <v>0.25169999999999998</v>
      </c>
      <c r="G27" s="84">
        <v>0.17580000000000001</v>
      </c>
      <c r="H27" s="84">
        <v>0.35780000000000001</v>
      </c>
      <c r="I27" s="84">
        <v>1.1561999999999999</v>
      </c>
      <c r="J27" s="84">
        <v>0.23180000000000001</v>
      </c>
      <c r="K27" s="84">
        <v>0.81389999999999996</v>
      </c>
      <c r="L27" s="84">
        <v>0.96419999999999995</v>
      </c>
      <c r="M27" s="84">
        <v>0.52980000000000005</v>
      </c>
      <c r="N27" s="84">
        <v>0.55430000000000001</v>
      </c>
      <c r="O27" s="84">
        <v>0.83489999999999998</v>
      </c>
      <c r="P27" s="84">
        <v>7.8200000000000006E-2</v>
      </c>
      <c r="Q27" s="84">
        <v>5.4451999999999998</v>
      </c>
      <c r="R27" s="84">
        <v>2.0895000000000001</v>
      </c>
      <c r="S27" s="84">
        <v>8.7504000000000008</v>
      </c>
      <c r="T27" s="84">
        <v>1.1619999999999999</v>
      </c>
      <c r="U27" s="84">
        <v>107.8138</v>
      </c>
      <c r="V27" s="84">
        <v>32.161000000000001</v>
      </c>
      <c r="W27" s="84">
        <v>5.8414000000000001</v>
      </c>
    </row>
    <row r="28" spans="1:23" x14ac:dyDescent="0.25">
      <c r="A28" s="83">
        <v>19</v>
      </c>
      <c r="B28" s="77" t="s">
        <v>148</v>
      </c>
      <c r="C28" s="77"/>
      <c r="D28" s="84">
        <v>2.4500000000000001E-2</v>
      </c>
      <c r="E28" s="84">
        <v>5.5800000000000002E-2</v>
      </c>
      <c r="F28" s="84">
        <v>0.15540000000000001</v>
      </c>
      <c r="G28" s="84">
        <v>0.88700000000000001</v>
      </c>
      <c r="H28" s="84">
        <v>0.45150000000000001</v>
      </c>
      <c r="I28" s="84">
        <v>3.38</v>
      </c>
      <c r="J28" s="84">
        <v>0.22470000000000001</v>
      </c>
      <c r="K28" s="84">
        <v>1.3656999999999999</v>
      </c>
      <c r="L28" s="84">
        <v>1.1573</v>
      </c>
      <c r="M28" s="84">
        <v>1.1609</v>
      </c>
      <c r="N28" s="84">
        <v>1.9456</v>
      </c>
      <c r="O28" s="84">
        <v>0.72130000000000005</v>
      </c>
      <c r="P28" s="84">
        <v>2.9899999999999999E-2</v>
      </c>
      <c r="Q28" s="84">
        <v>1.0541</v>
      </c>
      <c r="R28" s="84">
        <v>1.9624999999999999</v>
      </c>
      <c r="S28" s="84">
        <v>0.58630000000000004</v>
      </c>
      <c r="T28" s="84">
        <v>9.2560000000000002</v>
      </c>
      <c r="U28" s="84">
        <v>0.83840000000000003</v>
      </c>
      <c r="V28" s="84">
        <v>33.923000000000002</v>
      </c>
      <c r="W28" s="84">
        <v>2.2088999999999999</v>
      </c>
    </row>
    <row r="29" spans="1:23" x14ac:dyDescent="0.25">
      <c r="A29" s="85">
        <v>20</v>
      </c>
      <c r="B29" s="81" t="s">
        <v>149</v>
      </c>
      <c r="C29" s="81"/>
      <c r="D29" s="86">
        <v>0.11310000000000001</v>
      </c>
      <c r="E29" s="86">
        <v>0.2349</v>
      </c>
      <c r="F29" s="86">
        <v>1.0622</v>
      </c>
      <c r="G29" s="86">
        <v>0.85909999999999997</v>
      </c>
      <c r="H29" s="86">
        <v>0.57850000000000001</v>
      </c>
      <c r="I29" s="86">
        <v>2.5074999999999998</v>
      </c>
      <c r="J29" s="86">
        <v>0.92579999999999996</v>
      </c>
      <c r="K29" s="86">
        <v>10.050800000000001</v>
      </c>
      <c r="L29" s="86">
        <v>1.2258</v>
      </c>
      <c r="M29" s="86">
        <v>1.6842999999999999</v>
      </c>
      <c r="N29" s="86">
        <v>1.2633000000000001</v>
      </c>
      <c r="O29" s="86">
        <v>1.8597999999999999</v>
      </c>
      <c r="P29" s="86">
        <v>2.8331</v>
      </c>
      <c r="Q29" s="86">
        <v>1.7020999999999999</v>
      </c>
      <c r="R29" s="86">
        <v>3.8820000000000001</v>
      </c>
      <c r="S29" s="86">
        <v>6.4470999999999998</v>
      </c>
      <c r="T29" s="86">
        <v>6.9573</v>
      </c>
      <c r="U29" s="86">
        <v>6.0495999999999999</v>
      </c>
      <c r="V29" s="86">
        <v>16.908000000000001</v>
      </c>
      <c r="W29" s="86">
        <v>9.6851000000000003</v>
      </c>
    </row>
    <row r="30" spans="1:23" x14ac:dyDescent="0.25">
      <c r="A30" s="87">
        <v>21</v>
      </c>
      <c r="B30" s="88" t="s">
        <v>19</v>
      </c>
      <c r="C30" s="88"/>
      <c r="D30" s="89">
        <v>363.98829999999998</v>
      </c>
      <c r="E30" s="89">
        <v>464.60820000000001</v>
      </c>
      <c r="F30" s="89">
        <v>387.84370000000001</v>
      </c>
      <c r="G30" s="89">
        <v>184.66720000000001</v>
      </c>
      <c r="H30" s="89">
        <v>320.89449999999999</v>
      </c>
      <c r="I30" s="89">
        <v>77.377700000000004</v>
      </c>
      <c r="J30" s="89">
        <v>364.69940000000003</v>
      </c>
      <c r="K30" s="89">
        <v>98.364400000000003</v>
      </c>
      <c r="L30" s="89">
        <v>216.62710000000001</v>
      </c>
      <c r="M30" s="89">
        <v>377.83109999999999</v>
      </c>
      <c r="N30" s="89">
        <v>234.45400000000001</v>
      </c>
      <c r="O30" s="89">
        <v>23.6036</v>
      </c>
      <c r="P30" s="89">
        <v>0</v>
      </c>
      <c r="Q30" s="89">
        <v>255.53460000000001</v>
      </c>
      <c r="R30" s="89">
        <v>120.9997</v>
      </c>
      <c r="S30" s="89">
        <v>179.3141</v>
      </c>
      <c r="T30" s="89">
        <v>66.553899999999999</v>
      </c>
      <c r="U30" s="89">
        <v>98.218999999999994</v>
      </c>
      <c r="V30" s="89">
        <v>79.031599999999997</v>
      </c>
      <c r="W30" s="89">
        <v>110.45399999999999</v>
      </c>
    </row>
    <row r="31" spans="1:23" x14ac:dyDescent="0.25">
      <c r="A31" s="83">
        <v>22</v>
      </c>
      <c r="B31" s="77" t="s">
        <v>62</v>
      </c>
      <c r="C31" s="77"/>
      <c r="D31" s="84">
        <v>3.6867000000000001</v>
      </c>
      <c r="E31" s="84">
        <v>0.38240000000000002</v>
      </c>
      <c r="F31" s="84">
        <v>9.0066000000000006</v>
      </c>
      <c r="G31" s="84">
        <v>0.48249999999999998</v>
      </c>
      <c r="H31" s="84">
        <v>0.35699999999999998</v>
      </c>
      <c r="I31" s="84">
        <v>1.3387</v>
      </c>
      <c r="J31" s="84">
        <v>1.5740000000000001</v>
      </c>
      <c r="K31" s="84">
        <v>3.7370999999999999</v>
      </c>
      <c r="L31" s="84">
        <v>27.196200000000001</v>
      </c>
      <c r="M31" s="84">
        <v>4.4741999999999997</v>
      </c>
      <c r="N31" s="84">
        <v>9.5326000000000004</v>
      </c>
      <c r="O31" s="84">
        <v>10.1662</v>
      </c>
      <c r="P31" s="84">
        <v>0</v>
      </c>
      <c r="Q31" s="84">
        <v>2.1067999999999998</v>
      </c>
      <c r="R31" s="84">
        <v>1.0135000000000001</v>
      </c>
      <c r="S31" s="84">
        <v>4.4922000000000004</v>
      </c>
      <c r="T31" s="84">
        <v>6.5869999999999997</v>
      </c>
      <c r="U31" s="84">
        <v>28.547499999999999</v>
      </c>
      <c r="V31" s="84">
        <v>12.672800000000001</v>
      </c>
      <c r="W31" s="84">
        <v>3.2686000000000002</v>
      </c>
    </row>
    <row r="32" spans="1:23" x14ac:dyDescent="0.25">
      <c r="A32" s="83">
        <v>23</v>
      </c>
      <c r="B32" s="77" t="s">
        <v>49</v>
      </c>
      <c r="C32" s="77"/>
      <c r="D32" s="84">
        <v>116.8466</v>
      </c>
      <c r="E32" s="84">
        <v>60.584000000000003</v>
      </c>
      <c r="F32" s="84">
        <v>77.9846</v>
      </c>
      <c r="G32" s="84">
        <v>209.38419999999999</v>
      </c>
      <c r="H32" s="84">
        <v>82.678899999999999</v>
      </c>
      <c r="I32" s="84">
        <v>307.67610000000002</v>
      </c>
      <c r="J32" s="84">
        <v>47.113100000000003</v>
      </c>
      <c r="K32" s="84">
        <v>247.8965</v>
      </c>
      <c r="L32" s="84">
        <v>258.26319999999998</v>
      </c>
      <c r="M32" s="84">
        <v>128.37</v>
      </c>
      <c r="N32" s="84">
        <v>202.56299999999999</v>
      </c>
      <c r="O32" s="84">
        <v>89.646600000000007</v>
      </c>
      <c r="P32" s="84">
        <v>0</v>
      </c>
      <c r="Q32" s="84">
        <v>342.77159999999998</v>
      </c>
      <c r="R32" s="84">
        <v>318.44189999999998</v>
      </c>
      <c r="S32" s="84">
        <v>307.1386</v>
      </c>
      <c r="T32" s="84">
        <v>587.2704</v>
      </c>
      <c r="U32" s="84">
        <v>480.73919999999998</v>
      </c>
      <c r="V32" s="84">
        <v>274.30919999999998</v>
      </c>
      <c r="W32" s="84">
        <v>553.64620000000002</v>
      </c>
    </row>
    <row r="33" spans="1:23" x14ac:dyDescent="0.25">
      <c r="A33" s="83">
        <v>24</v>
      </c>
      <c r="B33" s="77" t="s">
        <v>50</v>
      </c>
      <c r="C33" s="77"/>
      <c r="D33" s="84">
        <v>8.6254000000000008</v>
      </c>
      <c r="E33" s="84">
        <v>1.8032999999999999</v>
      </c>
      <c r="F33" s="84">
        <v>11.337199999999999</v>
      </c>
      <c r="G33" s="84">
        <v>24.3202</v>
      </c>
      <c r="H33" s="84">
        <v>-0.2883</v>
      </c>
      <c r="I33" s="84">
        <v>-3.8159000000000001</v>
      </c>
      <c r="J33" s="84">
        <v>1.2882</v>
      </c>
      <c r="K33" s="84">
        <v>12.527900000000001</v>
      </c>
      <c r="L33" s="84">
        <v>-14.942399999999999</v>
      </c>
      <c r="M33" s="84">
        <v>-0.31369999999999998</v>
      </c>
      <c r="N33" s="84">
        <v>-0.58340000000000003</v>
      </c>
      <c r="O33" s="84">
        <v>45.740499999999997</v>
      </c>
      <c r="P33" s="84">
        <v>45.620600000000003</v>
      </c>
      <c r="Q33" s="84">
        <v>-5.0679999999999996</v>
      </c>
      <c r="R33" s="84">
        <v>-4.8110999999999997</v>
      </c>
      <c r="S33" s="84">
        <v>0.51390000000000002</v>
      </c>
      <c r="T33" s="84">
        <v>-5.4584999999999999</v>
      </c>
      <c r="U33" s="84">
        <v>-2.327</v>
      </c>
      <c r="V33" s="84">
        <v>19.1983</v>
      </c>
      <c r="W33" s="84">
        <v>32.620699999999999</v>
      </c>
    </row>
    <row r="34" spans="1:23" x14ac:dyDescent="0.25">
      <c r="A34" s="85">
        <v>25</v>
      </c>
      <c r="B34" s="81" t="s">
        <v>51</v>
      </c>
      <c r="C34" s="81"/>
      <c r="D34" s="86">
        <v>122.00190000000001</v>
      </c>
      <c r="E34" s="86">
        <v>227.9778</v>
      </c>
      <c r="F34" s="86">
        <v>253.13919999999999</v>
      </c>
      <c r="G34" s="86">
        <v>64.819299999999998</v>
      </c>
      <c r="H34" s="86">
        <v>366.3032</v>
      </c>
      <c r="I34" s="86">
        <v>169.70849999999999</v>
      </c>
      <c r="J34" s="86">
        <v>204.2321</v>
      </c>
      <c r="K34" s="86">
        <v>298.74040000000002</v>
      </c>
      <c r="L34" s="86">
        <v>82.875100000000003</v>
      </c>
      <c r="M34" s="86">
        <v>58.084800000000001</v>
      </c>
      <c r="N34" s="86">
        <v>273.81900000000002</v>
      </c>
      <c r="O34" s="86">
        <v>344.71409999999997</v>
      </c>
      <c r="P34" s="86">
        <v>782.78790000000004</v>
      </c>
      <c r="Q34" s="86">
        <v>94.559399999999997</v>
      </c>
      <c r="R34" s="86">
        <v>296.7097</v>
      </c>
      <c r="S34" s="86">
        <v>14.226800000000001</v>
      </c>
      <c r="T34" s="86">
        <v>130.3125</v>
      </c>
      <c r="U34" s="86">
        <v>47.778500000000001</v>
      </c>
      <c r="V34" s="86">
        <v>260.2577</v>
      </c>
      <c r="W34" s="86">
        <v>29.2195</v>
      </c>
    </row>
    <row r="35" spans="1:23" ht="20" thickBot="1" x14ac:dyDescent="0.3">
      <c r="A35" s="82" t="s">
        <v>24</v>
      </c>
      <c r="B35" s="79" t="s">
        <v>82</v>
      </c>
      <c r="C35" s="79"/>
      <c r="D35" s="96">
        <v>1000</v>
      </c>
      <c r="E35" s="96">
        <v>1000</v>
      </c>
      <c r="F35" s="96">
        <v>1000</v>
      </c>
      <c r="G35" s="96">
        <v>1000</v>
      </c>
      <c r="H35" s="96">
        <v>1000</v>
      </c>
      <c r="I35" s="96">
        <v>1000</v>
      </c>
      <c r="J35" s="96">
        <v>1000</v>
      </c>
      <c r="K35" s="96">
        <v>1000</v>
      </c>
      <c r="L35" s="96">
        <v>1000</v>
      </c>
      <c r="M35" s="96">
        <v>1000</v>
      </c>
      <c r="N35" s="96">
        <v>1000</v>
      </c>
      <c r="O35" s="96">
        <v>1000</v>
      </c>
      <c r="P35" s="96">
        <v>1000</v>
      </c>
      <c r="Q35" s="96">
        <v>1000</v>
      </c>
      <c r="R35" s="96">
        <v>1000</v>
      </c>
      <c r="S35" s="96">
        <v>1000</v>
      </c>
      <c r="T35" s="96">
        <v>1000</v>
      </c>
      <c r="U35" s="96">
        <v>1000</v>
      </c>
      <c r="V35" s="96">
        <v>1000</v>
      </c>
      <c r="W35" s="96">
        <v>1000</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8FA36-1EBC-4565-A1D8-1656C355AFBA}">
  <dimension ref="A1:W30"/>
  <sheetViews>
    <sheetView zoomScale="107" workbookViewId="0">
      <pane xSplit="3" ySplit="9" topLeftCell="D33" activePane="bottomRight" state="frozenSplit"/>
      <selection activeCell="J21" sqref="J21"/>
      <selection pane="topRight" activeCell="J21" sqref="J21"/>
      <selection pane="bottomLeft" activeCell="J21" sqref="J21"/>
      <selection pane="bottomRight" activeCell="G25" sqref="G25"/>
    </sheetView>
  </sheetViews>
  <sheetFormatPr baseColWidth="10" defaultColWidth="8.83203125" defaultRowHeight="19" x14ac:dyDescent="0.25"/>
  <cols>
    <col min="1" max="1" width="4.6640625" style="78" customWidth="1"/>
    <col min="2" max="2" width="40.6640625" style="78" customWidth="1"/>
    <col min="3" max="3" width="8.83203125" style="78"/>
    <col min="4" max="23" width="14" style="108" customWidth="1"/>
    <col min="24" max="16384" width="8.83203125" style="78"/>
  </cols>
  <sheetData>
    <row r="1" spans="1:23" x14ac:dyDescent="0.25">
      <c r="A1" s="77" t="s">
        <v>86</v>
      </c>
      <c r="B1" s="77"/>
      <c r="C1" s="77"/>
      <c r="D1" s="100"/>
      <c r="E1" s="100"/>
      <c r="F1" s="100"/>
      <c r="G1" s="100"/>
      <c r="H1" s="100"/>
      <c r="I1" s="100"/>
      <c r="J1" s="100"/>
      <c r="K1" s="100"/>
      <c r="L1" s="100"/>
      <c r="M1" s="100"/>
      <c r="N1" s="100"/>
      <c r="O1" s="100"/>
      <c r="P1" s="100"/>
      <c r="Q1" s="100"/>
      <c r="R1" s="100"/>
      <c r="S1" s="100"/>
      <c r="T1" s="100"/>
      <c r="U1" s="100"/>
      <c r="V1" s="100"/>
      <c r="W1" s="100"/>
    </row>
    <row r="2" spans="1:23" x14ac:dyDescent="0.25">
      <c r="A2" s="77"/>
      <c r="B2" s="77"/>
      <c r="C2" s="77"/>
      <c r="D2" s="100"/>
      <c r="E2" s="100"/>
      <c r="F2" s="100"/>
      <c r="G2" s="100"/>
      <c r="H2" s="100"/>
      <c r="I2" s="100"/>
      <c r="J2" s="100"/>
      <c r="K2" s="100"/>
      <c r="L2" s="100"/>
      <c r="M2" s="100"/>
      <c r="N2" s="100"/>
      <c r="O2" s="100"/>
      <c r="P2" s="100"/>
      <c r="Q2" s="100"/>
      <c r="R2" s="100"/>
      <c r="S2" s="100"/>
      <c r="T2" s="100"/>
      <c r="U2" s="100"/>
      <c r="V2" s="100"/>
      <c r="W2" s="100"/>
    </row>
    <row r="3" spans="1:23" x14ac:dyDescent="0.25">
      <c r="A3" s="77"/>
      <c r="B3" s="77"/>
      <c r="C3" s="77"/>
      <c r="D3" s="100"/>
      <c r="E3" s="100"/>
      <c r="F3" s="100"/>
      <c r="G3" s="100"/>
      <c r="H3" s="100"/>
      <c r="I3" s="100"/>
      <c r="J3" s="100"/>
      <c r="K3" s="100"/>
      <c r="L3" s="100"/>
      <c r="M3" s="100"/>
      <c r="N3" s="100"/>
      <c r="O3" s="100"/>
      <c r="P3" s="100"/>
      <c r="Q3" s="100"/>
      <c r="R3" s="100"/>
      <c r="S3" s="100"/>
      <c r="T3" s="100"/>
      <c r="U3" s="100"/>
      <c r="V3" s="100"/>
      <c r="W3" s="100"/>
    </row>
    <row r="4" spans="1:23" ht="20" thickBot="1" x14ac:dyDescent="0.3">
      <c r="A4" s="79"/>
      <c r="B4" s="79"/>
      <c r="C4" s="79"/>
      <c r="D4" s="101"/>
      <c r="E4" s="101"/>
      <c r="F4" s="101"/>
      <c r="G4" s="101"/>
      <c r="H4" s="101"/>
      <c r="I4" s="101"/>
      <c r="J4" s="101"/>
      <c r="K4" s="101"/>
      <c r="L4" s="101"/>
      <c r="M4" s="101"/>
      <c r="N4" s="101"/>
      <c r="O4" s="101"/>
      <c r="P4" s="101"/>
      <c r="Q4" s="101"/>
      <c r="R4" s="101"/>
      <c r="S4" s="101"/>
      <c r="T4" s="101"/>
      <c r="U4" s="101"/>
      <c r="V4" s="101"/>
      <c r="W4" s="101"/>
    </row>
    <row r="5" spans="1:23" x14ac:dyDescent="0.25">
      <c r="A5" s="77"/>
      <c r="B5" s="77"/>
      <c r="C5" s="77"/>
      <c r="D5" s="100"/>
      <c r="E5" s="100"/>
      <c r="F5" s="100"/>
      <c r="G5" s="100"/>
      <c r="H5" s="100"/>
      <c r="I5" s="100"/>
      <c r="J5" s="100"/>
      <c r="K5" s="100"/>
      <c r="L5" s="100"/>
      <c r="M5" s="100"/>
      <c r="N5" s="100"/>
      <c r="O5" s="100"/>
      <c r="P5" s="100"/>
      <c r="Q5" s="100"/>
      <c r="R5" s="100"/>
      <c r="S5" s="100"/>
      <c r="T5" s="100"/>
      <c r="U5" s="100"/>
      <c r="V5" s="100"/>
      <c r="W5" s="100"/>
    </row>
    <row r="6" spans="1:23" ht="80.25" customHeight="1" x14ac:dyDescent="0.25">
      <c r="A6" s="77"/>
      <c r="B6" s="77"/>
      <c r="C6" s="80"/>
      <c r="D6" s="102" t="s">
        <v>140</v>
      </c>
      <c r="E6" s="102" t="s">
        <v>8</v>
      </c>
      <c r="F6" s="102" t="s">
        <v>9</v>
      </c>
      <c r="G6" s="102" t="s">
        <v>10</v>
      </c>
      <c r="H6" s="102" t="s">
        <v>11</v>
      </c>
      <c r="I6" s="102" t="s">
        <v>12</v>
      </c>
      <c r="J6" s="102" t="s">
        <v>141</v>
      </c>
      <c r="K6" s="102" t="s">
        <v>142</v>
      </c>
      <c r="L6" s="102" t="s">
        <v>143</v>
      </c>
      <c r="M6" s="102" t="s">
        <v>144</v>
      </c>
      <c r="N6" s="102" t="s">
        <v>145</v>
      </c>
      <c r="O6" s="102" t="s">
        <v>146</v>
      </c>
      <c r="P6" s="102" t="s">
        <v>13</v>
      </c>
      <c r="Q6" s="102" t="s">
        <v>14</v>
      </c>
      <c r="R6" s="102" t="s">
        <v>15</v>
      </c>
      <c r="S6" s="102" t="s">
        <v>147</v>
      </c>
      <c r="T6" s="102" t="s">
        <v>16</v>
      </c>
      <c r="U6" s="102" t="s">
        <v>17</v>
      </c>
      <c r="V6" s="102" t="s">
        <v>148</v>
      </c>
      <c r="W6" s="102" t="s">
        <v>149</v>
      </c>
    </row>
    <row r="7" spans="1:23" x14ac:dyDescent="0.25">
      <c r="A7" s="77"/>
      <c r="B7" s="77"/>
      <c r="C7" s="81"/>
      <c r="D7" s="103"/>
      <c r="E7" s="103"/>
      <c r="F7" s="103"/>
      <c r="G7" s="103"/>
      <c r="H7" s="103"/>
      <c r="I7" s="103"/>
      <c r="J7" s="103"/>
      <c r="K7" s="103"/>
      <c r="L7" s="103"/>
      <c r="M7" s="103"/>
      <c r="N7" s="103"/>
      <c r="O7" s="103"/>
      <c r="P7" s="103"/>
      <c r="Q7" s="103"/>
      <c r="R7" s="103"/>
      <c r="S7" s="103"/>
      <c r="T7" s="103"/>
      <c r="U7" s="103"/>
      <c r="V7" s="103"/>
      <c r="W7" s="103"/>
    </row>
    <row r="8" spans="1:23" x14ac:dyDescent="0.25">
      <c r="A8" s="77"/>
      <c r="B8" s="77"/>
      <c r="C8" s="77"/>
      <c r="D8" s="100"/>
      <c r="E8" s="100"/>
      <c r="F8" s="100"/>
      <c r="G8" s="100"/>
      <c r="H8" s="100"/>
      <c r="I8" s="100"/>
      <c r="J8" s="100"/>
      <c r="K8" s="100"/>
      <c r="L8" s="100"/>
      <c r="M8" s="100"/>
      <c r="N8" s="100"/>
      <c r="O8" s="100"/>
      <c r="P8" s="100"/>
      <c r="Q8" s="100"/>
      <c r="R8" s="100"/>
      <c r="S8" s="100"/>
      <c r="T8" s="100"/>
      <c r="U8" s="100"/>
      <c r="V8" s="100"/>
      <c r="W8" s="100"/>
    </row>
    <row r="9" spans="1:23" ht="20" thickBot="1" x14ac:dyDescent="0.3">
      <c r="A9" s="82"/>
      <c r="B9" s="79"/>
      <c r="C9" s="79"/>
      <c r="D9" s="101">
        <v>1</v>
      </c>
      <c r="E9" s="101">
        <v>2</v>
      </c>
      <c r="F9" s="101">
        <v>3</v>
      </c>
      <c r="G9" s="101">
        <v>4</v>
      </c>
      <c r="H9" s="101">
        <v>5</v>
      </c>
      <c r="I9" s="101">
        <v>6</v>
      </c>
      <c r="J9" s="101">
        <v>7</v>
      </c>
      <c r="K9" s="101">
        <v>8</v>
      </c>
      <c r="L9" s="101">
        <v>9</v>
      </c>
      <c r="M9" s="101">
        <v>10</v>
      </c>
      <c r="N9" s="101">
        <v>11</v>
      </c>
      <c r="O9" s="101">
        <v>12</v>
      </c>
      <c r="P9" s="101">
        <v>13</v>
      </c>
      <c r="Q9" s="101">
        <v>14</v>
      </c>
      <c r="R9" s="101">
        <v>15</v>
      </c>
      <c r="S9" s="101">
        <v>16</v>
      </c>
      <c r="T9" s="101">
        <v>17</v>
      </c>
      <c r="U9" s="101">
        <v>18</v>
      </c>
      <c r="V9" s="101">
        <v>19</v>
      </c>
      <c r="W9" s="101">
        <v>20</v>
      </c>
    </row>
    <row r="10" spans="1:23" x14ac:dyDescent="0.25">
      <c r="A10" s="83">
        <v>1</v>
      </c>
      <c r="B10" s="77" t="s">
        <v>140</v>
      </c>
      <c r="C10" s="77"/>
      <c r="D10" s="104">
        <v>1254.1660999999999</v>
      </c>
      <c r="E10" s="104">
        <v>0.1789</v>
      </c>
      <c r="F10" s="104">
        <v>0.1235</v>
      </c>
      <c r="G10" s="104">
        <v>0.2114</v>
      </c>
      <c r="H10" s="104">
        <v>6.8699999999999997E-2</v>
      </c>
      <c r="I10" s="104">
        <v>0.15679999999999999</v>
      </c>
      <c r="J10" s="104">
        <v>6.5000000000000002E-2</v>
      </c>
      <c r="K10" s="104">
        <v>1.8087</v>
      </c>
      <c r="L10" s="104">
        <v>6.1847000000000003</v>
      </c>
      <c r="M10" s="104">
        <v>0.12180000000000001</v>
      </c>
      <c r="N10" s="104">
        <v>8.2799999999999999E-2</v>
      </c>
      <c r="O10" s="104">
        <v>0.14949999999999999</v>
      </c>
      <c r="P10" s="104">
        <v>4.5499999999999999E-2</v>
      </c>
      <c r="Q10" s="104">
        <v>0.1094</v>
      </c>
      <c r="R10" s="104">
        <v>0.30709999999999998</v>
      </c>
      <c r="S10" s="104">
        <v>0.1221</v>
      </c>
      <c r="T10" s="104">
        <v>7.3599999999999999E-2</v>
      </c>
      <c r="U10" s="104">
        <v>0.1249</v>
      </c>
      <c r="V10" s="104">
        <v>0.2472</v>
      </c>
      <c r="W10" s="104">
        <v>0.2296</v>
      </c>
    </row>
    <row r="11" spans="1:23" x14ac:dyDescent="0.25">
      <c r="A11" s="83">
        <v>2</v>
      </c>
      <c r="B11" s="77" t="s">
        <v>8</v>
      </c>
      <c r="C11" s="77"/>
      <c r="D11" s="104">
        <v>87.422499999999999</v>
      </c>
      <c r="E11" s="104">
        <v>1204.9250999999999</v>
      </c>
      <c r="F11" s="104">
        <v>29.990600000000001</v>
      </c>
      <c r="G11" s="104">
        <v>150.37719999999999</v>
      </c>
      <c r="H11" s="104">
        <v>34.604700000000001</v>
      </c>
      <c r="I11" s="104">
        <v>59.630499999999998</v>
      </c>
      <c r="J11" s="104">
        <v>86.571600000000004</v>
      </c>
      <c r="K11" s="104">
        <v>69.257199999999997</v>
      </c>
      <c r="L11" s="104">
        <v>150.16290000000001</v>
      </c>
      <c r="M11" s="104">
        <v>87.090199999999996</v>
      </c>
      <c r="N11" s="104">
        <v>18.945799999999998</v>
      </c>
      <c r="O11" s="104">
        <v>73.703400000000002</v>
      </c>
      <c r="P11" s="104">
        <v>22.003599999999999</v>
      </c>
      <c r="Q11" s="104">
        <v>134.19319999999999</v>
      </c>
      <c r="R11" s="104">
        <v>73.004900000000006</v>
      </c>
      <c r="S11" s="104">
        <v>84.671300000000002</v>
      </c>
      <c r="T11" s="104">
        <v>49.847299999999997</v>
      </c>
      <c r="U11" s="104">
        <v>103.483</v>
      </c>
      <c r="V11" s="104">
        <v>56.356999999999999</v>
      </c>
      <c r="W11" s="104">
        <v>75.298699999999997</v>
      </c>
    </row>
    <row r="12" spans="1:23" x14ac:dyDescent="0.25">
      <c r="A12" s="83">
        <v>3</v>
      </c>
      <c r="B12" s="77" t="s">
        <v>9</v>
      </c>
      <c r="C12" s="77"/>
      <c r="D12" s="104">
        <v>45.5349</v>
      </c>
      <c r="E12" s="104">
        <v>14.165699999999999</v>
      </c>
      <c r="F12" s="104">
        <v>1204.2811999999999</v>
      </c>
      <c r="G12" s="104">
        <v>9.3705999999999996</v>
      </c>
      <c r="H12" s="104">
        <v>5.3249000000000004</v>
      </c>
      <c r="I12" s="104">
        <v>42.112000000000002</v>
      </c>
      <c r="J12" s="104">
        <v>8.3684999999999992</v>
      </c>
      <c r="K12" s="104">
        <v>65.573300000000003</v>
      </c>
      <c r="L12" s="104">
        <v>63.725200000000001</v>
      </c>
      <c r="M12" s="104">
        <v>24.4848</v>
      </c>
      <c r="N12" s="104">
        <v>7.0326000000000004</v>
      </c>
      <c r="O12" s="104">
        <v>44.0291</v>
      </c>
      <c r="P12" s="104">
        <v>1.8116000000000001</v>
      </c>
      <c r="Q12" s="104">
        <v>10.842700000000001</v>
      </c>
      <c r="R12" s="104">
        <v>7.7720000000000002</v>
      </c>
      <c r="S12" s="104">
        <v>48.323799999999999</v>
      </c>
      <c r="T12" s="104">
        <v>28.644400000000001</v>
      </c>
      <c r="U12" s="104">
        <v>25.450500000000002</v>
      </c>
      <c r="V12" s="104">
        <v>60.017099999999999</v>
      </c>
      <c r="W12" s="104">
        <v>22.461400000000001</v>
      </c>
    </row>
    <row r="13" spans="1:23" x14ac:dyDescent="0.25">
      <c r="A13" s="83">
        <v>4</v>
      </c>
      <c r="B13" s="77" t="s">
        <v>10</v>
      </c>
      <c r="C13" s="77"/>
      <c r="D13" s="104">
        <v>1.996</v>
      </c>
      <c r="E13" s="104">
        <v>2.6642999999999999</v>
      </c>
      <c r="F13" s="104">
        <v>9.6983999999999995</v>
      </c>
      <c r="G13" s="104">
        <v>1515.7025000000001</v>
      </c>
      <c r="H13" s="104">
        <v>3.5053999999999998</v>
      </c>
      <c r="I13" s="104">
        <v>19.659199999999998</v>
      </c>
      <c r="J13" s="104">
        <v>3.0802999999999998</v>
      </c>
      <c r="K13" s="104">
        <v>28.979900000000001</v>
      </c>
      <c r="L13" s="104">
        <v>16.206</v>
      </c>
      <c r="M13" s="104">
        <v>5.5274999999999999</v>
      </c>
      <c r="N13" s="104">
        <v>4.3342999999999998</v>
      </c>
      <c r="O13" s="104">
        <v>90.025999999999996</v>
      </c>
      <c r="P13" s="104">
        <v>153.69210000000001</v>
      </c>
      <c r="Q13" s="104">
        <v>14.1167</v>
      </c>
      <c r="R13" s="104">
        <v>5.7070999999999996</v>
      </c>
      <c r="S13" s="104">
        <v>11.401300000000001</v>
      </c>
      <c r="T13" s="104">
        <v>13.473800000000001</v>
      </c>
      <c r="U13" s="104">
        <v>9.0071999999999992</v>
      </c>
      <c r="V13" s="104">
        <v>21.396599999999999</v>
      </c>
      <c r="W13" s="104">
        <v>9.3819999999999997</v>
      </c>
    </row>
    <row r="14" spans="1:23" x14ac:dyDescent="0.25">
      <c r="A14" s="83">
        <v>5</v>
      </c>
      <c r="B14" s="77" t="s">
        <v>11</v>
      </c>
      <c r="C14" s="77"/>
      <c r="D14" s="104">
        <v>105.3378</v>
      </c>
      <c r="E14" s="104">
        <v>42.495699999999999</v>
      </c>
      <c r="F14" s="104">
        <v>14.4574</v>
      </c>
      <c r="G14" s="104">
        <v>60.4375</v>
      </c>
      <c r="H14" s="104">
        <v>1028.0918999999999</v>
      </c>
      <c r="I14" s="104">
        <v>39.327599999999997</v>
      </c>
      <c r="J14" s="104">
        <v>30.865100000000002</v>
      </c>
      <c r="K14" s="104">
        <v>44.278500000000001</v>
      </c>
      <c r="L14" s="104">
        <v>76.432900000000004</v>
      </c>
      <c r="M14" s="104">
        <v>59.368299999999998</v>
      </c>
      <c r="N14" s="104">
        <v>14.6991</v>
      </c>
      <c r="O14" s="104">
        <v>26.9374</v>
      </c>
      <c r="P14" s="104">
        <v>9.8522999999999996</v>
      </c>
      <c r="Q14" s="104">
        <v>30.648199999999999</v>
      </c>
      <c r="R14" s="104">
        <v>28.822099999999999</v>
      </c>
      <c r="S14" s="104">
        <v>42.405999999999999</v>
      </c>
      <c r="T14" s="104">
        <v>21.5914</v>
      </c>
      <c r="U14" s="104">
        <v>36.017000000000003</v>
      </c>
      <c r="V14" s="104">
        <v>25.109300000000001</v>
      </c>
      <c r="W14" s="104">
        <v>37.558199999999999</v>
      </c>
    </row>
    <row r="15" spans="1:23" x14ac:dyDescent="0.25">
      <c r="A15" s="83">
        <v>6</v>
      </c>
      <c r="B15" s="77" t="s">
        <v>12</v>
      </c>
      <c r="C15" s="77"/>
      <c r="D15" s="104">
        <v>0.53149999999999997</v>
      </c>
      <c r="E15" s="104">
        <v>0.32340000000000002</v>
      </c>
      <c r="F15" s="104">
        <v>0.38679999999999998</v>
      </c>
      <c r="G15" s="104">
        <v>5.5629999999999997</v>
      </c>
      <c r="H15" s="104">
        <v>1.98</v>
      </c>
      <c r="I15" s="104">
        <v>1014.1535</v>
      </c>
      <c r="J15" s="104">
        <v>1.31</v>
      </c>
      <c r="K15" s="104">
        <v>3.524</v>
      </c>
      <c r="L15" s="104">
        <v>14.103400000000001</v>
      </c>
      <c r="M15" s="104">
        <v>2.5291000000000001</v>
      </c>
      <c r="N15" s="104">
        <v>0.90939999999999999</v>
      </c>
      <c r="O15" s="104">
        <v>1.9832000000000001</v>
      </c>
      <c r="P15" s="104">
        <v>0.82640000000000002</v>
      </c>
      <c r="Q15" s="104">
        <v>2.1223000000000001</v>
      </c>
      <c r="R15" s="104">
        <v>1.9063000000000001</v>
      </c>
      <c r="S15" s="104">
        <v>2.9134000000000002</v>
      </c>
      <c r="T15" s="104">
        <v>1.8821000000000001</v>
      </c>
      <c r="U15" s="104">
        <v>3.1168999999999998</v>
      </c>
      <c r="V15" s="104">
        <v>2.4468999999999999</v>
      </c>
      <c r="W15" s="104">
        <v>3.8386999999999998</v>
      </c>
    </row>
    <row r="16" spans="1:23" x14ac:dyDescent="0.25">
      <c r="A16" s="83">
        <v>7</v>
      </c>
      <c r="B16" s="77" t="s">
        <v>141</v>
      </c>
      <c r="C16" s="77"/>
      <c r="D16" s="104">
        <v>20.451499999999999</v>
      </c>
      <c r="E16" s="104">
        <v>18.064699999999998</v>
      </c>
      <c r="F16" s="104">
        <v>13.219900000000001</v>
      </c>
      <c r="G16" s="104">
        <v>20.1126</v>
      </c>
      <c r="H16" s="104">
        <v>118.28</v>
      </c>
      <c r="I16" s="104">
        <v>83.760499999999993</v>
      </c>
      <c r="J16" s="104">
        <v>1376.9697000000001</v>
      </c>
      <c r="K16" s="104">
        <v>18.6371</v>
      </c>
      <c r="L16" s="104">
        <v>31.9968</v>
      </c>
      <c r="M16" s="104">
        <v>29.540099999999999</v>
      </c>
      <c r="N16" s="104">
        <v>15.405099999999999</v>
      </c>
      <c r="O16" s="104">
        <v>29.553100000000001</v>
      </c>
      <c r="P16" s="104">
        <v>6.3845999999999998</v>
      </c>
      <c r="Q16" s="104">
        <v>17.853200000000001</v>
      </c>
      <c r="R16" s="104">
        <v>31.521699999999999</v>
      </c>
      <c r="S16" s="104">
        <v>90.718900000000005</v>
      </c>
      <c r="T16" s="104">
        <v>14.5738</v>
      </c>
      <c r="U16" s="104">
        <v>18.3064</v>
      </c>
      <c r="V16" s="104">
        <v>20.378399999999999</v>
      </c>
      <c r="W16" s="104">
        <v>19.6464</v>
      </c>
    </row>
    <row r="17" spans="1:23" x14ac:dyDescent="0.25">
      <c r="A17" s="83">
        <v>8</v>
      </c>
      <c r="B17" s="77" t="s">
        <v>142</v>
      </c>
      <c r="C17" s="77"/>
      <c r="D17" s="104">
        <v>0.25340000000000001</v>
      </c>
      <c r="E17" s="104">
        <v>0.24640000000000001</v>
      </c>
      <c r="F17" s="104">
        <v>0.67789999999999995</v>
      </c>
      <c r="G17" s="104">
        <v>1.2390000000000001</v>
      </c>
      <c r="H17" s="104">
        <v>1.1263000000000001</v>
      </c>
      <c r="I17" s="104">
        <v>3.1674000000000002</v>
      </c>
      <c r="J17" s="104">
        <v>1.4926999999999999</v>
      </c>
      <c r="K17" s="104">
        <v>1001.6991</v>
      </c>
      <c r="L17" s="104">
        <v>3.2355999999999998</v>
      </c>
      <c r="M17" s="104">
        <v>0.92349999999999999</v>
      </c>
      <c r="N17" s="104">
        <v>1.6208</v>
      </c>
      <c r="O17" s="104">
        <v>1.2014</v>
      </c>
      <c r="P17" s="104">
        <v>0.2462</v>
      </c>
      <c r="Q17" s="104">
        <v>1.5182</v>
      </c>
      <c r="R17" s="104">
        <v>1.8202</v>
      </c>
      <c r="S17" s="104">
        <v>2.8687</v>
      </c>
      <c r="T17" s="104">
        <v>1.1195999999999999</v>
      </c>
      <c r="U17" s="104">
        <v>0.79369999999999996</v>
      </c>
      <c r="V17" s="104">
        <v>2.5644999999999998</v>
      </c>
      <c r="W17" s="104">
        <v>2.097</v>
      </c>
    </row>
    <row r="18" spans="1:23" x14ac:dyDescent="0.25">
      <c r="A18" s="83">
        <v>9</v>
      </c>
      <c r="B18" s="77" t="s">
        <v>143</v>
      </c>
      <c r="C18" s="77"/>
      <c r="D18" s="104">
        <v>1.026</v>
      </c>
      <c r="E18" s="104">
        <v>0.59809999999999997</v>
      </c>
      <c r="F18" s="104">
        <v>1.6435</v>
      </c>
      <c r="G18" s="104">
        <v>1.9938</v>
      </c>
      <c r="H18" s="104">
        <v>3.7061999999999999</v>
      </c>
      <c r="I18" s="104">
        <v>7.0829000000000004</v>
      </c>
      <c r="J18" s="104">
        <v>3.3123</v>
      </c>
      <c r="K18" s="104">
        <v>3.4036</v>
      </c>
      <c r="L18" s="104">
        <v>1009.2957</v>
      </c>
      <c r="M18" s="104">
        <v>2.5581999999999998</v>
      </c>
      <c r="N18" s="104">
        <v>5.4111000000000002</v>
      </c>
      <c r="O18" s="104">
        <v>3.9630999999999998</v>
      </c>
      <c r="P18" s="104">
        <v>0.56059999999999999</v>
      </c>
      <c r="Q18" s="104">
        <v>3.3885000000000001</v>
      </c>
      <c r="R18" s="104">
        <v>4.9383999999999997</v>
      </c>
      <c r="S18" s="104">
        <v>4.1353999999999997</v>
      </c>
      <c r="T18" s="104">
        <v>2.6046</v>
      </c>
      <c r="U18" s="104">
        <v>2.2957999999999998</v>
      </c>
      <c r="V18" s="104">
        <v>8.9908999999999999</v>
      </c>
      <c r="W18" s="104">
        <v>3.3910999999999998</v>
      </c>
    </row>
    <row r="19" spans="1:23" x14ac:dyDescent="0.25">
      <c r="A19" s="85">
        <v>10</v>
      </c>
      <c r="B19" s="81" t="s">
        <v>144</v>
      </c>
      <c r="C19" s="81"/>
      <c r="D19" s="105">
        <v>10.4472</v>
      </c>
      <c r="E19" s="105">
        <v>9.9593000000000007</v>
      </c>
      <c r="F19" s="105">
        <v>18.592400000000001</v>
      </c>
      <c r="G19" s="105">
        <v>17.104299999999999</v>
      </c>
      <c r="H19" s="105">
        <v>33.920299999999997</v>
      </c>
      <c r="I19" s="105">
        <v>52.017400000000002</v>
      </c>
      <c r="J19" s="105">
        <v>14.894</v>
      </c>
      <c r="K19" s="105">
        <v>40.135899999999999</v>
      </c>
      <c r="L19" s="105">
        <v>29.126100000000001</v>
      </c>
      <c r="M19" s="105">
        <v>1290.4851000000001</v>
      </c>
      <c r="N19" s="105">
        <v>62.3887</v>
      </c>
      <c r="O19" s="105">
        <v>58.998100000000001</v>
      </c>
      <c r="P19" s="105">
        <v>11.281599999999999</v>
      </c>
      <c r="Q19" s="105">
        <v>70.944100000000006</v>
      </c>
      <c r="R19" s="105">
        <v>42.419699999999999</v>
      </c>
      <c r="S19" s="105">
        <v>108.40779999999999</v>
      </c>
      <c r="T19" s="105">
        <v>41.981499999999997</v>
      </c>
      <c r="U19" s="105">
        <v>49.867699999999999</v>
      </c>
      <c r="V19" s="105">
        <v>59.922499999999999</v>
      </c>
      <c r="W19" s="105">
        <v>39.226700000000001</v>
      </c>
    </row>
    <row r="20" spans="1:23" x14ac:dyDescent="0.25">
      <c r="A20" s="87">
        <v>11</v>
      </c>
      <c r="B20" s="88" t="s">
        <v>145</v>
      </c>
      <c r="C20" s="88"/>
      <c r="D20" s="106">
        <v>14.818</v>
      </c>
      <c r="E20" s="106">
        <v>12.774800000000001</v>
      </c>
      <c r="F20" s="106">
        <v>27.046800000000001</v>
      </c>
      <c r="G20" s="106">
        <v>25.729600000000001</v>
      </c>
      <c r="H20" s="106">
        <v>39.249699999999997</v>
      </c>
      <c r="I20" s="106">
        <v>94.868799999999993</v>
      </c>
      <c r="J20" s="106">
        <v>15.563700000000001</v>
      </c>
      <c r="K20" s="106">
        <v>56.3934</v>
      </c>
      <c r="L20" s="106">
        <v>52.300699999999999</v>
      </c>
      <c r="M20" s="106">
        <v>37.811999999999998</v>
      </c>
      <c r="N20" s="106">
        <v>1197.1756</v>
      </c>
      <c r="O20" s="106">
        <v>183.32859999999999</v>
      </c>
      <c r="P20" s="106">
        <v>37.2134</v>
      </c>
      <c r="Q20" s="106">
        <v>37.276200000000003</v>
      </c>
      <c r="R20" s="106">
        <v>41.1997</v>
      </c>
      <c r="S20" s="106">
        <v>181.61199999999999</v>
      </c>
      <c r="T20" s="106">
        <v>23.418099999999999</v>
      </c>
      <c r="U20" s="106">
        <v>32.474899999999998</v>
      </c>
      <c r="V20" s="106">
        <v>44.640599999999999</v>
      </c>
      <c r="W20" s="106">
        <v>37.9069</v>
      </c>
    </row>
    <row r="21" spans="1:23" x14ac:dyDescent="0.25">
      <c r="A21" s="83">
        <v>12</v>
      </c>
      <c r="B21" s="77" t="s">
        <v>146</v>
      </c>
      <c r="C21" s="77"/>
      <c r="D21" s="104">
        <v>3.9173</v>
      </c>
      <c r="E21" s="104">
        <v>5.4602000000000004</v>
      </c>
      <c r="F21" s="104">
        <v>11.6698</v>
      </c>
      <c r="G21" s="104">
        <v>13.488099999999999</v>
      </c>
      <c r="H21" s="104">
        <v>19.283100000000001</v>
      </c>
      <c r="I21" s="104">
        <v>175.3877</v>
      </c>
      <c r="J21" s="104">
        <v>7.9930000000000003</v>
      </c>
      <c r="K21" s="104">
        <v>63.122</v>
      </c>
      <c r="L21" s="104">
        <v>118.5193</v>
      </c>
      <c r="M21" s="104">
        <v>26.857399999999998</v>
      </c>
      <c r="N21" s="104">
        <v>24.183499999999999</v>
      </c>
      <c r="O21" s="104">
        <v>1055.0424</v>
      </c>
      <c r="P21" s="104">
        <v>3.7959999999999998</v>
      </c>
      <c r="Q21" s="104">
        <v>31.435199999999998</v>
      </c>
      <c r="R21" s="104">
        <v>27.038599999999999</v>
      </c>
      <c r="S21" s="104">
        <v>27.441400000000002</v>
      </c>
      <c r="T21" s="104">
        <v>27.986599999999999</v>
      </c>
      <c r="U21" s="104">
        <v>38.369100000000003</v>
      </c>
      <c r="V21" s="104">
        <v>46.616900000000001</v>
      </c>
      <c r="W21" s="104">
        <v>70.3917</v>
      </c>
    </row>
    <row r="22" spans="1:23" x14ac:dyDescent="0.25">
      <c r="A22" s="83">
        <v>13</v>
      </c>
      <c r="B22" s="77" t="s">
        <v>13</v>
      </c>
      <c r="C22" s="77"/>
      <c r="D22" s="104">
        <v>0</v>
      </c>
      <c r="E22" s="104">
        <v>0</v>
      </c>
      <c r="F22" s="104">
        <v>0</v>
      </c>
      <c r="G22" s="104">
        <v>0</v>
      </c>
      <c r="H22" s="104">
        <v>0</v>
      </c>
      <c r="I22" s="104">
        <v>0</v>
      </c>
      <c r="J22" s="104">
        <v>0</v>
      </c>
      <c r="K22" s="104">
        <v>0</v>
      </c>
      <c r="L22" s="104">
        <v>0</v>
      </c>
      <c r="M22" s="104">
        <v>0</v>
      </c>
      <c r="N22" s="104">
        <v>0</v>
      </c>
      <c r="O22" s="104">
        <v>0</v>
      </c>
      <c r="P22" s="104">
        <v>1000</v>
      </c>
      <c r="Q22" s="104">
        <v>0</v>
      </c>
      <c r="R22" s="104">
        <v>0</v>
      </c>
      <c r="S22" s="104">
        <v>0</v>
      </c>
      <c r="T22" s="104">
        <v>0</v>
      </c>
      <c r="U22" s="104">
        <v>0</v>
      </c>
      <c r="V22" s="104">
        <v>0</v>
      </c>
      <c r="W22" s="104">
        <v>0</v>
      </c>
    </row>
    <row r="23" spans="1:23" x14ac:dyDescent="0.25">
      <c r="A23" s="83">
        <v>14</v>
      </c>
      <c r="B23" s="77" t="s">
        <v>14</v>
      </c>
      <c r="C23" s="77"/>
      <c r="D23" s="104">
        <v>15.0153</v>
      </c>
      <c r="E23" s="104">
        <v>13.5197</v>
      </c>
      <c r="F23" s="104">
        <v>14.6991</v>
      </c>
      <c r="G23" s="104">
        <v>43.457999999999998</v>
      </c>
      <c r="H23" s="104">
        <v>36.644300000000001</v>
      </c>
      <c r="I23" s="104">
        <v>56.759900000000002</v>
      </c>
      <c r="J23" s="104">
        <v>13.5334</v>
      </c>
      <c r="K23" s="104">
        <v>62.825899999999997</v>
      </c>
      <c r="L23" s="104">
        <v>35.457700000000003</v>
      </c>
      <c r="M23" s="104">
        <v>62.323900000000002</v>
      </c>
      <c r="N23" s="104">
        <v>38.632800000000003</v>
      </c>
      <c r="O23" s="104">
        <v>89.550399999999996</v>
      </c>
      <c r="P23" s="104">
        <v>23.469899999999999</v>
      </c>
      <c r="Q23" s="104">
        <v>1069.4289000000001</v>
      </c>
      <c r="R23" s="104">
        <v>43.678899999999999</v>
      </c>
      <c r="S23" s="104">
        <v>52.375999999999998</v>
      </c>
      <c r="T23" s="104">
        <v>30.309000000000001</v>
      </c>
      <c r="U23" s="104">
        <v>29.533100000000001</v>
      </c>
      <c r="V23" s="104">
        <v>50.2256</v>
      </c>
      <c r="W23" s="104">
        <v>40.335500000000003</v>
      </c>
    </row>
    <row r="24" spans="1:23" x14ac:dyDescent="0.25">
      <c r="A24" s="83">
        <v>15</v>
      </c>
      <c r="B24" s="77" t="s">
        <v>15</v>
      </c>
      <c r="C24" s="77"/>
      <c r="D24" s="104">
        <v>3.5531999999999999</v>
      </c>
      <c r="E24" s="104">
        <v>6.9992999999999999</v>
      </c>
      <c r="F24" s="104">
        <v>15.427099999999999</v>
      </c>
      <c r="G24" s="104">
        <v>16.146000000000001</v>
      </c>
      <c r="H24" s="104">
        <v>16.7986</v>
      </c>
      <c r="I24" s="104">
        <v>31.915500000000002</v>
      </c>
      <c r="J24" s="104">
        <v>14.843400000000001</v>
      </c>
      <c r="K24" s="104">
        <v>23.24</v>
      </c>
      <c r="L24" s="104">
        <v>21.060400000000001</v>
      </c>
      <c r="M24" s="104">
        <v>26.283899999999999</v>
      </c>
      <c r="N24" s="104">
        <v>13.2187</v>
      </c>
      <c r="O24" s="104">
        <v>57.780700000000003</v>
      </c>
      <c r="P24" s="104">
        <v>16.147600000000001</v>
      </c>
      <c r="Q24" s="104">
        <v>16.568999999999999</v>
      </c>
      <c r="R24" s="104">
        <v>1067.5809999999999</v>
      </c>
      <c r="S24" s="104">
        <v>30.116099999999999</v>
      </c>
      <c r="T24" s="104">
        <v>17.3475</v>
      </c>
      <c r="U24" s="104">
        <v>30.895</v>
      </c>
      <c r="V24" s="104">
        <v>30.8932</v>
      </c>
      <c r="W24" s="104">
        <v>19.5916</v>
      </c>
    </row>
    <row r="25" spans="1:23" x14ac:dyDescent="0.25">
      <c r="A25" s="83">
        <v>16</v>
      </c>
      <c r="B25" s="77" t="s">
        <v>147</v>
      </c>
      <c r="C25" s="77"/>
      <c r="D25" s="104">
        <v>1.0033000000000001</v>
      </c>
      <c r="E25" s="104">
        <v>0.68340000000000001</v>
      </c>
      <c r="F25" s="104">
        <v>3.2713000000000001</v>
      </c>
      <c r="G25" s="104">
        <v>3.6160999999999999</v>
      </c>
      <c r="H25" s="104">
        <v>3.2568999999999999</v>
      </c>
      <c r="I25" s="104">
        <v>12.409599999999999</v>
      </c>
      <c r="J25" s="104">
        <v>2.0710000000000002</v>
      </c>
      <c r="K25" s="104">
        <v>5.976</v>
      </c>
      <c r="L25" s="104">
        <v>7.1323999999999996</v>
      </c>
      <c r="M25" s="104">
        <v>5.6059000000000001</v>
      </c>
      <c r="N25" s="104">
        <v>3.5390000000000001</v>
      </c>
      <c r="O25" s="104">
        <v>12.588900000000001</v>
      </c>
      <c r="P25" s="104">
        <v>0.82430000000000003</v>
      </c>
      <c r="Q25" s="104">
        <v>5.2751999999999999</v>
      </c>
      <c r="R25" s="104">
        <v>2.7650999999999999</v>
      </c>
      <c r="S25" s="104">
        <v>1020.7811</v>
      </c>
      <c r="T25" s="104">
        <v>2.5834999999999999</v>
      </c>
      <c r="U25" s="104">
        <v>3.3062999999999998</v>
      </c>
      <c r="V25" s="104">
        <v>12.1275</v>
      </c>
      <c r="W25" s="104">
        <v>4.8710000000000004</v>
      </c>
    </row>
    <row r="26" spans="1:23" x14ac:dyDescent="0.25">
      <c r="A26" s="83">
        <v>17</v>
      </c>
      <c r="B26" s="77" t="s">
        <v>16</v>
      </c>
      <c r="C26" s="77"/>
      <c r="D26" s="104">
        <v>0.44290000000000002</v>
      </c>
      <c r="E26" s="104">
        <v>0.42709999999999998</v>
      </c>
      <c r="F26" s="104">
        <v>0.59009999999999996</v>
      </c>
      <c r="G26" s="104">
        <v>0.75280000000000002</v>
      </c>
      <c r="H26" s="104">
        <v>1.2281</v>
      </c>
      <c r="I26" s="104">
        <v>2.6932999999999998</v>
      </c>
      <c r="J26" s="104">
        <v>0.62060000000000004</v>
      </c>
      <c r="K26" s="104">
        <v>3.3765999999999998</v>
      </c>
      <c r="L26" s="104">
        <v>1.9910000000000001</v>
      </c>
      <c r="M26" s="104">
        <v>2.6619999999999999</v>
      </c>
      <c r="N26" s="104">
        <v>1.5115000000000001</v>
      </c>
      <c r="O26" s="104">
        <v>2.8325999999999998</v>
      </c>
      <c r="P26" s="104">
        <v>0.4965</v>
      </c>
      <c r="Q26" s="104">
        <v>2.4451000000000001</v>
      </c>
      <c r="R26" s="104">
        <v>1.7950999999999999</v>
      </c>
      <c r="S26" s="104">
        <v>7.2007000000000003</v>
      </c>
      <c r="T26" s="104">
        <v>1021.5371</v>
      </c>
      <c r="U26" s="104">
        <v>1.8110999999999999</v>
      </c>
      <c r="V26" s="104">
        <v>2.4843999999999999</v>
      </c>
      <c r="W26" s="104">
        <v>2.1442000000000001</v>
      </c>
    </row>
    <row r="27" spans="1:23" x14ac:dyDescent="0.25">
      <c r="A27" s="83">
        <v>18</v>
      </c>
      <c r="B27" s="77" t="s">
        <v>17</v>
      </c>
      <c r="C27" s="77"/>
      <c r="D27" s="104">
        <v>0.28910000000000002</v>
      </c>
      <c r="E27" s="104">
        <v>0.2399</v>
      </c>
      <c r="F27" s="104">
        <v>0.57650000000000001</v>
      </c>
      <c r="G27" s="104">
        <v>0.79949999999999999</v>
      </c>
      <c r="H27" s="104">
        <v>0.84830000000000005</v>
      </c>
      <c r="I27" s="104">
        <v>2.3574999999999999</v>
      </c>
      <c r="J27" s="104">
        <v>0.5766</v>
      </c>
      <c r="K27" s="104">
        <v>1.7316</v>
      </c>
      <c r="L27" s="104">
        <v>1.7554000000000001</v>
      </c>
      <c r="M27" s="104">
        <v>1.4524999999999999</v>
      </c>
      <c r="N27" s="104">
        <v>1.2366999999999999</v>
      </c>
      <c r="O27" s="104">
        <v>2.0847000000000002</v>
      </c>
      <c r="P27" s="104">
        <v>0.3841</v>
      </c>
      <c r="Q27" s="104">
        <v>6.8234000000000004</v>
      </c>
      <c r="R27" s="104">
        <v>3.0283000000000002</v>
      </c>
      <c r="S27" s="104">
        <v>10.7889</v>
      </c>
      <c r="T27" s="104">
        <v>2.0924</v>
      </c>
      <c r="U27" s="104">
        <v>1121.3531</v>
      </c>
      <c r="V27" s="104">
        <v>38.116399999999999</v>
      </c>
      <c r="W27" s="104">
        <v>7.2106000000000003</v>
      </c>
    </row>
    <row r="28" spans="1:23" x14ac:dyDescent="0.25">
      <c r="A28" s="83">
        <v>19</v>
      </c>
      <c r="B28" s="77" t="s">
        <v>148</v>
      </c>
      <c r="C28" s="77"/>
      <c r="D28" s="104">
        <v>0.17829999999999999</v>
      </c>
      <c r="E28" s="104">
        <v>0.17710000000000001</v>
      </c>
      <c r="F28" s="104">
        <v>0.36299999999999999</v>
      </c>
      <c r="G28" s="104">
        <v>1.635</v>
      </c>
      <c r="H28" s="104">
        <v>0.75229999999999997</v>
      </c>
      <c r="I28" s="104">
        <v>4.1825000000000001</v>
      </c>
      <c r="J28" s="104">
        <v>0.46589999999999998</v>
      </c>
      <c r="K28" s="104">
        <v>1.8857999999999999</v>
      </c>
      <c r="L28" s="104">
        <v>1.6800999999999999</v>
      </c>
      <c r="M28" s="104">
        <v>1.8666</v>
      </c>
      <c r="N28" s="104">
        <v>2.6238000000000001</v>
      </c>
      <c r="O28" s="104">
        <v>1.6133</v>
      </c>
      <c r="P28" s="104">
        <v>0.3463</v>
      </c>
      <c r="Q28" s="104">
        <v>1.4767999999999999</v>
      </c>
      <c r="R28" s="104">
        <v>2.4491999999999998</v>
      </c>
      <c r="S28" s="104">
        <v>1.4335</v>
      </c>
      <c r="T28" s="104">
        <v>10.039899999999999</v>
      </c>
      <c r="U28" s="104">
        <v>1.3126</v>
      </c>
      <c r="V28" s="104">
        <v>1035.6072999999999</v>
      </c>
      <c r="W28" s="104">
        <v>2.6591</v>
      </c>
    </row>
    <row r="29" spans="1:23" x14ac:dyDescent="0.25">
      <c r="A29" s="85">
        <v>20</v>
      </c>
      <c r="B29" s="81" t="s">
        <v>149</v>
      </c>
      <c r="C29" s="81"/>
      <c r="D29" s="105">
        <v>0.39860000000000001</v>
      </c>
      <c r="E29" s="105">
        <v>0.45519999999999999</v>
      </c>
      <c r="F29" s="105">
        <v>1.5468999999999999</v>
      </c>
      <c r="G29" s="105">
        <v>1.7305999999999999</v>
      </c>
      <c r="H29" s="105">
        <v>1.0698000000000001</v>
      </c>
      <c r="I29" s="105">
        <v>3.7334999999999998</v>
      </c>
      <c r="J29" s="105">
        <v>1.5310999999999999</v>
      </c>
      <c r="K29" s="105">
        <v>10.898099999999999</v>
      </c>
      <c r="L29" s="105">
        <v>2.0933000000000002</v>
      </c>
      <c r="M29" s="105">
        <v>2.7324999999999999</v>
      </c>
      <c r="N29" s="105">
        <v>1.9471000000000001</v>
      </c>
      <c r="O29" s="105">
        <v>3.0464000000000002</v>
      </c>
      <c r="P29" s="105">
        <v>3.2128999999999999</v>
      </c>
      <c r="Q29" s="105">
        <v>2.3639999999999999</v>
      </c>
      <c r="R29" s="105">
        <v>4.6327999999999996</v>
      </c>
      <c r="S29" s="105">
        <v>7.6951000000000001</v>
      </c>
      <c r="T29" s="105">
        <v>7.7515000000000001</v>
      </c>
      <c r="U29" s="105">
        <v>7.3935000000000004</v>
      </c>
      <c r="V29" s="105">
        <v>18.637799999999999</v>
      </c>
      <c r="W29" s="105">
        <v>1010.4351</v>
      </c>
    </row>
    <row r="30" spans="1:23" ht="20" thickBot="1" x14ac:dyDescent="0.3">
      <c r="A30" s="90" t="s">
        <v>24</v>
      </c>
      <c r="B30" s="91" t="s">
        <v>82</v>
      </c>
      <c r="C30" s="91"/>
      <c r="D30" s="107">
        <v>1566.7828</v>
      </c>
      <c r="E30" s="107">
        <v>1334.3581999999999</v>
      </c>
      <c r="F30" s="107">
        <v>1368.2620999999999</v>
      </c>
      <c r="G30" s="107">
        <v>1889.4677999999999</v>
      </c>
      <c r="H30" s="107">
        <v>1349.7396000000001</v>
      </c>
      <c r="I30" s="107">
        <v>1705.3759</v>
      </c>
      <c r="J30" s="107">
        <v>1584.1277</v>
      </c>
      <c r="K30" s="107">
        <v>1506.7465999999999</v>
      </c>
      <c r="L30" s="107">
        <v>1642.4597000000001</v>
      </c>
      <c r="M30" s="107">
        <v>1670.2252000000001</v>
      </c>
      <c r="N30" s="107">
        <v>1414.8985</v>
      </c>
      <c r="O30" s="107">
        <v>1738.4123999999999</v>
      </c>
      <c r="P30" s="107">
        <v>1292.5953999999999</v>
      </c>
      <c r="Q30" s="107">
        <v>1458.8303000000001</v>
      </c>
      <c r="R30" s="107">
        <v>1392.3884</v>
      </c>
      <c r="S30" s="107">
        <v>1735.4133999999999</v>
      </c>
      <c r="T30" s="107">
        <v>1318.8576</v>
      </c>
      <c r="U30" s="107">
        <v>1514.9117000000001</v>
      </c>
      <c r="V30" s="107">
        <v>1536.78</v>
      </c>
      <c r="W30" s="107">
        <v>1408.6756</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7EADA-7F6A-498F-ABA8-D819E9D93134}">
  <dimension ref="A1:W30"/>
  <sheetViews>
    <sheetView zoomScale="85" workbookViewId="0">
      <pane xSplit="3" ySplit="9" topLeftCell="D10" activePane="bottomRight" state="frozenSplit"/>
      <selection activeCell="J21" sqref="J21"/>
      <selection pane="topRight" activeCell="J21" sqref="J21"/>
      <selection pane="bottomLeft" activeCell="J21" sqref="J21"/>
      <selection pane="bottomRight" activeCell="D10" sqref="D10:D29"/>
    </sheetView>
  </sheetViews>
  <sheetFormatPr baseColWidth="10" defaultColWidth="8.83203125" defaultRowHeight="19" x14ac:dyDescent="0.25"/>
  <cols>
    <col min="1" max="1" width="4.6640625" style="78" customWidth="1"/>
    <col min="2" max="2" width="40.6640625" style="78" customWidth="1"/>
    <col min="3" max="3" width="8.83203125" style="78"/>
    <col min="4" max="23" width="12.6640625" style="78" customWidth="1"/>
    <col min="24" max="16384" width="8.83203125" style="78"/>
  </cols>
  <sheetData>
    <row r="1" spans="1:23" x14ac:dyDescent="0.25">
      <c r="A1" s="77" t="s">
        <v>90</v>
      </c>
      <c r="B1" s="77"/>
      <c r="C1" s="77"/>
      <c r="D1" s="77"/>
      <c r="E1" s="77"/>
      <c r="F1" s="77"/>
      <c r="G1" s="77"/>
      <c r="H1" s="77"/>
      <c r="I1" s="77"/>
      <c r="J1" s="77"/>
      <c r="K1" s="77"/>
      <c r="L1" s="77"/>
      <c r="M1" s="77"/>
      <c r="N1" s="77"/>
      <c r="O1" s="77"/>
      <c r="P1" s="77"/>
      <c r="Q1" s="77"/>
      <c r="R1" s="77"/>
      <c r="S1" s="77"/>
      <c r="T1" s="77"/>
      <c r="U1" s="77"/>
      <c r="V1" s="77"/>
      <c r="W1" s="77"/>
    </row>
    <row r="2" spans="1:23" x14ac:dyDescent="0.25">
      <c r="A2" s="77" t="s">
        <v>91</v>
      </c>
      <c r="B2" s="77"/>
      <c r="C2" s="77"/>
      <c r="D2" s="77"/>
      <c r="E2" s="77"/>
      <c r="F2" s="77"/>
      <c r="G2" s="77"/>
      <c r="H2" s="77"/>
      <c r="I2" s="77"/>
      <c r="J2" s="77"/>
      <c r="K2" s="77"/>
      <c r="L2" s="77"/>
      <c r="M2" s="77"/>
      <c r="N2" s="77"/>
      <c r="O2" s="77"/>
      <c r="P2" s="77"/>
      <c r="Q2" s="77"/>
      <c r="R2" s="77"/>
      <c r="S2" s="77"/>
      <c r="T2" s="77"/>
      <c r="U2" s="77"/>
      <c r="V2" s="77"/>
      <c r="W2" s="77"/>
    </row>
    <row r="3" spans="1:23" x14ac:dyDescent="0.25">
      <c r="A3" s="77"/>
      <c r="B3" s="77"/>
      <c r="C3" s="77"/>
      <c r="D3" s="77"/>
      <c r="E3" s="77"/>
      <c r="F3" s="77"/>
      <c r="G3" s="77"/>
      <c r="H3" s="77"/>
      <c r="I3" s="77"/>
      <c r="J3" s="77"/>
      <c r="K3" s="77"/>
      <c r="L3" s="77"/>
      <c r="M3" s="77"/>
      <c r="N3" s="77"/>
      <c r="O3" s="77"/>
      <c r="P3" s="77"/>
      <c r="Q3" s="77"/>
      <c r="R3" s="77"/>
      <c r="S3" s="77"/>
      <c r="T3" s="77"/>
      <c r="U3" s="77"/>
      <c r="V3" s="77"/>
      <c r="W3" s="77"/>
    </row>
    <row r="4" spans="1:23" ht="20" thickBot="1" x14ac:dyDescent="0.3">
      <c r="A4" s="79"/>
      <c r="B4" s="79"/>
      <c r="C4" s="79"/>
      <c r="D4" s="79"/>
      <c r="E4" s="79"/>
      <c r="F4" s="79"/>
      <c r="G4" s="79"/>
      <c r="H4" s="79"/>
      <c r="I4" s="79"/>
      <c r="J4" s="79"/>
      <c r="K4" s="79"/>
      <c r="L4" s="79"/>
      <c r="M4" s="79"/>
      <c r="N4" s="79"/>
      <c r="O4" s="79"/>
      <c r="P4" s="79"/>
      <c r="Q4" s="79"/>
      <c r="R4" s="79"/>
      <c r="S4" s="79"/>
      <c r="T4" s="79"/>
      <c r="U4" s="79"/>
      <c r="V4" s="79"/>
      <c r="W4" s="79"/>
    </row>
    <row r="5" spans="1:23" x14ac:dyDescent="0.25">
      <c r="A5" s="77"/>
      <c r="B5" s="77"/>
      <c r="C5" s="77"/>
      <c r="D5" s="77"/>
      <c r="E5" s="77"/>
      <c r="F5" s="77"/>
      <c r="G5" s="77"/>
      <c r="H5" s="77"/>
      <c r="I5" s="77"/>
      <c r="J5" s="77"/>
      <c r="K5" s="77"/>
      <c r="L5" s="77"/>
      <c r="M5" s="77"/>
      <c r="N5" s="77"/>
      <c r="O5" s="77"/>
      <c r="P5" s="77"/>
      <c r="Q5" s="77"/>
      <c r="R5" s="77"/>
      <c r="S5" s="77"/>
      <c r="T5" s="77"/>
      <c r="U5" s="77"/>
      <c r="V5" s="77"/>
      <c r="W5" s="77"/>
    </row>
    <row r="6" spans="1:23" ht="80.25" customHeight="1" x14ac:dyDescent="0.25">
      <c r="A6" s="77"/>
      <c r="B6" s="77"/>
      <c r="C6" s="80"/>
      <c r="D6" s="80" t="s">
        <v>140</v>
      </c>
      <c r="E6" s="80" t="s">
        <v>8</v>
      </c>
      <c r="F6" s="80" t="s">
        <v>9</v>
      </c>
      <c r="G6" s="80" t="s">
        <v>10</v>
      </c>
      <c r="H6" s="80" t="s">
        <v>11</v>
      </c>
      <c r="I6" s="80" t="s">
        <v>12</v>
      </c>
      <c r="J6" s="80" t="s">
        <v>141</v>
      </c>
      <c r="K6" s="80" t="s">
        <v>142</v>
      </c>
      <c r="L6" s="80" t="s">
        <v>143</v>
      </c>
      <c r="M6" s="80" t="s">
        <v>144</v>
      </c>
      <c r="N6" s="80" t="s">
        <v>145</v>
      </c>
      <c r="O6" s="80" t="s">
        <v>146</v>
      </c>
      <c r="P6" s="80" t="s">
        <v>13</v>
      </c>
      <c r="Q6" s="80" t="s">
        <v>14</v>
      </c>
      <c r="R6" s="80" t="s">
        <v>15</v>
      </c>
      <c r="S6" s="80" t="s">
        <v>147</v>
      </c>
      <c r="T6" s="80" t="s">
        <v>16</v>
      </c>
      <c r="U6" s="80" t="s">
        <v>17</v>
      </c>
      <c r="V6" s="80" t="s">
        <v>148</v>
      </c>
      <c r="W6" s="80" t="s">
        <v>149</v>
      </c>
    </row>
    <row r="7" spans="1:23" x14ac:dyDescent="0.25">
      <c r="A7" s="77"/>
      <c r="B7" s="77"/>
      <c r="C7" s="81"/>
      <c r="D7" s="81"/>
      <c r="E7" s="81"/>
      <c r="F7" s="81"/>
      <c r="G7" s="81"/>
      <c r="H7" s="81"/>
      <c r="I7" s="81"/>
      <c r="J7" s="81"/>
      <c r="K7" s="81"/>
      <c r="L7" s="81"/>
      <c r="M7" s="81"/>
      <c r="N7" s="81"/>
      <c r="O7" s="81"/>
      <c r="P7" s="81"/>
      <c r="Q7" s="81"/>
      <c r="R7" s="81"/>
      <c r="S7" s="81"/>
      <c r="T7" s="81"/>
      <c r="U7" s="81"/>
      <c r="V7" s="81"/>
      <c r="W7" s="81"/>
    </row>
    <row r="8" spans="1:23" x14ac:dyDescent="0.25">
      <c r="A8" s="77"/>
      <c r="B8" s="77"/>
      <c r="C8" s="77"/>
      <c r="D8" s="77"/>
      <c r="E8" s="77"/>
      <c r="F8" s="77"/>
      <c r="G8" s="77"/>
      <c r="H8" s="77"/>
      <c r="I8" s="77"/>
      <c r="J8" s="77"/>
      <c r="K8" s="77"/>
      <c r="L8" s="77"/>
      <c r="M8" s="77"/>
      <c r="N8" s="77"/>
      <c r="O8" s="77"/>
      <c r="P8" s="77"/>
      <c r="Q8" s="77"/>
      <c r="R8" s="77"/>
      <c r="S8" s="77"/>
      <c r="T8" s="77"/>
      <c r="U8" s="77"/>
      <c r="V8" s="77"/>
      <c r="W8" s="77"/>
    </row>
    <row r="9" spans="1:23" ht="20" thickBot="1" x14ac:dyDescent="0.3">
      <c r="A9" s="82"/>
      <c r="B9" s="79"/>
      <c r="C9" s="79"/>
      <c r="D9" s="82">
        <v>1</v>
      </c>
      <c r="E9" s="82">
        <v>2</v>
      </c>
      <c r="F9" s="82">
        <v>3</v>
      </c>
      <c r="G9" s="82">
        <v>4</v>
      </c>
      <c r="H9" s="82">
        <v>5</v>
      </c>
      <c r="I9" s="82">
        <v>6</v>
      </c>
      <c r="J9" s="82">
        <v>7</v>
      </c>
      <c r="K9" s="82">
        <v>8</v>
      </c>
      <c r="L9" s="82">
        <v>9</v>
      </c>
      <c r="M9" s="82">
        <v>10</v>
      </c>
      <c r="N9" s="82">
        <v>11</v>
      </c>
      <c r="O9" s="82">
        <v>12</v>
      </c>
      <c r="P9" s="82">
        <v>13</v>
      </c>
      <c r="Q9" s="82">
        <v>14</v>
      </c>
      <c r="R9" s="82">
        <v>15</v>
      </c>
      <c r="S9" s="82">
        <v>16</v>
      </c>
      <c r="T9" s="82">
        <v>17</v>
      </c>
      <c r="U9" s="82">
        <v>18</v>
      </c>
      <c r="V9" s="82">
        <v>19</v>
      </c>
      <c r="W9" s="82">
        <v>20</v>
      </c>
    </row>
    <row r="10" spans="1:23" x14ac:dyDescent="0.25">
      <c r="A10" s="83">
        <v>1</v>
      </c>
      <c r="B10" s="77" t="s">
        <v>140</v>
      </c>
      <c r="C10" s="77"/>
      <c r="D10" s="84">
        <v>310.37329999999997</v>
      </c>
      <c r="E10" s="84">
        <v>4.4299999999999999E-2</v>
      </c>
      <c r="F10" s="84">
        <v>3.0599999999999999E-2</v>
      </c>
      <c r="G10" s="84">
        <v>5.2299999999999999E-2</v>
      </c>
      <c r="H10" s="84">
        <v>1.7000000000000001E-2</v>
      </c>
      <c r="I10" s="84">
        <v>3.8800000000000001E-2</v>
      </c>
      <c r="J10" s="84">
        <v>1.61E-2</v>
      </c>
      <c r="K10" s="84">
        <v>0.4476</v>
      </c>
      <c r="L10" s="84">
        <v>1.5305</v>
      </c>
      <c r="M10" s="84">
        <v>3.0099999999999998E-2</v>
      </c>
      <c r="N10" s="84">
        <v>2.0500000000000001E-2</v>
      </c>
      <c r="O10" s="84">
        <v>3.6999999999999998E-2</v>
      </c>
      <c r="P10" s="84">
        <v>1.1299999999999999E-2</v>
      </c>
      <c r="Q10" s="84">
        <v>2.7099999999999999E-2</v>
      </c>
      <c r="R10" s="84">
        <v>7.5999999999999998E-2</v>
      </c>
      <c r="S10" s="84">
        <v>3.0200000000000001E-2</v>
      </c>
      <c r="T10" s="84">
        <v>1.8200000000000001E-2</v>
      </c>
      <c r="U10" s="84">
        <v>3.09E-2</v>
      </c>
      <c r="V10" s="84">
        <v>6.1199999999999997E-2</v>
      </c>
      <c r="W10" s="84">
        <v>5.6800000000000003E-2</v>
      </c>
    </row>
    <row r="11" spans="1:23" x14ac:dyDescent="0.25">
      <c r="A11" s="83">
        <v>2</v>
      </c>
      <c r="B11" s="77" t="s">
        <v>8</v>
      </c>
      <c r="C11" s="77"/>
      <c r="D11" s="84">
        <v>25.384399999999999</v>
      </c>
      <c r="E11" s="84">
        <v>349.8682</v>
      </c>
      <c r="F11" s="84">
        <v>8.7081999999999997</v>
      </c>
      <c r="G11" s="84">
        <v>43.664299999999997</v>
      </c>
      <c r="H11" s="84">
        <v>10.048</v>
      </c>
      <c r="I11" s="84">
        <v>17.314599999999999</v>
      </c>
      <c r="J11" s="84">
        <v>25.1374</v>
      </c>
      <c r="K11" s="84">
        <v>20.1099</v>
      </c>
      <c r="L11" s="84">
        <v>43.6021</v>
      </c>
      <c r="M11" s="84">
        <v>25.288</v>
      </c>
      <c r="N11" s="84">
        <v>5.5011999999999999</v>
      </c>
      <c r="O11" s="84">
        <v>21.4009</v>
      </c>
      <c r="P11" s="84">
        <v>6.3891</v>
      </c>
      <c r="Q11" s="84">
        <v>38.965000000000003</v>
      </c>
      <c r="R11" s="84">
        <v>21.1981</v>
      </c>
      <c r="S11" s="84">
        <v>24.585599999999999</v>
      </c>
      <c r="T11" s="84">
        <v>14.4739</v>
      </c>
      <c r="U11" s="84">
        <v>30.047799999999999</v>
      </c>
      <c r="V11" s="84">
        <v>16.364100000000001</v>
      </c>
      <c r="W11" s="84">
        <v>21.864100000000001</v>
      </c>
    </row>
    <row r="12" spans="1:23" x14ac:dyDescent="0.25">
      <c r="A12" s="83">
        <v>3</v>
      </c>
      <c r="B12" s="77" t="s">
        <v>9</v>
      </c>
      <c r="C12" s="77"/>
      <c r="D12" s="84">
        <v>15.5939</v>
      </c>
      <c r="E12" s="84">
        <v>4.8512000000000004</v>
      </c>
      <c r="F12" s="84">
        <v>412.41930000000002</v>
      </c>
      <c r="G12" s="84">
        <v>3.2090999999999998</v>
      </c>
      <c r="H12" s="84">
        <v>1.8236000000000001</v>
      </c>
      <c r="I12" s="84">
        <v>14.4217</v>
      </c>
      <c r="J12" s="84">
        <v>2.8658999999999999</v>
      </c>
      <c r="K12" s="84">
        <v>22.456299999999999</v>
      </c>
      <c r="L12" s="84">
        <v>21.823399999999999</v>
      </c>
      <c r="M12" s="84">
        <v>8.3850999999999996</v>
      </c>
      <c r="N12" s="84">
        <v>2.4083999999999999</v>
      </c>
      <c r="O12" s="84">
        <v>15.0783</v>
      </c>
      <c r="P12" s="84">
        <v>0.62039999999999995</v>
      </c>
      <c r="Q12" s="84">
        <v>3.7132000000000001</v>
      </c>
      <c r="R12" s="84">
        <v>2.6616</v>
      </c>
      <c r="S12" s="84">
        <v>16.548999999999999</v>
      </c>
      <c r="T12" s="84">
        <v>9.8095999999999997</v>
      </c>
      <c r="U12" s="84">
        <v>8.7157999999999998</v>
      </c>
      <c r="V12" s="84">
        <v>20.5535</v>
      </c>
      <c r="W12" s="84">
        <v>7.6921999999999997</v>
      </c>
    </row>
    <row r="13" spans="1:23" x14ac:dyDescent="0.25">
      <c r="A13" s="83">
        <v>4</v>
      </c>
      <c r="B13" s="77" t="s">
        <v>10</v>
      </c>
      <c r="C13" s="77"/>
      <c r="D13" s="84">
        <v>0.59589999999999999</v>
      </c>
      <c r="E13" s="84">
        <v>0.7954</v>
      </c>
      <c r="F13" s="84">
        <v>2.8952</v>
      </c>
      <c r="G13" s="84">
        <v>452.47300000000001</v>
      </c>
      <c r="H13" s="84">
        <v>1.0465</v>
      </c>
      <c r="I13" s="84">
        <v>5.8686999999999996</v>
      </c>
      <c r="J13" s="84">
        <v>0.91949999999999998</v>
      </c>
      <c r="K13" s="84">
        <v>8.6511999999999993</v>
      </c>
      <c r="L13" s="84">
        <v>4.8379000000000003</v>
      </c>
      <c r="M13" s="84">
        <v>1.6500999999999999</v>
      </c>
      <c r="N13" s="84">
        <v>1.2939000000000001</v>
      </c>
      <c r="O13" s="84">
        <v>26.8749</v>
      </c>
      <c r="P13" s="84">
        <v>45.880699999999997</v>
      </c>
      <c r="Q13" s="84">
        <v>4.2141999999999999</v>
      </c>
      <c r="R13" s="84">
        <v>1.7037</v>
      </c>
      <c r="S13" s="84">
        <v>3.4036</v>
      </c>
      <c r="T13" s="84">
        <v>4.0223000000000004</v>
      </c>
      <c r="U13" s="84">
        <v>2.6888999999999998</v>
      </c>
      <c r="V13" s="84">
        <v>6.3874000000000004</v>
      </c>
      <c r="W13" s="84">
        <v>2.8008000000000002</v>
      </c>
    </row>
    <row r="14" spans="1:23" x14ac:dyDescent="0.25">
      <c r="A14" s="83">
        <v>5</v>
      </c>
      <c r="B14" s="77" t="s">
        <v>11</v>
      </c>
      <c r="C14" s="77"/>
      <c r="D14" s="84">
        <v>47.264400000000002</v>
      </c>
      <c r="E14" s="84">
        <v>19.067599999999999</v>
      </c>
      <c r="F14" s="84">
        <v>6.4869000000000003</v>
      </c>
      <c r="G14" s="84">
        <v>27.117899999999999</v>
      </c>
      <c r="H14" s="84">
        <v>461.29849999999999</v>
      </c>
      <c r="I14" s="84">
        <v>17.646100000000001</v>
      </c>
      <c r="J14" s="84">
        <v>13.849</v>
      </c>
      <c r="K14" s="84">
        <v>19.8675</v>
      </c>
      <c r="L14" s="84">
        <v>34.295000000000002</v>
      </c>
      <c r="M14" s="84">
        <v>26.638200000000001</v>
      </c>
      <c r="N14" s="84">
        <v>6.5953999999999997</v>
      </c>
      <c r="O14" s="84">
        <v>12.0867</v>
      </c>
      <c r="P14" s="84">
        <v>4.4207000000000001</v>
      </c>
      <c r="Q14" s="84">
        <v>13.7517</v>
      </c>
      <c r="R14" s="84">
        <v>12.9323</v>
      </c>
      <c r="S14" s="84">
        <v>19.0273</v>
      </c>
      <c r="T14" s="84">
        <v>9.6879000000000008</v>
      </c>
      <c r="U14" s="84">
        <v>16.160599999999999</v>
      </c>
      <c r="V14" s="84">
        <v>11.266400000000001</v>
      </c>
      <c r="W14" s="84">
        <v>16.8521</v>
      </c>
    </row>
    <row r="15" spans="1:23" x14ac:dyDescent="0.25">
      <c r="A15" s="83">
        <v>6</v>
      </c>
      <c r="B15" s="77" t="s">
        <v>12</v>
      </c>
      <c r="C15" s="77"/>
      <c r="D15" s="84">
        <v>0.25169999999999998</v>
      </c>
      <c r="E15" s="84">
        <v>0.1532</v>
      </c>
      <c r="F15" s="84">
        <v>0.1832</v>
      </c>
      <c r="G15" s="84">
        <v>2.6345000000000001</v>
      </c>
      <c r="H15" s="84">
        <v>0.93769999999999998</v>
      </c>
      <c r="I15" s="84">
        <v>480.27140000000003</v>
      </c>
      <c r="J15" s="84">
        <v>0.62039999999999995</v>
      </c>
      <c r="K15" s="84">
        <v>1.6689000000000001</v>
      </c>
      <c r="L15" s="84">
        <v>6.6788999999999996</v>
      </c>
      <c r="M15" s="84">
        <v>1.1977</v>
      </c>
      <c r="N15" s="84">
        <v>0.43070000000000003</v>
      </c>
      <c r="O15" s="84">
        <v>0.93920000000000003</v>
      </c>
      <c r="P15" s="84">
        <v>0.39129999999999998</v>
      </c>
      <c r="Q15" s="84">
        <v>1.0051000000000001</v>
      </c>
      <c r="R15" s="84">
        <v>0.90280000000000005</v>
      </c>
      <c r="S15" s="84">
        <v>1.3796999999999999</v>
      </c>
      <c r="T15" s="84">
        <v>0.89129999999999998</v>
      </c>
      <c r="U15" s="84">
        <v>1.476</v>
      </c>
      <c r="V15" s="84">
        <v>1.1588000000000001</v>
      </c>
      <c r="W15" s="84">
        <v>1.8179000000000001</v>
      </c>
    </row>
    <row r="16" spans="1:23" x14ac:dyDescent="0.25">
      <c r="A16" s="83">
        <v>7</v>
      </c>
      <c r="B16" s="77" t="s">
        <v>141</v>
      </c>
      <c r="C16" s="77"/>
      <c r="D16" s="84">
        <v>5.1666999999999996</v>
      </c>
      <c r="E16" s="84">
        <v>4.5636999999999999</v>
      </c>
      <c r="F16" s="84">
        <v>3.3397999999999999</v>
      </c>
      <c r="G16" s="84">
        <v>5.0811000000000002</v>
      </c>
      <c r="H16" s="84">
        <v>29.881499999999999</v>
      </c>
      <c r="I16" s="84">
        <v>21.160699999999999</v>
      </c>
      <c r="J16" s="84">
        <v>347.86849999999998</v>
      </c>
      <c r="K16" s="84">
        <v>4.7083000000000004</v>
      </c>
      <c r="L16" s="84">
        <v>8.0835000000000008</v>
      </c>
      <c r="M16" s="84">
        <v>7.4627999999999997</v>
      </c>
      <c r="N16" s="84">
        <v>3.8917999999999999</v>
      </c>
      <c r="O16" s="84">
        <v>7.4661</v>
      </c>
      <c r="P16" s="84">
        <v>1.613</v>
      </c>
      <c r="Q16" s="84">
        <v>4.5103</v>
      </c>
      <c r="R16" s="84">
        <v>7.9634</v>
      </c>
      <c r="S16" s="84">
        <v>22.918600000000001</v>
      </c>
      <c r="T16" s="84">
        <v>3.6818</v>
      </c>
      <c r="U16" s="84">
        <v>4.6247999999999996</v>
      </c>
      <c r="V16" s="84">
        <v>5.1482999999999999</v>
      </c>
      <c r="W16" s="84">
        <v>4.9633000000000003</v>
      </c>
    </row>
    <row r="17" spans="1:23" x14ac:dyDescent="0.25">
      <c r="A17" s="83">
        <v>8</v>
      </c>
      <c r="B17" s="77" t="s">
        <v>142</v>
      </c>
      <c r="C17" s="77"/>
      <c r="D17" s="84">
        <v>0.14169999999999999</v>
      </c>
      <c r="E17" s="84">
        <v>0.13780000000000001</v>
      </c>
      <c r="F17" s="84">
        <v>0.37909999999999999</v>
      </c>
      <c r="G17" s="84">
        <v>0.69279999999999997</v>
      </c>
      <c r="H17" s="84">
        <v>0.62980000000000003</v>
      </c>
      <c r="I17" s="84">
        <v>1.7710999999999999</v>
      </c>
      <c r="J17" s="84">
        <v>0.8347</v>
      </c>
      <c r="K17" s="84">
        <v>560.11479999999995</v>
      </c>
      <c r="L17" s="84">
        <v>1.8091999999999999</v>
      </c>
      <c r="M17" s="84">
        <v>0.51639999999999997</v>
      </c>
      <c r="N17" s="84">
        <v>0.90629999999999999</v>
      </c>
      <c r="O17" s="84">
        <v>0.67179999999999995</v>
      </c>
      <c r="P17" s="84">
        <v>0.13769999999999999</v>
      </c>
      <c r="Q17" s="84">
        <v>0.84889999999999999</v>
      </c>
      <c r="R17" s="84">
        <v>1.0178</v>
      </c>
      <c r="S17" s="84">
        <v>1.6041000000000001</v>
      </c>
      <c r="T17" s="84">
        <v>0.626</v>
      </c>
      <c r="U17" s="84">
        <v>0.44379999999999997</v>
      </c>
      <c r="V17" s="84">
        <v>1.4339999999999999</v>
      </c>
      <c r="W17" s="84">
        <v>1.1726000000000001</v>
      </c>
    </row>
    <row r="18" spans="1:23" x14ac:dyDescent="0.25">
      <c r="A18" s="83">
        <v>9</v>
      </c>
      <c r="B18" s="77" t="s">
        <v>143</v>
      </c>
      <c r="C18" s="77"/>
      <c r="D18" s="84">
        <v>0.3347</v>
      </c>
      <c r="E18" s="84">
        <v>0.1951</v>
      </c>
      <c r="F18" s="84">
        <v>0.53610000000000002</v>
      </c>
      <c r="G18" s="84">
        <v>0.65039999999999998</v>
      </c>
      <c r="H18" s="84">
        <v>1.2089000000000001</v>
      </c>
      <c r="I18" s="84">
        <v>2.3104</v>
      </c>
      <c r="J18" s="84">
        <v>1.0805</v>
      </c>
      <c r="K18" s="84">
        <v>1.1103000000000001</v>
      </c>
      <c r="L18" s="84">
        <v>329.22820000000002</v>
      </c>
      <c r="M18" s="84">
        <v>0.83450000000000002</v>
      </c>
      <c r="N18" s="84">
        <v>1.7650999999999999</v>
      </c>
      <c r="O18" s="84">
        <v>1.2927999999999999</v>
      </c>
      <c r="P18" s="84">
        <v>0.18290000000000001</v>
      </c>
      <c r="Q18" s="84">
        <v>1.1052999999999999</v>
      </c>
      <c r="R18" s="84">
        <v>1.6109</v>
      </c>
      <c r="S18" s="84">
        <v>1.3489</v>
      </c>
      <c r="T18" s="84">
        <v>0.84960000000000002</v>
      </c>
      <c r="U18" s="84">
        <v>0.74890000000000001</v>
      </c>
      <c r="V18" s="84">
        <v>2.9327999999999999</v>
      </c>
      <c r="W18" s="84">
        <v>1.1062000000000001</v>
      </c>
    </row>
    <row r="19" spans="1:23" x14ac:dyDescent="0.25">
      <c r="A19" s="85">
        <v>10</v>
      </c>
      <c r="B19" s="81" t="s">
        <v>144</v>
      </c>
      <c r="C19" s="81"/>
      <c r="D19" s="86">
        <v>1.9447000000000001</v>
      </c>
      <c r="E19" s="86">
        <v>1.8537999999999999</v>
      </c>
      <c r="F19" s="86">
        <v>3.4607999999999999</v>
      </c>
      <c r="G19" s="86">
        <v>3.1838000000000002</v>
      </c>
      <c r="H19" s="86">
        <v>6.3140000000000001</v>
      </c>
      <c r="I19" s="86">
        <v>9.6826000000000008</v>
      </c>
      <c r="J19" s="86">
        <v>2.7724000000000002</v>
      </c>
      <c r="K19" s="86">
        <v>7.4709000000000003</v>
      </c>
      <c r="L19" s="86">
        <v>5.4215999999999998</v>
      </c>
      <c r="M19" s="86">
        <v>240.2123</v>
      </c>
      <c r="N19" s="86">
        <v>11.613099999999999</v>
      </c>
      <c r="O19" s="86">
        <v>10.981999999999999</v>
      </c>
      <c r="P19" s="86">
        <v>2.1</v>
      </c>
      <c r="Q19" s="86">
        <v>13.2056</v>
      </c>
      <c r="R19" s="86">
        <v>7.8960999999999997</v>
      </c>
      <c r="S19" s="86">
        <v>20.179200000000002</v>
      </c>
      <c r="T19" s="86">
        <v>7.8144999999999998</v>
      </c>
      <c r="U19" s="86">
        <v>9.2824000000000009</v>
      </c>
      <c r="V19" s="86">
        <v>11.154</v>
      </c>
      <c r="W19" s="86">
        <v>7.3017000000000003</v>
      </c>
    </row>
    <row r="20" spans="1:23" x14ac:dyDescent="0.25">
      <c r="A20" s="87">
        <v>11</v>
      </c>
      <c r="B20" s="88" t="s">
        <v>145</v>
      </c>
      <c r="C20" s="88"/>
      <c r="D20" s="89">
        <v>7.0503999999999998</v>
      </c>
      <c r="E20" s="89">
        <v>6.0781999999999998</v>
      </c>
      <c r="F20" s="89">
        <v>12.8688</v>
      </c>
      <c r="G20" s="89">
        <v>12.242100000000001</v>
      </c>
      <c r="H20" s="89">
        <v>18.675000000000001</v>
      </c>
      <c r="I20" s="89">
        <v>45.138500000000001</v>
      </c>
      <c r="J20" s="89">
        <v>7.4051999999999998</v>
      </c>
      <c r="K20" s="89">
        <v>26.831900000000001</v>
      </c>
      <c r="L20" s="89">
        <v>24.884599999999999</v>
      </c>
      <c r="M20" s="89">
        <v>17.9909</v>
      </c>
      <c r="N20" s="89">
        <v>569.61440000000005</v>
      </c>
      <c r="O20" s="89">
        <v>87.227500000000006</v>
      </c>
      <c r="P20" s="89">
        <v>17.706099999999999</v>
      </c>
      <c r="Q20" s="89">
        <v>17.736000000000001</v>
      </c>
      <c r="R20" s="89">
        <v>19.602799999999998</v>
      </c>
      <c r="S20" s="89">
        <v>86.410700000000006</v>
      </c>
      <c r="T20" s="89">
        <v>11.142300000000001</v>
      </c>
      <c r="U20" s="89">
        <v>15.451499999999999</v>
      </c>
      <c r="V20" s="89">
        <v>21.239899999999999</v>
      </c>
      <c r="W20" s="89">
        <v>18.036100000000001</v>
      </c>
    </row>
    <row r="21" spans="1:23" x14ac:dyDescent="0.25">
      <c r="A21" s="83">
        <v>12</v>
      </c>
      <c r="B21" s="77" t="s">
        <v>146</v>
      </c>
      <c r="C21" s="77"/>
      <c r="D21" s="84">
        <v>1.8807</v>
      </c>
      <c r="E21" s="84">
        <v>2.6215000000000002</v>
      </c>
      <c r="F21" s="84">
        <v>5.6026999999999996</v>
      </c>
      <c r="G21" s="84">
        <v>6.4756</v>
      </c>
      <c r="H21" s="84">
        <v>9.2577999999999996</v>
      </c>
      <c r="I21" s="84">
        <v>84.203800000000001</v>
      </c>
      <c r="J21" s="84">
        <v>3.8374999999999999</v>
      </c>
      <c r="K21" s="84">
        <v>30.3049</v>
      </c>
      <c r="L21" s="84">
        <v>56.901200000000003</v>
      </c>
      <c r="M21" s="84">
        <v>12.894299999999999</v>
      </c>
      <c r="N21" s="84">
        <v>11.6105</v>
      </c>
      <c r="O21" s="84">
        <v>506.52710000000002</v>
      </c>
      <c r="P21" s="84">
        <v>1.8225</v>
      </c>
      <c r="Q21" s="84">
        <v>15.0921</v>
      </c>
      <c r="R21" s="84">
        <v>12.981299999999999</v>
      </c>
      <c r="S21" s="84">
        <v>13.1746</v>
      </c>
      <c r="T21" s="84">
        <v>13.436400000000001</v>
      </c>
      <c r="U21" s="84">
        <v>18.420999999999999</v>
      </c>
      <c r="V21" s="84">
        <v>22.380800000000001</v>
      </c>
      <c r="W21" s="84">
        <v>33.795099999999998</v>
      </c>
    </row>
    <row r="22" spans="1:23" x14ac:dyDescent="0.25">
      <c r="A22" s="83">
        <v>13</v>
      </c>
      <c r="B22" s="77" t="s">
        <v>13</v>
      </c>
      <c r="C22" s="77"/>
      <c r="D22" s="84">
        <v>0</v>
      </c>
      <c r="E22" s="84">
        <v>0</v>
      </c>
      <c r="F22" s="84">
        <v>0</v>
      </c>
      <c r="G22" s="84">
        <v>0</v>
      </c>
      <c r="H22" s="84">
        <v>0</v>
      </c>
      <c r="I22" s="84">
        <v>0</v>
      </c>
      <c r="J22" s="84">
        <v>0</v>
      </c>
      <c r="K22" s="84">
        <v>0</v>
      </c>
      <c r="L22" s="84">
        <v>0</v>
      </c>
      <c r="M22" s="84">
        <v>0</v>
      </c>
      <c r="N22" s="84">
        <v>0</v>
      </c>
      <c r="O22" s="84">
        <v>0</v>
      </c>
      <c r="P22" s="84">
        <v>828.4085</v>
      </c>
      <c r="Q22" s="84">
        <v>0</v>
      </c>
      <c r="R22" s="84">
        <v>0</v>
      </c>
      <c r="S22" s="84">
        <v>0</v>
      </c>
      <c r="T22" s="84">
        <v>0</v>
      </c>
      <c r="U22" s="84">
        <v>0</v>
      </c>
      <c r="V22" s="84">
        <v>0</v>
      </c>
      <c r="W22" s="84">
        <v>0</v>
      </c>
    </row>
    <row r="23" spans="1:23" x14ac:dyDescent="0.25">
      <c r="A23" s="83">
        <v>14</v>
      </c>
      <c r="B23" s="77" t="s">
        <v>14</v>
      </c>
      <c r="C23" s="77"/>
      <c r="D23" s="84">
        <v>6.4905999999999997</v>
      </c>
      <c r="E23" s="84">
        <v>5.8441000000000001</v>
      </c>
      <c r="F23" s="84">
        <v>6.3539000000000003</v>
      </c>
      <c r="G23" s="84">
        <v>18.785299999999999</v>
      </c>
      <c r="H23" s="84">
        <v>15.84</v>
      </c>
      <c r="I23" s="84">
        <v>24.5352</v>
      </c>
      <c r="J23" s="84">
        <v>5.85</v>
      </c>
      <c r="K23" s="84">
        <v>27.157299999999999</v>
      </c>
      <c r="L23" s="84">
        <v>15.327</v>
      </c>
      <c r="M23" s="84">
        <v>26.940300000000001</v>
      </c>
      <c r="N23" s="84">
        <v>16.6995</v>
      </c>
      <c r="O23" s="84">
        <v>38.709299999999999</v>
      </c>
      <c r="P23" s="84">
        <v>10.145200000000001</v>
      </c>
      <c r="Q23" s="84">
        <v>462.27449999999999</v>
      </c>
      <c r="R23" s="84">
        <v>18.880800000000001</v>
      </c>
      <c r="S23" s="84">
        <v>22.6402</v>
      </c>
      <c r="T23" s="84">
        <v>13.1015</v>
      </c>
      <c r="U23" s="84">
        <v>12.7661</v>
      </c>
      <c r="V23" s="84">
        <v>21.710699999999999</v>
      </c>
      <c r="W23" s="84">
        <v>17.435600000000001</v>
      </c>
    </row>
    <row r="24" spans="1:23" x14ac:dyDescent="0.25">
      <c r="A24" s="83">
        <v>15</v>
      </c>
      <c r="B24" s="77" t="s">
        <v>15</v>
      </c>
      <c r="C24" s="77"/>
      <c r="D24" s="84">
        <v>2.1686999999999999</v>
      </c>
      <c r="E24" s="84">
        <v>4.2720000000000002</v>
      </c>
      <c r="F24" s="84">
        <v>9.4158000000000008</v>
      </c>
      <c r="G24" s="84">
        <v>9.8545999999999996</v>
      </c>
      <c r="H24" s="84">
        <v>10.2529</v>
      </c>
      <c r="I24" s="84">
        <v>19.479299999999999</v>
      </c>
      <c r="J24" s="84">
        <v>9.0595999999999997</v>
      </c>
      <c r="K24" s="84">
        <v>14.1843</v>
      </c>
      <c r="L24" s="84">
        <v>12.853999999999999</v>
      </c>
      <c r="M24" s="84">
        <v>16.042100000000001</v>
      </c>
      <c r="N24" s="84">
        <v>8.0678999999999998</v>
      </c>
      <c r="O24" s="84">
        <v>35.265900000000002</v>
      </c>
      <c r="P24" s="84">
        <v>9.8554999999999993</v>
      </c>
      <c r="Q24" s="84">
        <v>10.1128</v>
      </c>
      <c r="R24" s="84">
        <v>651.58789999999999</v>
      </c>
      <c r="S24" s="84">
        <v>18.3811</v>
      </c>
      <c r="T24" s="84">
        <v>10.587899999999999</v>
      </c>
      <c r="U24" s="84">
        <v>18.8565</v>
      </c>
      <c r="V24" s="84">
        <v>18.855399999999999</v>
      </c>
      <c r="W24" s="84">
        <v>11.957599999999999</v>
      </c>
    </row>
    <row r="25" spans="1:23" x14ac:dyDescent="0.25">
      <c r="A25" s="83">
        <v>16</v>
      </c>
      <c r="B25" s="77" t="s">
        <v>147</v>
      </c>
      <c r="C25" s="77"/>
      <c r="D25" s="84">
        <v>0.32290000000000002</v>
      </c>
      <c r="E25" s="84">
        <v>0.22</v>
      </c>
      <c r="F25" s="84">
        <v>1.0529999999999999</v>
      </c>
      <c r="G25" s="84">
        <v>1.1638999999999999</v>
      </c>
      <c r="H25" s="84">
        <v>1.0483</v>
      </c>
      <c r="I25" s="84">
        <v>3.9944000000000002</v>
      </c>
      <c r="J25" s="84">
        <v>0.66659999999999997</v>
      </c>
      <c r="K25" s="84">
        <v>1.9236</v>
      </c>
      <c r="L25" s="84">
        <v>2.2957999999999998</v>
      </c>
      <c r="M25" s="84">
        <v>1.8044</v>
      </c>
      <c r="N25" s="84">
        <v>1.1391</v>
      </c>
      <c r="O25" s="84">
        <v>4.0521000000000003</v>
      </c>
      <c r="P25" s="84">
        <v>0.26529999999999998</v>
      </c>
      <c r="Q25" s="84">
        <v>1.698</v>
      </c>
      <c r="R25" s="84">
        <v>0.89</v>
      </c>
      <c r="S25" s="84">
        <v>328.56830000000002</v>
      </c>
      <c r="T25" s="84">
        <v>0.83160000000000001</v>
      </c>
      <c r="U25" s="84">
        <v>1.0642</v>
      </c>
      <c r="V25" s="84">
        <v>3.9036</v>
      </c>
      <c r="W25" s="84">
        <v>1.5679000000000001</v>
      </c>
    </row>
    <row r="26" spans="1:23" x14ac:dyDescent="0.25">
      <c r="A26" s="83">
        <v>17</v>
      </c>
      <c r="B26" s="77" t="s">
        <v>16</v>
      </c>
      <c r="C26" s="77"/>
      <c r="D26" s="84">
        <v>0.31540000000000001</v>
      </c>
      <c r="E26" s="84">
        <v>0.30409999999999998</v>
      </c>
      <c r="F26" s="84">
        <v>0.42020000000000002</v>
      </c>
      <c r="G26" s="84">
        <v>0.53610000000000002</v>
      </c>
      <c r="H26" s="84">
        <v>0.87450000000000006</v>
      </c>
      <c r="I26" s="84">
        <v>1.9178999999999999</v>
      </c>
      <c r="J26" s="84">
        <v>0.442</v>
      </c>
      <c r="K26" s="84">
        <v>2.4045000000000001</v>
      </c>
      <c r="L26" s="84">
        <v>1.4178999999999999</v>
      </c>
      <c r="M26" s="84">
        <v>1.8956999999999999</v>
      </c>
      <c r="N26" s="84">
        <v>1.0764</v>
      </c>
      <c r="O26" s="84">
        <v>2.0171999999999999</v>
      </c>
      <c r="P26" s="84">
        <v>0.35349999999999998</v>
      </c>
      <c r="Q26" s="84">
        <v>1.7412000000000001</v>
      </c>
      <c r="R26" s="84">
        <v>1.2784</v>
      </c>
      <c r="S26" s="84">
        <v>5.1277999999999997</v>
      </c>
      <c r="T26" s="84">
        <v>727.4615</v>
      </c>
      <c r="U26" s="84">
        <v>1.2898000000000001</v>
      </c>
      <c r="V26" s="84">
        <v>1.7692000000000001</v>
      </c>
      <c r="W26" s="84">
        <v>1.5268999999999999</v>
      </c>
    </row>
    <row r="27" spans="1:23" x14ac:dyDescent="0.25">
      <c r="A27" s="83">
        <v>18</v>
      </c>
      <c r="B27" s="77" t="s">
        <v>17</v>
      </c>
      <c r="C27" s="77"/>
      <c r="D27" s="84">
        <v>0.15210000000000001</v>
      </c>
      <c r="E27" s="84">
        <v>0.12620000000000001</v>
      </c>
      <c r="F27" s="84">
        <v>0.30330000000000001</v>
      </c>
      <c r="G27" s="84">
        <v>0.42070000000000002</v>
      </c>
      <c r="H27" s="84">
        <v>0.44640000000000002</v>
      </c>
      <c r="I27" s="84">
        <v>1.2404999999999999</v>
      </c>
      <c r="J27" s="84">
        <v>0.3034</v>
      </c>
      <c r="K27" s="84">
        <v>0.91120000000000001</v>
      </c>
      <c r="L27" s="84">
        <v>0.92369999999999997</v>
      </c>
      <c r="M27" s="84">
        <v>0.76429999999999998</v>
      </c>
      <c r="N27" s="84">
        <v>0.65069999999999995</v>
      </c>
      <c r="O27" s="84">
        <v>1.0969</v>
      </c>
      <c r="P27" s="84">
        <v>0.2021</v>
      </c>
      <c r="Q27" s="84">
        <v>3.5903999999999998</v>
      </c>
      <c r="R27" s="84">
        <v>1.5934999999999999</v>
      </c>
      <c r="S27" s="84">
        <v>5.6769999999999996</v>
      </c>
      <c r="T27" s="84">
        <v>1.101</v>
      </c>
      <c r="U27" s="84">
        <v>590.04560000000004</v>
      </c>
      <c r="V27" s="84">
        <v>20.0565</v>
      </c>
      <c r="W27" s="84">
        <v>3.7940999999999998</v>
      </c>
    </row>
    <row r="28" spans="1:23" x14ac:dyDescent="0.25">
      <c r="A28" s="83">
        <v>19</v>
      </c>
      <c r="B28" s="77" t="s">
        <v>148</v>
      </c>
      <c r="C28" s="77"/>
      <c r="D28" s="84">
        <v>9.8799999999999999E-2</v>
      </c>
      <c r="E28" s="84">
        <v>9.8100000000000007E-2</v>
      </c>
      <c r="F28" s="84">
        <v>0.20100000000000001</v>
      </c>
      <c r="G28" s="84">
        <v>0.90539999999999998</v>
      </c>
      <c r="H28" s="84">
        <v>0.41660000000000003</v>
      </c>
      <c r="I28" s="84">
        <v>2.3161</v>
      </c>
      <c r="J28" s="84">
        <v>0.25800000000000001</v>
      </c>
      <c r="K28" s="84">
        <v>1.0443</v>
      </c>
      <c r="L28" s="84">
        <v>0.9304</v>
      </c>
      <c r="M28" s="84">
        <v>1.0336000000000001</v>
      </c>
      <c r="N28" s="84">
        <v>1.4530000000000001</v>
      </c>
      <c r="O28" s="84">
        <v>0.89339999999999997</v>
      </c>
      <c r="P28" s="84">
        <v>0.1918</v>
      </c>
      <c r="Q28" s="84">
        <v>0.81779999999999997</v>
      </c>
      <c r="R28" s="84">
        <v>1.3563000000000001</v>
      </c>
      <c r="S28" s="84">
        <v>0.79379999999999995</v>
      </c>
      <c r="T28" s="84">
        <v>5.5598000000000001</v>
      </c>
      <c r="U28" s="84">
        <v>0.72689999999999999</v>
      </c>
      <c r="V28" s="84">
        <v>573.48320000000001</v>
      </c>
      <c r="W28" s="84">
        <v>1.4724999999999999</v>
      </c>
    </row>
    <row r="29" spans="1:23" x14ac:dyDescent="0.25">
      <c r="A29" s="85">
        <v>20</v>
      </c>
      <c r="B29" s="81" t="s">
        <v>149</v>
      </c>
      <c r="C29" s="81"/>
      <c r="D29" s="86">
        <v>0.24529999999999999</v>
      </c>
      <c r="E29" s="86">
        <v>0.2802</v>
      </c>
      <c r="F29" s="86">
        <v>0.95209999999999995</v>
      </c>
      <c r="G29" s="86">
        <v>1.0651999999999999</v>
      </c>
      <c r="H29" s="86">
        <v>0.65849999999999997</v>
      </c>
      <c r="I29" s="86">
        <v>2.2978999999999998</v>
      </c>
      <c r="J29" s="86">
        <v>0.94240000000000002</v>
      </c>
      <c r="K29" s="86">
        <v>6.7077</v>
      </c>
      <c r="L29" s="86">
        <v>1.2884</v>
      </c>
      <c r="M29" s="86">
        <v>1.6818</v>
      </c>
      <c r="N29" s="86">
        <v>1.1983999999999999</v>
      </c>
      <c r="O29" s="86">
        <v>1.875</v>
      </c>
      <c r="P29" s="86">
        <v>1.9775</v>
      </c>
      <c r="Q29" s="86">
        <v>1.4550000000000001</v>
      </c>
      <c r="R29" s="86">
        <v>2.8513999999999999</v>
      </c>
      <c r="S29" s="86">
        <v>4.7362000000000002</v>
      </c>
      <c r="T29" s="86">
        <v>4.7709000000000001</v>
      </c>
      <c r="U29" s="86">
        <v>4.5506000000000002</v>
      </c>
      <c r="V29" s="86">
        <v>11.471299999999999</v>
      </c>
      <c r="W29" s="86">
        <v>621.90899999999999</v>
      </c>
    </row>
    <row r="30" spans="1:23" ht="20" thickBot="1" x14ac:dyDescent="0.3">
      <c r="A30" s="90" t="s">
        <v>24</v>
      </c>
      <c r="B30" s="91" t="s">
        <v>82</v>
      </c>
      <c r="C30" s="91"/>
      <c r="D30" s="92">
        <v>425.77620000000002</v>
      </c>
      <c r="E30" s="92">
        <v>401.37439999999998</v>
      </c>
      <c r="F30" s="92">
        <v>475.61</v>
      </c>
      <c r="G30" s="92">
        <v>590.20820000000003</v>
      </c>
      <c r="H30" s="92">
        <v>570.67529999999999</v>
      </c>
      <c r="I30" s="92">
        <v>755.60979999999995</v>
      </c>
      <c r="J30" s="92">
        <v>424.72859999999997</v>
      </c>
      <c r="K30" s="92">
        <v>758.0752</v>
      </c>
      <c r="L30" s="92">
        <v>574.13329999999996</v>
      </c>
      <c r="M30" s="92">
        <v>393.26260000000002</v>
      </c>
      <c r="N30" s="92">
        <v>645.93640000000005</v>
      </c>
      <c r="O30" s="92">
        <v>774.49390000000005</v>
      </c>
      <c r="P30" s="92">
        <v>932.67489999999998</v>
      </c>
      <c r="Q30" s="92">
        <v>595.86410000000001</v>
      </c>
      <c r="R30" s="92">
        <v>768.98490000000004</v>
      </c>
      <c r="S30" s="92">
        <v>596.53589999999997</v>
      </c>
      <c r="T30" s="92">
        <v>839.86789999999996</v>
      </c>
      <c r="U30" s="92">
        <v>737.3922</v>
      </c>
      <c r="V30" s="92">
        <v>771.33100000000002</v>
      </c>
      <c r="W30" s="92">
        <v>777.12239999999997</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91C69-02A4-420E-943D-D4340B937C9F}">
  <dimension ref="A1:L29"/>
  <sheetViews>
    <sheetView workbookViewId="0">
      <pane xSplit="3" ySplit="9" topLeftCell="D10" activePane="bottomRight" state="frozenSplit"/>
      <selection activeCell="J21" sqref="J21"/>
      <selection pane="topRight" activeCell="J21" sqref="J21"/>
      <selection pane="bottomLeft" activeCell="J21" sqref="J21"/>
      <selection pane="bottomRight" activeCell="H26" sqref="H26"/>
    </sheetView>
  </sheetViews>
  <sheetFormatPr baseColWidth="10" defaultColWidth="8.83203125" defaultRowHeight="19" x14ac:dyDescent="0.25"/>
  <cols>
    <col min="1" max="1" width="4.6640625" style="78" customWidth="1"/>
    <col min="2" max="2" width="40.6640625" style="78" customWidth="1"/>
    <col min="3" max="3" width="8.83203125" style="78"/>
    <col min="4" max="9" width="12.6640625" style="78" customWidth="1"/>
    <col min="10" max="16384" width="8.83203125" style="78"/>
  </cols>
  <sheetData>
    <row r="1" spans="1:12" x14ac:dyDescent="0.25">
      <c r="A1" s="77" t="s">
        <v>95</v>
      </c>
      <c r="B1" s="77"/>
      <c r="C1" s="77"/>
      <c r="D1" s="77"/>
      <c r="E1" s="77"/>
      <c r="F1" s="77"/>
      <c r="G1" s="77"/>
      <c r="H1" s="77"/>
      <c r="I1" s="77"/>
    </row>
    <row r="2" spans="1:12" x14ac:dyDescent="0.25">
      <c r="A2" s="77"/>
      <c r="B2" s="77"/>
      <c r="C2" s="77"/>
      <c r="D2" s="77"/>
      <c r="E2" s="77"/>
      <c r="F2" s="77"/>
      <c r="G2" s="77"/>
      <c r="H2" s="77"/>
      <c r="I2" s="77"/>
    </row>
    <row r="3" spans="1:12" x14ac:dyDescent="0.25">
      <c r="A3" s="77"/>
      <c r="B3" s="77"/>
      <c r="C3" s="77"/>
      <c r="D3" s="77"/>
      <c r="E3" s="77"/>
      <c r="F3" s="77"/>
      <c r="G3" s="77"/>
      <c r="H3" s="77"/>
      <c r="I3" s="77"/>
    </row>
    <row r="4" spans="1:12" ht="20" thickBot="1" x14ac:dyDescent="0.3">
      <c r="A4" s="79"/>
      <c r="B4" s="79"/>
      <c r="C4" s="79"/>
      <c r="D4" s="79"/>
      <c r="E4" s="79"/>
      <c r="F4" s="79"/>
      <c r="G4" s="79"/>
      <c r="H4" s="79"/>
      <c r="I4" s="79"/>
    </row>
    <row r="5" spans="1:12" x14ac:dyDescent="0.25">
      <c r="A5" s="77"/>
      <c r="B5" s="77"/>
      <c r="C5" s="77"/>
      <c r="D5" s="77"/>
      <c r="E5" s="77"/>
      <c r="F5" s="77"/>
      <c r="G5" s="77"/>
      <c r="H5" s="77"/>
      <c r="I5" s="77"/>
    </row>
    <row r="6" spans="1:12" ht="80.25" customHeight="1" x14ac:dyDescent="0.25">
      <c r="A6" s="77"/>
      <c r="B6" s="77"/>
      <c r="C6" s="80"/>
      <c r="D6" s="80" t="s">
        <v>96</v>
      </c>
      <c r="E6" s="80" t="s">
        <v>62</v>
      </c>
      <c r="F6" s="80" t="s">
        <v>49</v>
      </c>
      <c r="G6" s="80" t="s">
        <v>50</v>
      </c>
      <c r="H6" s="80" t="s">
        <v>51</v>
      </c>
      <c r="I6" s="80" t="s">
        <v>82</v>
      </c>
    </row>
    <row r="7" spans="1:12" x14ac:dyDescent="0.25">
      <c r="A7" s="77"/>
      <c r="B7" s="77"/>
      <c r="C7" s="81"/>
      <c r="D7" s="81"/>
      <c r="E7" s="81"/>
      <c r="F7" s="81"/>
      <c r="G7" s="81"/>
      <c r="H7" s="81"/>
      <c r="I7" s="81"/>
    </row>
    <row r="8" spans="1:12" x14ac:dyDescent="0.25">
      <c r="A8" s="77"/>
      <c r="B8" s="77"/>
      <c r="C8" s="77"/>
      <c r="D8" s="77"/>
      <c r="E8" s="77"/>
      <c r="F8" s="77"/>
      <c r="G8" s="77"/>
      <c r="H8" s="77"/>
      <c r="I8" s="77"/>
    </row>
    <row r="9" spans="1:12" ht="20" thickBot="1" x14ac:dyDescent="0.3">
      <c r="A9" s="82"/>
      <c r="B9" s="79"/>
      <c r="C9" s="79"/>
      <c r="D9" s="82">
        <v>1</v>
      </c>
      <c r="E9" s="82">
        <v>2</v>
      </c>
      <c r="F9" s="82">
        <v>3</v>
      </c>
      <c r="G9" s="82">
        <v>4</v>
      </c>
      <c r="H9" s="82">
        <v>5</v>
      </c>
      <c r="I9" s="82"/>
    </row>
    <row r="10" spans="1:12" x14ac:dyDescent="0.25">
      <c r="A10" s="83">
        <v>1</v>
      </c>
      <c r="B10" s="77" t="s">
        <v>140</v>
      </c>
      <c r="C10" s="77"/>
      <c r="D10" s="84">
        <v>568.774</v>
      </c>
      <c r="E10" s="84">
        <v>5.4499000000000004</v>
      </c>
      <c r="F10" s="84">
        <v>177.92339999999999</v>
      </c>
      <c r="G10" s="84">
        <v>11.6098</v>
      </c>
      <c r="H10" s="84">
        <v>236.24299999999999</v>
      </c>
      <c r="I10" s="84">
        <v>1000</v>
      </c>
      <c r="L10" s="97"/>
    </row>
    <row r="11" spans="1:12" x14ac:dyDescent="0.25">
      <c r="A11" s="83">
        <v>2</v>
      </c>
      <c r="B11" s="77" t="s">
        <v>8</v>
      </c>
      <c r="C11" s="77"/>
      <c r="D11" s="84">
        <v>597.7002</v>
      </c>
      <c r="E11" s="84">
        <v>0.9254</v>
      </c>
      <c r="F11" s="84">
        <v>91.457599999999999</v>
      </c>
      <c r="G11" s="84">
        <v>2.5564</v>
      </c>
      <c r="H11" s="84">
        <v>307.36040000000003</v>
      </c>
      <c r="I11" s="84">
        <v>1000</v>
      </c>
      <c r="L11" s="97"/>
    </row>
    <row r="12" spans="1:12" x14ac:dyDescent="0.25">
      <c r="A12" s="83">
        <v>3</v>
      </c>
      <c r="B12" s="77" t="s">
        <v>9</v>
      </c>
      <c r="C12" s="77"/>
      <c r="D12" s="84">
        <v>512.90219999999999</v>
      </c>
      <c r="E12" s="84">
        <v>11.4878</v>
      </c>
      <c r="F12" s="84">
        <v>121.7542</v>
      </c>
      <c r="G12" s="84">
        <v>14.3575</v>
      </c>
      <c r="H12" s="84">
        <v>339.49829999999997</v>
      </c>
      <c r="I12" s="84">
        <v>1000</v>
      </c>
      <c r="L12" s="97"/>
    </row>
    <row r="13" spans="1:12" x14ac:dyDescent="0.25">
      <c r="A13" s="83">
        <v>4</v>
      </c>
      <c r="B13" s="77" t="s">
        <v>10</v>
      </c>
      <c r="C13" s="77"/>
      <c r="D13" s="84">
        <v>408.161</v>
      </c>
      <c r="E13" s="84">
        <v>1.6308</v>
      </c>
      <c r="F13" s="84">
        <v>367.70639999999997</v>
      </c>
      <c r="G13" s="84">
        <v>37.596699999999998</v>
      </c>
      <c r="H13" s="84">
        <v>184.905</v>
      </c>
      <c r="I13" s="84">
        <v>1000</v>
      </c>
      <c r="L13" s="97"/>
    </row>
    <row r="14" spans="1:12" x14ac:dyDescent="0.25">
      <c r="A14" s="83">
        <v>5</v>
      </c>
      <c r="B14" s="77" t="s">
        <v>11</v>
      </c>
      <c r="C14" s="77"/>
      <c r="D14" s="84">
        <v>427.72449999999998</v>
      </c>
      <c r="E14" s="84">
        <v>1.6002000000000001</v>
      </c>
      <c r="F14" s="84">
        <v>130.54499999999999</v>
      </c>
      <c r="G14" s="84">
        <v>0.6401</v>
      </c>
      <c r="H14" s="84">
        <v>439.49029999999999</v>
      </c>
      <c r="I14" s="84">
        <v>1000</v>
      </c>
      <c r="L14" s="97"/>
    </row>
    <row r="15" spans="1:12" x14ac:dyDescent="0.25">
      <c r="A15" s="83">
        <v>6</v>
      </c>
      <c r="B15" s="77" t="s">
        <v>12</v>
      </c>
      <c r="C15" s="77"/>
      <c r="D15" s="84">
        <v>238.99209999999999</v>
      </c>
      <c r="E15" s="84">
        <v>5.3982000000000001</v>
      </c>
      <c r="F15" s="84">
        <v>413.85140000000001</v>
      </c>
      <c r="G15" s="84">
        <v>4.9226999999999999</v>
      </c>
      <c r="H15" s="84">
        <v>336.8356</v>
      </c>
      <c r="I15" s="84">
        <v>1000</v>
      </c>
      <c r="L15" s="97"/>
    </row>
    <row r="16" spans="1:12" x14ac:dyDescent="0.25">
      <c r="A16" s="83">
        <v>7</v>
      </c>
      <c r="B16" s="77" t="s">
        <v>141</v>
      </c>
      <c r="C16" s="77"/>
      <c r="D16" s="84">
        <v>572.50480000000005</v>
      </c>
      <c r="E16" s="84">
        <v>2.7665999999999999</v>
      </c>
      <c r="F16" s="84">
        <v>93.003699999999995</v>
      </c>
      <c r="G16" s="84">
        <v>2.3226</v>
      </c>
      <c r="H16" s="84">
        <v>329.40230000000003</v>
      </c>
      <c r="I16" s="84">
        <v>1000</v>
      </c>
      <c r="L16" s="97"/>
    </row>
    <row r="17" spans="1:12" x14ac:dyDescent="0.25">
      <c r="A17" s="83">
        <v>8</v>
      </c>
      <c r="B17" s="77" t="s">
        <v>142</v>
      </c>
      <c r="C17" s="77"/>
      <c r="D17" s="84">
        <v>235.72829999999999</v>
      </c>
      <c r="E17" s="84">
        <v>6.1965000000000003</v>
      </c>
      <c r="F17" s="84">
        <v>332.78030000000001</v>
      </c>
      <c r="G17" s="84">
        <v>16.8687</v>
      </c>
      <c r="H17" s="84">
        <v>408.42630000000003</v>
      </c>
      <c r="I17" s="84">
        <v>1000</v>
      </c>
      <c r="L17" s="97"/>
    </row>
    <row r="18" spans="1:12" x14ac:dyDescent="0.25">
      <c r="A18" s="83">
        <v>9</v>
      </c>
      <c r="B18" s="77" t="s">
        <v>143</v>
      </c>
      <c r="C18" s="77"/>
      <c r="D18" s="84">
        <v>395.59390000000002</v>
      </c>
      <c r="E18" s="84">
        <v>30.2728</v>
      </c>
      <c r="F18" s="84">
        <v>341.4572</v>
      </c>
      <c r="G18" s="84">
        <v>-8.4449000000000005</v>
      </c>
      <c r="H18" s="84">
        <v>241.12100000000001</v>
      </c>
      <c r="I18" s="84">
        <v>1000</v>
      </c>
      <c r="L18" s="97"/>
    </row>
    <row r="19" spans="1:12" x14ac:dyDescent="0.25">
      <c r="A19" s="85">
        <v>10</v>
      </c>
      <c r="B19" s="81" t="s">
        <v>144</v>
      </c>
      <c r="C19" s="81"/>
      <c r="D19" s="86">
        <v>599.65430000000003</v>
      </c>
      <c r="E19" s="86">
        <v>7.0831</v>
      </c>
      <c r="F19" s="86">
        <v>227.7929</v>
      </c>
      <c r="G19" s="86">
        <v>1.024</v>
      </c>
      <c r="H19" s="86">
        <v>164.44579999999999</v>
      </c>
      <c r="I19" s="86">
        <v>1000</v>
      </c>
      <c r="L19" s="97"/>
    </row>
    <row r="20" spans="1:12" x14ac:dyDescent="0.25">
      <c r="A20" s="87">
        <v>11</v>
      </c>
      <c r="B20" s="88" t="s">
        <v>145</v>
      </c>
      <c r="C20" s="88"/>
      <c r="D20" s="89">
        <v>341.67399999999998</v>
      </c>
      <c r="E20" s="89">
        <v>12.3896</v>
      </c>
      <c r="F20" s="89">
        <v>281.13240000000002</v>
      </c>
      <c r="G20" s="89">
        <v>0.40500000000000003</v>
      </c>
      <c r="H20" s="89">
        <v>364.39909999999998</v>
      </c>
      <c r="I20" s="89">
        <v>1000</v>
      </c>
      <c r="L20" s="97"/>
    </row>
    <row r="21" spans="1:12" x14ac:dyDescent="0.25">
      <c r="A21" s="83">
        <v>12</v>
      </c>
      <c r="B21" s="77" t="s">
        <v>146</v>
      </c>
      <c r="C21" s="77"/>
      <c r="D21" s="84">
        <v>211.7166</v>
      </c>
      <c r="E21" s="84">
        <v>13.7895</v>
      </c>
      <c r="F21" s="84">
        <v>229.364</v>
      </c>
      <c r="G21" s="84">
        <v>50.318800000000003</v>
      </c>
      <c r="H21" s="84">
        <v>494.81110000000001</v>
      </c>
      <c r="I21" s="84">
        <v>1000</v>
      </c>
      <c r="L21" s="97"/>
    </row>
    <row r="22" spans="1:12" x14ac:dyDescent="0.25">
      <c r="A22" s="83">
        <v>13</v>
      </c>
      <c r="B22" s="77" t="s">
        <v>13</v>
      </c>
      <c r="C22" s="77"/>
      <c r="D22" s="84">
        <v>66.652699999999996</v>
      </c>
      <c r="E22" s="84">
        <v>0.67230000000000001</v>
      </c>
      <c r="F22" s="84">
        <v>60.352400000000003</v>
      </c>
      <c r="G22" s="84">
        <v>49.475999999999999</v>
      </c>
      <c r="H22" s="84">
        <v>822.84649999999999</v>
      </c>
      <c r="I22" s="84">
        <v>1000</v>
      </c>
      <c r="L22" s="97"/>
    </row>
    <row r="23" spans="1:12" x14ac:dyDescent="0.25">
      <c r="A23" s="83">
        <v>14</v>
      </c>
      <c r="B23" s="77" t="s">
        <v>14</v>
      </c>
      <c r="C23" s="77"/>
      <c r="D23" s="84">
        <v>400.31670000000003</v>
      </c>
      <c r="E23" s="84">
        <v>3.8191999999999999</v>
      </c>
      <c r="F23" s="84">
        <v>416.59609999999998</v>
      </c>
      <c r="G23" s="84">
        <v>-3.3431000000000002</v>
      </c>
      <c r="H23" s="84">
        <v>182.6112</v>
      </c>
      <c r="I23" s="84">
        <v>1000</v>
      </c>
      <c r="L23" s="97"/>
    </row>
    <row r="24" spans="1:12" x14ac:dyDescent="0.25">
      <c r="A24" s="83">
        <v>15</v>
      </c>
      <c r="B24" s="77" t="s">
        <v>15</v>
      </c>
      <c r="C24" s="77"/>
      <c r="D24" s="84">
        <v>228.5214</v>
      </c>
      <c r="E24" s="84">
        <v>2.4935999999999998</v>
      </c>
      <c r="F24" s="84">
        <v>390.18639999999999</v>
      </c>
      <c r="G24" s="84">
        <v>-3.6402000000000001</v>
      </c>
      <c r="H24" s="84">
        <v>382.43869999999998</v>
      </c>
      <c r="I24" s="84">
        <v>1000</v>
      </c>
      <c r="L24" s="97"/>
    </row>
    <row r="25" spans="1:12" x14ac:dyDescent="0.25">
      <c r="A25" s="83">
        <v>16</v>
      </c>
      <c r="B25" s="77" t="s">
        <v>147</v>
      </c>
      <c r="C25" s="77"/>
      <c r="D25" s="84">
        <v>395.08510000000001</v>
      </c>
      <c r="E25" s="84">
        <v>8.3789999999999996</v>
      </c>
      <c r="F25" s="84">
        <v>430.05309999999997</v>
      </c>
      <c r="G25" s="84">
        <v>2.4901</v>
      </c>
      <c r="H25" s="84">
        <v>163.99270000000001</v>
      </c>
      <c r="I25" s="84">
        <v>1000</v>
      </c>
      <c r="L25" s="97"/>
    </row>
    <row r="26" spans="1:12" x14ac:dyDescent="0.25">
      <c r="A26" s="83">
        <v>17</v>
      </c>
      <c r="B26" s="77" t="s">
        <v>16</v>
      </c>
      <c r="C26" s="77"/>
      <c r="D26" s="84">
        <v>152.0103</v>
      </c>
      <c r="E26" s="84">
        <v>8.1218000000000004</v>
      </c>
      <c r="F26" s="84">
        <v>649.40309999999999</v>
      </c>
      <c r="G26" s="84">
        <v>-3.3942999999999999</v>
      </c>
      <c r="H26" s="84">
        <v>193.85919999999999</v>
      </c>
      <c r="I26" s="84">
        <v>1000</v>
      </c>
      <c r="L26" s="97"/>
    </row>
    <row r="27" spans="1:12" x14ac:dyDescent="0.25">
      <c r="A27" s="83">
        <v>18</v>
      </c>
      <c r="B27" s="77" t="s">
        <v>17</v>
      </c>
      <c r="C27" s="77"/>
      <c r="D27" s="84">
        <v>229.12729999999999</v>
      </c>
      <c r="E27" s="84">
        <v>33.480600000000003</v>
      </c>
      <c r="F27" s="84">
        <v>597.73540000000003</v>
      </c>
      <c r="G27" s="84">
        <v>-0.25679999999999997</v>
      </c>
      <c r="H27" s="84">
        <v>139.9136</v>
      </c>
      <c r="I27" s="84">
        <v>1000</v>
      </c>
      <c r="L27" s="97"/>
    </row>
    <row r="28" spans="1:12" x14ac:dyDescent="0.25">
      <c r="A28" s="83">
        <v>19</v>
      </c>
      <c r="B28" s="77" t="s">
        <v>148</v>
      </c>
      <c r="C28" s="77"/>
      <c r="D28" s="84">
        <v>212.14869999999999</v>
      </c>
      <c r="E28" s="84">
        <v>16.520399999999999</v>
      </c>
      <c r="F28" s="84">
        <v>385.22109999999998</v>
      </c>
      <c r="G28" s="84">
        <v>23.290099999999999</v>
      </c>
      <c r="H28" s="84">
        <v>362.81979999999999</v>
      </c>
      <c r="I28" s="84">
        <v>1000</v>
      </c>
      <c r="L28" s="97"/>
    </row>
    <row r="29" spans="1:12" ht="20" thickBot="1" x14ac:dyDescent="0.3">
      <c r="A29" s="82">
        <v>20</v>
      </c>
      <c r="B29" s="79" t="s">
        <v>149</v>
      </c>
      <c r="C29" s="79"/>
      <c r="D29" s="96">
        <v>217.55600000000001</v>
      </c>
      <c r="E29" s="96">
        <v>5.3216000000000001</v>
      </c>
      <c r="F29" s="96">
        <v>620.37609999999995</v>
      </c>
      <c r="G29" s="96">
        <v>36.468800000000002</v>
      </c>
      <c r="H29" s="96">
        <v>120.2774</v>
      </c>
      <c r="I29" s="96">
        <v>1000</v>
      </c>
      <c r="L29" s="97"/>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C89AA-63B2-498B-8B6A-9E654F393203}">
  <dimension ref="A1:K30"/>
  <sheetViews>
    <sheetView zoomScale="125" workbookViewId="0">
      <pane xSplit="3" ySplit="9" topLeftCell="D10" activePane="bottomRight" state="frozenSplit"/>
      <selection pane="topRight" activeCell="D1" sqref="D1"/>
      <selection pane="bottomLeft" activeCell="A10" sqref="A10"/>
      <selection pane="bottomRight" activeCell="D10" sqref="D10"/>
    </sheetView>
  </sheetViews>
  <sheetFormatPr baseColWidth="10" defaultColWidth="8.83203125" defaultRowHeight="15" x14ac:dyDescent="0.2"/>
  <cols>
    <col min="1" max="1" width="4.6640625" customWidth="1"/>
    <col min="2" max="2" width="40.6640625" customWidth="1"/>
    <col min="4" max="9" width="12.6640625" customWidth="1"/>
    <col min="10" max="10" width="12.5" style="48" bestFit="1" customWidth="1"/>
    <col min="11" max="11" width="20.83203125" bestFit="1" customWidth="1"/>
  </cols>
  <sheetData>
    <row r="1" spans="1:11" x14ac:dyDescent="0.2">
      <c r="A1" s="1" t="s">
        <v>113</v>
      </c>
      <c r="B1" s="1"/>
      <c r="C1" s="1"/>
      <c r="D1" s="1"/>
      <c r="E1" s="1"/>
      <c r="F1" s="1"/>
      <c r="G1" s="1"/>
      <c r="H1" s="1"/>
      <c r="I1" s="1"/>
    </row>
    <row r="2" spans="1:11" x14ac:dyDescent="0.2">
      <c r="A2" s="50" t="s">
        <v>138</v>
      </c>
      <c r="B2" s="1"/>
      <c r="C2" s="1"/>
      <c r="D2" s="1"/>
      <c r="E2" s="1"/>
      <c r="F2" s="1"/>
      <c r="G2" s="1"/>
      <c r="H2" s="1"/>
      <c r="I2" s="1"/>
    </row>
    <row r="3" spans="1:11" x14ac:dyDescent="0.2">
      <c r="A3" s="1"/>
      <c r="B3" s="1"/>
      <c r="C3" s="1"/>
      <c r="D3" s="1"/>
      <c r="E3" s="1"/>
      <c r="F3" s="1"/>
      <c r="G3" s="1"/>
      <c r="H3" s="1"/>
      <c r="I3" s="1"/>
    </row>
    <row r="4" spans="1:11" ht="16" thickBot="1" x14ac:dyDescent="0.25">
      <c r="A4" s="2"/>
      <c r="B4" s="2"/>
      <c r="C4" s="2"/>
      <c r="D4" s="2"/>
      <c r="E4" s="2"/>
      <c r="F4" s="2"/>
      <c r="G4" s="2"/>
      <c r="H4" s="2"/>
      <c r="I4" s="2"/>
    </row>
    <row r="5" spans="1:11" x14ac:dyDescent="0.2">
      <c r="A5" s="1"/>
      <c r="B5" s="1"/>
      <c r="C5" s="1"/>
      <c r="D5" s="1"/>
      <c r="E5" s="1"/>
      <c r="F5" s="1"/>
      <c r="G5" s="1"/>
      <c r="H5" s="1"/>
      <c r="I5" s="1"/>
    </row>
    <row r="6" spans="1:11" ht="80.25" customHeight="1" x14ac:dyDescent="0.2">
      <c r="A6" s="1"/>
      <c r="B6" s="1"/>
      <c r="C6" s="21"/>
      <c r="D6" s="21" t="s">
        <v>36</v>
      </c>
      <c r="E6" s="21" t="s">
        <v>37</v>
      </c>
      <c r="F6" s="21" t="s">
        <v>38</v>
      </c>
      <c r="G6" s="21" t="s">
        <v>39</v>
      </c>
      <c r="H6" s="21" t="s">
        <v>40</v>
      </c>
      <c r="I6" s="21" t="s">
        <v>18</v>
      </c>
    </row>
    <row r="7" spans="1:11" x14ac:dyDescent="0.2">
      <c r="A7" s="1"/>
      <c r="B7" s="1"/>
      <c r="C7" s="3"/>
      <c r="D7" s="3"/>
      <c r="E7" s="3"/>
      <c r="F7" s="3"/>
      <c r="G7" s="3"/>
      <c r="H7" s="3"/>
      <c r="I7" s="3"/>
    </row>
    <row r="8" spans="1:11" x14ac:dyDescent="0.2">
      <c r="A8" s="1"/>
      <c r="B8" s="1"/>
      <c r="C8" s="1"/>
      <c r="D8" s="1"/>
      <c r="E8" s="1"/>
      <c r="F8" s="1"/>
      <c r="G8" s="1"/>
      <c r="H8" s="1"/>
      <c r="I8" s="1"/>
    </row>
    <row r="9" spans="1:11" ht="16" thickBot="1" x14ac:dyDescent="0.25">
      <c r="A9" s="7"/>
      <c r="B9" s="2"/>
      <c r="C9" s="2"/>
      <c r="D9" s="7">
        <v>1</v>
      </c>
      <c r="E9" s="7">
        <v>2</v>
      </c>
      <c r="F9" s="7">
        <v>3</v>
      </c>
      <c r="G9" s="7">
        <v>4</v>
      </c>
      <c r="H9" s="7">
        <v>5</v>
      </c>
      <c r="I9" s="7" t="s">
        <v>5</v>
      </c>
    </row>
    <row r="10" spans="1:11" x14ac:dyDescent="0.2">
      <c r="A10" s="8">
        <v>1</v>
      </c>
      <c r="B10" s="1" t="s">
        <v>140</v>
      </c>
      <c r="C10" s="1"/>
      <c r="D10" s="14">
        <v>309.9083</v>
      </c>
      <c r="E10" s="14">
        <v>9.6674000000000007</v>
      </c>
      <c r="F10" s="14">
        <v>21.036100000000001</v>
      </c>
      <c r="G10" s="14">
        <v>28.960799999999999</v>
      </c>
      <c r="H10" s="14">
        <v>372.42599999999999</v>
      </c>
      <c r="I10" s="14">
        <v>741.99860000000001</v>
      </c>
      <c r="K10" s="47"/>
    </row>
    <row r="11" spans="1:11" x14ac:dyDescent="0.2">
      <c r="A11" s="8">
        <v>2</v>
      </c>
      <c r="B11" s="1" t="s">
        <v>8</v>
      </c>
      <c r="C11" s="1"/>
      <c r="D11" s="14">
        <v>15529.4162</v>
      </c>
      <c r="E11" s="14">
        <v>5804.2026999999998</v>
      </c>
      <c r="F11" s="14">
        <v>21601.066699999999</v>
      </c>
      <c r="G11" s="14">
        <v>3468.5927000000001</v>
      </c>
      <c r="H11" s="14">
        <v>430214.5318</v>
      </c>
      <c r="I11" s="14">
        <v>476617.81</v>
      </c>
      <c r="K11" s="47"/>
    </row>
    <row r="12" spans="1:11" x14ac:dyDescent="0.2">
      <c r="A12" s="8">
        <v>3</v>
      </c>
      <c r="B12" s="1" t="s">
        <v>9</v>
      </c>
      <c r="C12" s="1"/>
      <c r="D12" s="14">
        <v>6449.6731</v>
      </c>
      <c r="E12" s="14">
        <v>3489.1115</v>
      </c>
      <c r="F12" s="14">
        <v>1408.779</v>
      </c>
      <c r="G12" s="14">
        <v>14.735099999999999</v>
      </c>
      <c r="H12" s="14">
        <v>12514.8024</v>
      </c>
      <c r="I12" s="14">
        <v>23877.1011</v>
      </c>
      <c r="K12" s="47"/>
    </row>
    <row r="13" spans="1:11" x14ac:dyDescent="0.2">
      <c r="A13" s="8">
        <v>4</v>
      </c>
      <c r="B13" s="1" t="s">
        <v>10</v>
      </c>
      <c r="C13" s="1"/>
      <c r="D13" s="14">
        <v>5049.0590000000002</v>
      </c>
      <c r="E13" s="14">
        <v>753.7989</v>
      </c>
      <c r="F13" s="14">
        <v>58549.877899999999</v>
      </c>
      <c r="G13" s="14">
        <v>7.8136999999999999</v>
      </c>
      <c r="H13" s="14">
        <v>6724.5007999999998</v>
      </c>
      <c r="I13" s="14">
        <v>71085.050199999998</v>
      </c>
      <c r="K13" s="47"/>
    </row>
    <row r="14" spans="1:11" x14ac:dyDescent="0.2">
      <c r="A14" s="8">
        <v>5</v>
      </c>
      <c r="B14" s="1" t="s">
        <v>11</v>
      </c>
      <c r="C14" s="1"/>
      <c r="D14" s="14">
        <v>12954.5497</v>
      </c>
      <c r="E14" s="14">
        <v>2504.4308000000001</v>
      </c>
      <c r="F14" s="14">
        <v>11688.215399999999</v>
      </c>
      <c r="G14" s="14">
        <v>130.55680000000001</v>
      </c>
      <c r="H14" s="14">
        <v>288749.60639999999</v>
      </c>
      <c r="I14" s="14">
        <v>316027.3591</v>
      </c>
      <c r="K14" s="47"/>
    </row>
    <row r="15" spans="1:11" x14ac:dyDescent="0.2">
      <c r="A15" s="8">
        <v>6</v>
      </c>
      <c r="B15" s="1" t="s">
        <v>12</v>
      </c>
      <c r="C15" s="1"/>
      <c r="D15" s="14">
        <v>12661.770200000001</v>
      </c>
      <c r="E15" s="14">
        <v>184.23089999999999</v>
      </c>
      <c r="F15" s="14">
        <v>427.77629999999999</v>
      </c>
      <c r="G15" s="14">
        <v>0.99529999999999996</v>
      </c>
      <c r="H15" s="14">
        <v>3523.5594000000001</v>
      </c>
      <c r="I15" s="14">
        <v>16798.331999999999</v>
      </c>
      <c r="K15" s="47"/>
    </row>
    <row r="16" spans="1:11" x14ac:dyDescent="0.2">
      <c r="A16" s="8">
        <v>7</v>
      </c>
      <c r="B16" s="1" t="s">
        <v>141</v>
      </c>
      <c r="C16" s="1"/>
      <c r="D16" s="14">
        <v>14676.070599999999</v>
      </c>
      <c r="E16" s="14">
        <v>4171.1426000000001</v>
      </c>
      <c r="F16" s="14">
        <v>3126.5608000000002</v>
      </c>
      <c r="G16" s="14">
        <v>59.501399999999997</v>
      </c>
      <c r="H16" s="14">
        <v>298111.50919999997</v>
      </c>
      <c r="I16" s="14">
        <v>320144.78480000002</v>
      </c>
      <c r="K16" s="47"/>
    </row>
    <row r="17" spans="1:11" x14ac:dyDescent="0.2">
      <c r="A17" s="8">
        <v>8</v>
      </c>
      <c r="B17" s="1" t="s">
        <v>142</v>
      </c>
      <c r="C17" s="1"/>
      <c r="D17" s="14">
        <v>1749.7108000000001</v>
      </c>
      <c r="E17" s="14">
        <v>181.68440000000001</v>
      </c>
      <c r="F17" s="14">
        <v>148.62979999999999</v>
      </c>
      <c r="G17" s="14">
        <v>0.74439999999999995</v>
      </c>
      <c r="H17" s="14">
        <v>4456.6478999999999</v>
      </c>
      <c r="I17" s="14">
        <v>6537.4173000000001</v>
      </c>
      <c r="K17" s="47"/>
    </row>
    <row r="18" spans="1:11" x14ac:dyDescent="0.2">
      <c r="A18" s="8">
        <v>9</v>
      </c>
      <c r="B18" s="1" t="s">
        <v>143</v>
      </c>
      <c r="C18" s="1"/>
      <c r="D18" s="14">
        <v>9464.0921999999991</v>
      </c>
      <c r="E18" s="14">
        <v>450.28149999999999</v>
      </c>
      <c r="F18" s="14">
        <v>274.31079999999997</v>
      </c>
      <c r="G18" s="14">
        <v>1.8148</v>
      </c>
      <c r="H18" s="14">
        <v>4619.7098999999998</v>
      </c>
      <c r="I18" s="14">
        <v>14810.2091</v>
      </c>
      <c r="K18" s="47"/>
    </row>
    <row r="19" spans="1:11" x14ac:dyDescent="0.2">
      <c r="A19" s="9">
        <v>10</v>
      </c>
      <c r="B19" s="3" t="s">
        <v>144</v>
      </c>
      <c r="C19" s="3"/>
      <c r="D19" s="15">
        <v>11839.764800000001</v>
      </c>
      <c r="E19" s="15">
        <v>5901.3629000000001</v>
      </c>
      <c r="F19" s="15">
        <v>13496.342500000001</v>
      </c>
      <c r="G19" s="15">
        <v>30.360700000000001</v>
      </c>
      <c r="H19" s="15">
        <v>151407.97459999999</v>
      </c>
      <c r="I19" s="15">
        <v>182675.8057</v>
      </c>
      <c r="K19" s="47"/>
    </row>
    <row r="20" spans="1:11" x14ac:dyDescent="0.2">
      <c r="A20" s="10">
        <v>11</v>
      </c>
      <c r="B20" s="4" t="s">
        <v>145</v>
      </c>
      <c r="C20" s="4"/>
      <c r="D20" s="16">
        <v>38762.481399999997</v>
      </c>
      <c r="E20" s="16">
        <v>8780.4640999999992</v>
      </c>
      <c r="F20" s="16">
        <v>5437.0708999999997</v>
      </c>
      <c r="G20" s="16">
        <v>37.509</v>
      </c>
      <c r="H20" s="16">
        <v>116679.1125</v>
      </c>
      <c r="I20" s="16">
        <v>169696.6379</v>
      </c>
      <c r="K20" s="47"/>
    </row>
    <row r="21" spans="1:11" x14ac:dyDescent="0.2">
      <c r="A21" s="8">
        <v>12</v>
      </c>
      <c r="B21" s="1" t="s">
        <v>146</v>
      </c>
      <c r="C21" s="1"/>
      <c r="D21" s="14">
        <v>8555.3822</v>
      </c>
      <c r="E21" s="14">
        <v>2041.2860000000001</v>
      </c>
      <c r="F21" s="14">
        <v>11861.297</v>
      </c>
      <c r="G21" s="14">
        <v>16.336600000000001</v>
      </c>
      <c r="H21" s="14">
        <v>16482.4077</v>
      </c>
      <c r="I21" s="14">
        <v>38956.7094</v>
      </c>
      <c r="K21" s="47"/>
    </row>
    <row r="22" spans="1:11" x14ac:dyDescent="0.2">
      <c r="A22" s="8">
        <v>13</v>
      </c>
      <c r="B22" s="1" t="s">
        <v>13</v>
      </c>
      <c r="C22" s="1"/>
      <c r="D22" s="14">
        <v>24241.766800000001</v>
      </c>
      <c r="E22" s="14">
        <v>0</v>
      </c>
      <c r="F22" s="14">
        <v>0</v>
      </c>
      <c r="G22" s="14">
        <v>0</v>
      </c>
      <c r="H22" s="14">
        <v>503.63319999999999</v>
      </c>
      <c r="I22" s="14">
        <v>24745.4</v>
      </c>
      <c r="K22" s="47"/>
    </row>
    <row r="23" spans="1:11" x14ac:dyDescent="0.2">
      <c r="A23" s="8">
        <v>14</v>
      </c>
      <c r="B23" s="1" t="s">
        <v>14</v>
      </c>
      <c r="C23" s="1"/>
      <c r="D23" s="14">
        <v>5897.8968000000004</v>
      </c>
      <c r="E23" s="14">
        <v>4049.6185</v>
      </c>
      <c r="F23" s="14">
        <v>11975.1142</v>
      </c>
      <c r="G23" s="14">
        <v>61.292000000000002</v>
      </c>
      <c r="H23" s="14">
        <v>55876.9879</v>
      </c>
      <c r="I23" s="14">
        <v>77860.909499999994</v>
      </c>
      <c r="K23" s="47"/>
    </row>
    <row r="24" spans="1:11" x14ac:dyDescent="0.2">
      <c r="A24" s="8">
        <v>15</v>
      </c>
      <c r="B24" s="1" t="s">
        <v>15</v>
      </c>
      <c r="C24" s="1"/>
      <c r="D24" s="14">
        <v>3692.5461</v>
      </c>
      <c r="E24" s="14">
        <v>1834.0483999999999</v>
      </c>
      <c r="F24" s="14">
        <v>1960.6528000000001</v>
      </c>
      <c r="G24" s="14">
        <v>21.339500000000001</v>
      </c>
      <c r="H24" s="14">
        <v>22713.4794</v>
      </c>
      <c r="I24" s="14">
        <v>30222.066200000001</v>
      </c>
      <c r="K24" s="47"/>
    </row>
    <row r="25" spans="1:11" x14ac:dyDescent="0.2">
      <c r="A25" s="8">
        <v>16</v>
      </c>
      <c r="B25" s="1" t="s">
        <v>147</v>
      </c>
      <c r="C25" s="1"/>
      <c r="D25" s="14">
        <v>1341.9380000000001</v>
      </c>
      <c r="E25" s="14">
        <v>41354.836900000002</v>
      </c>
      <c r="F25" s="14">
        <v>841.42970000000003</v>
      </c>
      <c r="G25" s="14">
        <v>1.8512</v>
      </c>
      <c r="H25" s="14">
        <v>3748.9340000000002</v>
      </c>
      <c r="I25" s="14">
        <v>47288.989800000003</v>
      </c>
      <c r="K25" s="47"/>
    </row>
    <row r="26" spans="1:11" x14ac:dyDescent="0.2">
      <c r="A26" s="8">
        <v>17</v>
      </c>
      <c r="B26" s="1" t="s">
        <v>16</v>
      </c>
      <c r="C26" s="1"/>
      <c r="D26" s="14">
        <v>7239.5933000000005</v>
      </c>
      <c r="E26" s="14">
        <v>10127.641600000001</v>
      </c>
      <c r="F26" s="14">
        <v>319.93020000000001</v>
      </c>
      <c r="G26" s="14">
        <v>1.2867</v>
      </c>
      <c r="H26" s="14">
        <v>4240.7087000000001</v>
      </c>
      <c r="I26" s="14">
        <v>21929.160500000002</v>
      </c>
      <c r="K26" s="47"/>
    </row>
    <row r="27" spans="1:11" x14ac:dyDescent="0.2">
      <c r="A27" s="8">
        <v>18</v>
      </c>
      <c r="B27" s="1" t="s">
        <v>17</v>
      </c>
      <c r="C27" s="1"/>
      <c r="D27" s="14">
        <v>14783.660599999999</v>
      </c>
      <c r="E27" s="14">
        <v>11512.1145</v>
      </c>
      <c r="F27" s="14">
        <v>243.3175</v>
      </c>
      <c r="G27" s="14">
        <v>0.83240000000000003</v>
      </c>
      <c r="H27" s="14">
        <v>1866.2085</v>
      </c>
      <c r="I27" s="14">
        <v>28406.133399999999</v>
      </c>
      <c r="K27" s="47"/>
    </row>
    <row r="28" spans="1:11" x14ac:dyDescent="0.2">
      <c r="A28" s="8">
        <v>19</v>
      </c>
      <c r="B28" s="1" t="s">
        <v>148</v>
      </c>
      <c r="C28" s="1"/>
      <c r="D28" s="14">
        <v>3810.4857000000002</v>
      </c>
      <c r="E28" s="14">
        <v>1374.2184</v>
      </c>
      <c r="F28" s="14">
        <v>205.47309999999999</v>
      </c>
      <c r="G28" s="14">
        <v>0.54390000000000005</v>
      </c>
      <c r="H28" s="14">
        <v>3240.2649999999999</v>
      </c>
      <c r="I28" s="14">
        <v>8630.9861000000001</v>
      </c>
      <c r="K28" s="47"/>
    </row>
    <row r="29" spans="1:11" x14ac:dyDescent="0.2">
      <c r="A29" s="9">
        <v>20</v>
      </c>
      <c r="B29" s="3" t="s">
        <v>149</v>
      </c>
      <c r="C29" s="3"/>
      <c r="D29" s="15">
        <v>7708.4615999999996</v>
      </c>
      <c r="E29" s="15">
        <v>566.24059999999997</v>
      </c>
      <c r="F29" s="15">
        <v>220.24590000000001</v>
      </c>
      <c r="G29" s="15">
        <v>1.3473999999999999</v>
      </c>
      <c r="H29" s="15">
        <v>1662.9037000000001</v>
      </c>
      <c r="I29" s="15">
        <v>10159.1993</v>
      </c>
      <c r="K29" s="47"/>
    </row>
    <row r="30" spans="1:11" ht="16" thickBot="1" x14ac:dyDescent="0.25">
      <c r="A30" s="12" t="s">
        <v>24</v>
      </c>
      <c r="B30" s="6" t="s">
        <v>114</v>
      </c>
      <c r="C30" s="6"/>
      <c r="D30" s="18">
        <v>206718.22750000001</v>
      </c>
      <c r="E30" s="18">
        <v>105090.38250000001</v>
      </c>
      <c r="F30" s="18">
        <v>143807.12650000001</v>
      </c>
      <c r="G30" s="18">
        <v>3886.4144000000001</v>
      </c>
      <c r="H30" s="18">
        <v>1427709.9088999999</v>
      </c>
      <c r="I30" s="18">
        <v>1887212.0599</v>
      </c>
      <c r="K30" s="47"/>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EFB9A-B814-431F-A02F-22EA4B29B34E}">
  <dimension ref="A1:I30"/>
  <sheetViews>
    <sheetView zoomScale="131" workbookViewId="0">
      <pane xSplit="3" ySplit="9" topLeftCell="D10" activePane="bottomRight" state="frozenSplit"/>
      <selection pane="topRight" activeCell="D1" sqref="D1"/>
      <selection pane="bottomLeft" activeCell="A10" sqref="A10"/>
      <selection pane="bottomRight" activeCell="H10" sqref="E10:H10"/>
    </sheetView>
  </sheetViews>
  <sheetFormatPr baseColWidth="10" defaultColWidth="8.83203125" defaultRowHeight="15" x14ac:dyDescent="0.2"/>
  <cols>
    <col min="1" max="1" width="4.6640625" customWidth="1"/>
    <col min="2" max="2" width="40.6640625" customWidth="1"/>
    <col min="4" max="9" width="12.6640625" customWidth="1"/>
  </cols>
  <sheetData>
    <row r="1" spans="1:9" x14ac:dyDescent="0.2">
      <c r="A1" s="1" t="s">
        <v>118</v>
      </c>
      <c r="B1" s="1"/>
      <c r="C1" s="1"/>
      <c r="D1" s="1"/>
      <c r="E1" s="1"/>
      <c r="F1" s="1"/>
      <c r="G1" s="1"/>
      <c r="H1" s="1"/>
      <c r="I1" s="1"/>
    </row>
    <row r="2" spans="1:9" x14ac:dyDescent="0.2">
      <c r="A2" s="50" t="s">
        <v>138</v>
      </c>
      <c r="B2" s="1"/>
      <c r="C2" s="1"/>
      <c r="D2" s="1"/>
      <c r="E2" s="1"/>
      <c r="F2" s="1"/>
      <c r="G2" s="1"/>
      <c r="H2" s="1"/>
      <c r="I2" s="1"/>
    </row>
    <row r="3" spans="1:9" x14ac:dyDescent="0.2">
      <c r="A3" s="1"/>
      <c r="B3" s="1"/>
      <c r="C3" s="1"/>
      <c r="D3" s="1"/>
      <c r="E3" s="1"/>
      <c r="F3" s="1"/>
      <c r="G3" s="1"/>
      <c r="H3" s="1"/>
      <c r="I3" s="1"/>
    </row>
    <row r="4" spans="1:9" ht="16" thickBot="1" x14ac:dyDescent="0.25">
      <c r="A4" s="2"/>
      <c r="B4" s="2"/>
      <c r="C4" s="2"/>
      <c r="D4" s="2"/>
      <c r="E4" s="2"/>
      <c r="F4" s="2"/>
      <c r="G4" s="2"/>
      <c r="H4" s="2"/>
      <c r="I4" s="2"/>
    </row>
    <row r="5" spans="1:9" x14ac:dyDescent="0.2">
      <c r="A5" s="1"/>
      <c r="B5" s="1"/>
      <c r="C5" s="1"/>
      <c r="D5" s="1"/>
      <c r="E5" s="1"/>
      <c r="F5" s="1"/>
      <c r="G5" s="1"/>
      <c r="H5" s="1"/>
      <c r="I5" s="1"/>
    </row>
    <row r="6" spans="1:9" ht="80.25" customHeight="1" x14ac:dyDescent="0.2">
      <c r="A6" s="1"/>
      <c r="B6" s="1"/>
      <c r="C6" s="13"/>
      <c r="D6" s="13" t="s">
        <v>36</v>
      </c>
      <c r="E6" s="13" t="s">
        <v>37</v>
      </c>
      <c r="F6" s="13" t="s">
        <v>38</v>
      </c>
      <c r="G6" s="13" t="s">
        <v>39</v>
      </c>
      <c r="H6" s="13" t="s">
        <v>40</v>
      </c>
      <c r="I6" s="13" t="s">
        <v>119</v>
      </c>
    </row>
    <row r="7" spans="1:9" x14ac:dyDescent="0.2">
      <c r="A7" s="1"/>
      <c r="B7" s="1"/>
      <c r="C7" s="3"/>
      <c r="D7" s="3"/>
      <c r="E7" s="3"/>
      <c r="F7" s="3"/>
      <c r="G7" s="3"/>
      <c r="H7" s="3"/>
      <c r="I7" s="3"/>
    </row>
    <row r="8" spans="1:9" x14ac:dyDescent="0.2">
      <c r="A8" s="1"/>
      <c r="B8" s="1"/>
      <c r="C8" s="1"/>
      <c r="D8" s="1"/>
      <c r="E8" s="1"/>
      <c r="F8" s="1"/>
      <c r="G8" s="1"/>
      <c r="H8" s="1"/>
      <c r="I8" s="1"/>
    </row>
    <row r="9" spans="1:9" ht="16" thickBot="1" x14ac:dyDescent="0.25">
      <c r="A9" s="2"/>
      <c r="B9" s="2"/>
      <c r="C9" s="2"/>
      <c r="D9" s="7">
        <v>1</v>
      </c>
      <c r="E9" s="7">
        <v>2</v>
      </c>
      <c r="F9" s="7">
        <v>3</v>
      </c>
      <c r="G9" s="7">
        <v>4</v>
      </c>
      <c r="H9" s="7">
        <v>5</v>
      </c>
      <c r="I9" s="7" t="s">
        <v>5</v>
      </c>
    </row>
    <row r="10" spans="1:9" x14ac:dyDescent="0.2">
      <c r="A10" s="1">
        <v>1</v>
      </c>
      <c r="B10" s="1" t="s">
        <v>140</v>
      </c>
      <c r="C10" s="1"/>
      <c r="D10" s="14">
        <v>76.694199999999995</v>
      </c>
      <c r="E10" s="14">
        <v>2.3923999999999999</v>
      </c>
      <c r="F10" s="14">
        <v>5.2058999999999997</v>
      </c>
      <c r="G10" s="14">
        <v>7.1669999999999998</v>
      </c>
      <c r="H10" s="14">
        <v>92.165700000000001</v>
      </c>
      <c r="I10" s="14">
        <v>183.62520000000001</v>
      </c>
    </row>
    <row r="11" spans="1:9" x14ac:dyDescent="0.2">
      <c r="A11" s="1">
        <v>2</v>
      </c>
      <c r="B11" s="1" t="s">
        <v>8</v>
      </c>
      <c r="C11" s="1"/>
      <c r="D11" s="14">
        <v>4509.2002000000002</v>
      </c>
      <c r="E11" s="14">
        <v>1685.3378</v>
      </c>
      <c r="F11" s="14">
        <v>6272.1953999999996</v>
      </c>
      <c r="G11" s="14">
        <v>1007.1582</v>
      </c>
      <c r="H11" s="14">
        <v>124919.277</v>
      </c>
      <c r="I11" s="14">
        <v>138393.1686</v>
      </c>
    </row>
    <row r="12" spans="1:9" x14ac:dyDescent="0.2">
      <c r="A12" s="1">
        <v>3</v>
      </c>
      <c r="B12" s="1" t="s">
        <v>9</v>
      </c>
      <c r="C12" s="1"/>
      <c r="D12" s="14">
        <v>2208.7615000000001</v>
      </c>
      <c r="E12" s="14">
        <v>1194.8846000000001</v>
      </c>
      <c r="F12" s="14">
        <v>482.45190000000002</v>
      </c>
      <c r="G12" s="14">
        <v>5.0461999999999998</v>
      </c>
      <c r="H12" s="14">
        <v>4285.8316999999997</v>
      </c>
      <c r="I12" s="14">
        <v>8176.9758000000002</v>
      </c>
    </row>
    <row r="13" spans="1:9" x14ac:dyDescent="0.2">
      <c r="A13" s="1">
        <v>4</v>
      </c>
      <c r="B13" s="1" t="s">
        <v>10</v>
      </c>
      <c r="C13" s="1"/>
      <c r="D13" s="14">
        <v>1507.2633000000001</v>
      </c>
      <c r="E13" s="14">
        <v>225.02680000000001</v>
      </c>
      <c r="F13" s="14">
        <v>17478.521400000001</v>
      </c>
      <c r="G13" s="14">
        <v>2.3325999999999998</v>
      </c>
      <c r="H13" s="14">
        <v>2007.4223</v>
      </c>
      <c r="I13" s="14">
        <v>21220.5664</v>
      </c>
    </row>
    <row r="14" spans="1:9" x14ac:dyDescent="0.2">
      <c r="A14" s="1">
        <v>5</v>
      </c>
      <c r="B14" s="1" t="s">
        <v>11</v>
      </c>
      <c r="C14" s="1"/>
      <c r="D14" s="14">
        <v>5812.6268</v>
      </c>
      <c r="E14" s="14">
        <v>1123.7227</v>
      </c>
      <c r="F14" s="14">
        <v>5244.4304000000002</v>
      </c>
      <c r="G14" s="14">
        <v>58.580100000000002</v>
      </c>
      <c r="H14" s="14">
        <v>129560.1737</v>
      </c>
      <c r="I14" s="14">
        <v>141799.5337</v>
      </c>
    </row>
    <row r="15" spans="1:9" x14ac:dyDescent="0.2">
      <c r="A15" s="1">
        <v>6</v>
      </c>
      <c r="B15" s="1" t="s">
        <v>12</v>
      </c>
      <c r="C15" s="1"/>
      <c r="D15" s="14">
        <v>5996.2191000000003</v>
      </c>
      <c r="E15" s="14">
        <v>87.245999999999995</v>
      </c>
      <c r="F15" s="14">
        <v>202.58150000000001</v>
      </c>
      <c r="G15" s="14">
        <v>0.4713</v>
      </c>
      <c r="H15" s="14">
        <v>1668.6477</v>
      </c>
      <c r="I15" s="14">
        <v>7955.1656000000003</v>
      </c>
    </row>
    <row r="16" spans="1:9" x14ac:dyDescent="0.2">
      <c r="A16" s="1">
        <v>7</v>
      </c>
      <c r="B16" s="1" t="s">
        <v>141</v>
      </c>
      <c r="C16" s="1"/>
      <c r="D16" s="14">
        <v>3707.6648</v>
      </c>
      <c r="E16" s="14">
        <v>1053.7697000000001</v>
      </c>
      <c r="F16" s="14">
        <v>789.87350000000004</v>
      </c>
      <c r="G16" s="14">
        <v>15.032</v>
      </c>
      <c r="H16" s="14">
        <v>75312.907900000006</v>
      </c>
      <c r="I16" s="14">
        <v>80879.248000000007</v>
      </c>
    </row>
    <row r="17" spans="1:9" x14ac:dyDescent="0.2">
      <c r="A17" s="1">
        <v>8</v>
      </c>
      <c r="B17" s="1" t="s">
        <v>142</v>
      </c>
      <c r="C17" s="1"/>
      <c r="D17" s="14">
        <v>978.37649999999996</v>
      </c>
      <c r="E17" s="14">
        <v>101.5915</v>
      </c>
      <c r="F17" s="14">
        <v>83.108599999999996</v>
      </c>
      <c r="G17" s="14">
        <v>0.41620000000000001</v>
      </c>
      <c r="H17" s="14">
        <v>2492.0001999999999</v>
      </c>
      <c r="I17" s="14">
        <v>3655.4929999999999</v>
      </c>
    </row>
    <row r="18" spans="1:9" x14ac:dyDescent="0.2">
      <c r="A18" s="1">
        <v>9</v>
      </c>
      <c r="B18" s="1" t="s">
        <v>143</v>
      </c>
      <c r="C18" s="1"/>
      <c r="D18" s="14">
        <v>3087.1484999999998</v>
      </c>
      <c r="E18" s="14">
        <v>146.88</v>
      </c>
      <c r="F18" s="14">
        <v>89.479100000000003</v>
      </c>
      <c r="G18" s="14">
        <v>0.59199999999999997</v>
      </c>
      <c r="H18" s="14">
        <v>1506.9305999999999</v>
      </c>
      <c r="I18" s="14">
        <v>4831.0300999999999</v>
      </c>
    </row>
    <row r="19" spans="1:9" x14ac:dyDescent="0.2">
      <c r="A19" s="3">
        <v>10</v>
      </c>
      <c r="B19" s="3" t="s">
        <v>144</v>
      </c>
      <c r="C19" s="3"/>
      <c r="D19" s="15">
        <v>2203.8670000000002</v>
      </c>
      <c r="E19" s="15">
        <v>1098.4863</v>
      </c>
      <c r="F19" s="15">
        <v>2512.2242999999999</v>
      </c>
      <c r="G19" s="15">
        <v>5.6513999999999998</v>
      </c>
      <c r="H19" s="15">
        <v>28183.249299999999</v>
      </c>
      <c r="I19" s="15">
        <v>34003.478300000002</v>
      </c>
    </row>
    <row r="20" spans="1:9" x14ac:dyDescent="0.2">
      <c r="A20" s="4">
        <v>11</v>
      </c>
      <c r="B20" s="4" t="s">
        <v>145</v>
      </c>
      <c r="C20" s="4"/>
      <c r="D20" s="16">
        <v>18443.1335</v>
      </c>
      <c r="E20" s="16">
        <v>4177.7322999999997</v>
      </c>
      <c r="F20" s="16">
        <v>2586.9506000000001</v>
      </c>
      <c r="G20" s="16">
        <v>17.846699999999998</v>
      </c>
      <c r="H20" s="16">
        <v>55515.755799999999</v>
      </c>
      <c r="I20" s="16">
        <v>80741.418999999994</v>
      </c>
    </row>
    <row r="21" spans="1:9" x14ac:dyDescent="0.2">
      <c r="A21" s="1">
        <v>12</v>
      </c>
      <c r="B21" s="1" t="s">
        <v>146</v>
      </c>
      <c r="C21" s="1"/>
      <c r="D21" s="14">
        <v>4107.4486999999999</v>
      </c>
      <c r="E21" s="14">
        <v>980.02369999999996</v>
      </c>
      <c r="F21" s="14">
        <v>5694.6221999999998</v>
      </c>
      <c r="G21" s="14">
        <v>7.8432000000000004</v>
      </c>
      <c r="H21" s="14">
        <v>7913.2227000000003</v>
      </c>
      <c r="I21" s="14">
        <v>18703.160500000002</v>
      </c>
    </row>
    <row r="22" spans="1:9" x14ac:dyDescent="0.2">
      <c r="A22" s="1">
        <v>13</v>
      </c>
      <c r="B22" s="1" t="s">
        <v>13</v>
      </c>
      <c r="C22" s="1"/>
      <c r="D22" s="14">
        <v>20082.085999999999</v>
      </c>
      <c r="E22" s="14">
        <v>0</v>
      </c>
      <c r="F22" s="14">
        <v>0</v>
      </c>
      <c r="G22" s="14">
        <v>0</v>
      </c>
      <c r="H22" s="14">
        <v>417.214</v>
      </c>
      <c r="I22" s="14">
        <v>20499.3</v>
      </c>
    </row>
    <row r="23" spans="1:9" x14ac:dyDescent="0.2">
      <c r="A23" s="1">
        <v>14</v>
      </c>
      <c r="B23" s="1" t="s">
        <v>14</v>
      </c>
      <c r="C23" s="1"/>
      <c r="D23" s="14">
        <v>2549.4425000000001</v>
      </c>
      <c r="E23" s="14">
        <v>1750.5001999999999</v>
      </c>
      <c r="F23" s="14">
        <v>5176.3986000000004</v>
      </c>
      <c r="G23" s="14">
        <v>26.494299999999999</v>
      </c>
      <c r="H23" s="14">
        <v>24153.553500000002</v>
      </c>
      <c r="I23" s="14">
        <v>33656.389000000003</v>
      </c>
    </row>
    <row r="24" spans="1:9" x14ac:dyDescent="0.2">
      <c r="A24" s="1">
        <v>15</v>
      </c>
      <c r="B24" s="1" t="s">
        <v>15</v>
      </c>
      <c r="C24" s="1"/>
      <c r="D24" s="14">
        <v>2253.7105000000001</v>
      </c>
      <c r="E24" s="14">
        <v>1119.3941</v>
      </c>
      <c r="F24" s="14">
        <v>1196.6658</v>
      </c>
      <c r="G24" s="14">
        <v>13.0243</v>
      </c>
      <c r="H24" s="14">
        <v>13862.9565</v>
      </c>
      <c r="I24" s="14">
        <v>18445.751199999999</v>
      </c>
    </row>
    <row r="25" spans="1:9" x14ac:dyDescent="0.2">
      <c r="A25" s="1">
        <v>16</v>
      </c>
      <c r="B25" s="1" t="s">
        <v>147</v>
      </c>
      <c r="C25" s="1"/>
      <c r="D25" s="14">
        <v>431.94209999999998</v>
      </c>
      <c r="E25" s="14">
        <v>13311.2657</v>
      </c>
      <c r="F25" s="14">
        <v>270.83879999999999</v>
      </c>
      <c r="G25" s="14">
        <v>0.59589999999999999</v>
      </c>
      <c r="H25" s="14">
        <v>1206.7041999999999</v>
      </c>
      <c r="I25" s="14">
        <v>15221.346600000001</v>
      </c>
    </row>
    <row r="26" spans="1:9" x14ac:dyDescent="0.2">
      <c r="A26" s="1">
        <v>17</v>
      </c>
      <c r="B26" s="1" t="s">
        <v>16</v>
      </c>
      <c r="C26" s="1"/>
      <c r="D26" s="14">
        <v>5155.4908999999998</v>
      </c>
      <c r="E26" s="14">
        <v>7212.1405999999997</v>
      </c>
      <c r="F26" s="14">
        <v>227.83009999999999</v>
      </c>
      <c r="G26" s="14">
        <v>0.9163</v>
      </c>
      <c r="H26" s="14">
        <v>3019.9121</v>
      </c>
      <c r="I26" s="14">
        <v>15616.29</v>
      </c>
    </row>
    <row r="27" spans="1:9" x14ac:dyDescent="0.2">
      <c r="A27" s="1">
        <v>18</v>
      </c>
      <c r="B27" s="1" t="s">
        <v>17</v>
      </c>
      <c r="C27" s="1"/>
      <c r="D27" s="14">
        <v>7779.0254999999997</v>
      </c>
      <c r="E27" s="14">
        <v>6057.5681999999997</v>
      </c>
      <c r="F27" s="14">
        <v>128.03139999999999</v>
      </c>
      <c r="G27" s="14">
        <v>0.438</v>
      </c>
      <c r="H27" s="14">
        <v>981.98159999999996</v>
      </c>
      <c r="I27" s="14">
        <v>14947.0447</v>
      </c>
    </row>
    <row r="28" spans="1:9" x14ac:dyDescent="0.2">
      <c r="A28" s="1">
        <v>19</v>
      </c>
      <c r="B28" s="1" t="s">
        <v>148</v>
      </c>
      <c r="C28" s="1"/>
      <c r="D28" s="14">
        <v>2110.1138999999998</v>
      </c>
      <c r="E28" s="14">
        <v>760.99419999999998</v>
      </c>
      <c r="F28" s="14">
        <v>113.7838</v>
      </c>
      <c r="G28" s="14">
        <v>0.30120000000000002</v>
      </c>
      <c r="H28" s="14">
        <v>1794.3456000000001</v>
      </c>
      <c r="I28" s="14">
        <v>4779.5387000000001</v>
      </c>
    </row>
    <row r="29" spans="1:9" x14ac:dyDescent="0.2">
      <c r="A29" s="3">
        <v>20</v>
      </c>
      <c r="B29" s="3" t="s">
        <v>149</v>
      </c>
      <c r="C29" s="3"/>
      <c r="D29" s="15">
        <v>4744.4526999999998</v>
      </c>
      <c r="E29" s="15">
        <v>348.51330000000002</v>
      </c>
      <c r="F29" s="15">
        <v>135.5583</v>
      </c>
      <c r="G29" s="15">
        <v>0.82930000000000004</v>
      </c>
      <c r="H29" s="15">
        <v>1023.4945</v>
      </c>
      <c r="I29" s="15">
        <v>6252.8482000000004</v>
      </c>
    </row>
    <row r="30" spans="1:9" ht="16" thickBot="1" x14ac:dyDescent="0.25">
      <c r="A30" s="6" t="s">
        <v>24</v>
      </c>
      <c r="B30" s="6" t="s">
        <v>119</v>
      </c>
      <c r="C30" s="6"/>
      <c r="D30" s="18">
        <v>97744.668300000005</v>
      </c>
      <c r="E30" s="18">
        <v>42437.47</v>
      </c>
      <c r="F30" s="18">
        <v>48690.751499999998</v>
      </c>
      <c r="G30" s="18">
        <v>1170.7362000000001</v>
      </c>
      <c r="H30" s="18">
        <v>479917.74670000002</v>
      </c>
      <c r="I30" s="18">
        <v>669961.37269999995</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4D905-2EEE-4EC3-860E-BE36E62F7C19}">
  <dimension ref="A1:K15"/>
  <sheetViews>
    <sheetView tabSelected="1" zoomScale="135" workbookViewId="0">
      <pane xSplit="3" ySplit="9" topLeftCell="D10" activePane="bottomRight" state="frozenSplit"/>
      <selection pane="topRight" activeCell="D1" sqref="D1"/>
      <selection pane="bottomLeft" activeCell="A10" sqref="A10"/>
      <selection pane="bottomRight" activeCell="D6" sqref="D6"/>
    </sheetView>
  </sheetViews>
  <sheetFormatPr baseColWidth="10" defaultColWidth="8.83203125" defaultRowHeight="15" x14ac:dyDescent="0.2"/>
  <cols>
    <col min="1" max="1" width="4.6640625" customWidth="1"/>
    <col min="2" max="2" width="40.6640625" customWidth="1"/>
    <col min="4" max="9" width="12.6640625" customWidth="1"/>
  </cols>
  <sheetData>
    <row r="1" spans="1:11" x14ac:dyDescent="0.2">
      <c r="A1" s="1" t="s">
        <v>123</v>
      </c>
      <c r="B1" s="1"/>
      <c r="C1" s="1"/>
      <c r="D1" s="1"/>
      <c r="E1" s="1"/>
      <c r="F1" s="1"/>
      <c r="G1" s="1"/>
      <c r="H1" s="1"/>
      <c r="I1" s="1"/>
    </row>
    <row r="2" spans="1:11" x14ac:dyDescent="0.2">
      <c r="A2" s="50" t="s">
        <v>138</v>
      </c>
      <c r="B2" s="1"/>
      <c r="C2" s="1"/>
      <c r="D2" s="1"/>
      <c r="E2" s="1"/>
      <c r="F2" s="1"/>
      <c r="G2" s="1"/>
      <c r="H2" s="1"/>
      <c r="I2" s="1"/>
    </row>
    <row r="3" spans="1:11" x14ac:dyDescent="0.2">
      <c r="A3" s="1"/>
      <c r="B3" s="1"/>
      <c r="C3" s="1"/>
      <c r="D3" s="1"/>
      <c r="E3" s="1"/>
      <c r="F3" s="1"/>
      <c r="G3" s="1"/>
      <c r="H3" s="1"/>
      <c r="I3" s="1"/>
    </row>
    <row r="4" spans="1:11" ht="16" thickBot="1" x14ac:dyDescent="0.25">
      <c r="A4" s="2"/>
      <c r="B4" s="2"/>
      <c r="C4" s="2"/>
      <c r="D4" s="2"/>
      <c r="E4" s="2"/>
      <c r="F4" s="2"/>
      <c r="G4" s="2"/>
      <c r="H4" s="2"/>
      <c r="I4" s="2"/>
    </row>
    <row r="5" spans="1:11" x14ac:dyDescent="0.2">
      <c r="A5" s="29"/>
      <c r="B5" s="29"/>
      <c r="C5" s="29"/>
      <c r="D5" s="29"/>
      <c r="E5" s="29"/>
      <c r="F5" s="29"/>
      <c r="G5" s="29"/>
      <c r="H5" s="29"/>
      <c r="I5" s="29"/>
    </row>
    <row r="6" spans="1:11" ht="80.25" customHeight="1" x14ac:dyDescent="0.2">
      <c r="A6" s="1"/>
      <c r="B6" s="1"/>
      <c r="C6" s="21"/>
      <c r="D6" s="21" t="s">
        <v>36</v>
      </c>
      <c r="E6" s="21" t="s">
        <v>37</v>
      </c>
      <c r="F6" s="21" t="s">
        <v>38</v>
      </c>
      <c r="G6" s="21" t="s">
        <v>39</v>
      </c>
      <c r="H6" s="21" t="s">
        <v>40</v>
      </c>
      <c r="I6" s="21" t="s">
        <v>124</v>
      </c>
    </row>
    <row r="7" spans="1:11" x14ac:dyDescent="0.2">
      <c r="A7" s="1"/>
      <c r="B7" s="1"/>
      <c r="C7" s="3"/>
      <c r="D7" s="3"/>
      <c r="E7" s="3"/>
      <c r="F7" s="3"/>
      <c r="G7" s="3"/>
      <c r="H7" s="3"/>
      <c r="I7" s="3"/>
    </row>
    <row r="8" spans="1:11" x14ac:dyDescent="0.2">
      <c r="A8" s="1"/>
      <c r="B8" s="1"/>
      <c r="C8" s="1"/>
      <c r="D8" s="1"/>
      <c r="E8" s="1"/>
      <c r="F8" s="1"/>
      <c r="G8" s="1"/>
      <c r="H8" s="1"/>
      <c r="I8" s="1"/>
    </row>
    <row r="9" spans="1:11" ht="16" thickBot="1" x14ac:dyDescent="0.25">
      <c r="A9" s="7"/>
      <c r="B9" s="2"/>
      <c r="C9" s="2"/>
      <c r="D9" s="7">
        <v>1</v>
      </c>
      <c r="E9" s="7">
        <v>2</v>
      </c>
      <c r="F9" s="7">
        <v>3</v>
      </c>
      <c r="G9" s="7">
        <v>4</v>
      </c>
      <c r="H9" s="7">
        <v>5</v>
      </c>
      <c r="I9" s="7" t="s">
        <v>5</v>
      </c>
    </row>
    <row r="10" spans="1:11" x14ac:dyDescent="0.2">
      <c r="A10" s="8">
        <v>1</v>
      </c>
      <c r="B10" s="1" t="s">
        <v>19</v>
      </c>
      <c r="C10" s="1"/>
      <c r="D10" s="14">
        <v>81397.491699999999</v>
      </c>
      <c r="E10" s="14">
        <v>21631.821599999999</v>
      </c>
      <c r="F10" s="14">
        <v>88408.324099999998</v>
      </c>
      <c r="G10" s="14">
        <v>9067.8384000000005</v>
      </c>
      <c r="H10" s="14">
        <v>845635.95239999995</v>
      </c>
      <c r="I10" s="14">
        <v>1046141.4282</v>
      </c>
      <c r="K10" s="45"/>
    </row>
    <row r="11" spans="1:11" x14ac:dyDescent="0.2">
      <c r="A11" s="8">
        <v>2</v>
      </c>
      <c r="B11" s="1" t="s">
        <v>62</v>
      </c>
      <c r="C11" s="1"/>
      <c r="D11" s="14">
        <v>19155.182199999999</v>
      </c>
      <c r="E11" s="14">
        <v>796.3143</v>
      </c>
      <c r="F11" s="14">
        <v>8606.8750999999993</v>
      </c>
      <c r="G11" s="14">
        <v>2.6253000000000002</v>
      </c>
      <c r="H11" s="14">
        <v>3243.7031000000002</v>
      </c>
      <c r="I11" s="14">
        <v>31804.7</v>
      </c>
      <c r="K11" s="45"/>
    </row>
    <row r="12" spans="1:11" x14ac:dyDescent="0.2">
      <c r="A12" s="8">
        <v>3</v>
      </c>
      <c r="B12" s="1" t="s">
        <v>49</v>
      </c>
      <c r="C12" s="1"/>
      <c r="D12" s="14">
        <v>41493.439100000003</v>
      </c>
      <c r="E12" s="14">
        <v>30969.689399999999</v>
      </c>
      <c r="F12" s="14">
        <v>24401.2716</v>
      </c>
      <c r="G12" s="14">
        <v>274.25130000000001</v>
      </c>
      <c r="H12" s="14">
        <v>147075.26879999999</v>
      </c>
      <c r="I12" s="14">
        <v>244213.9203</v>
      </c>
    </row>
    <row r="13" spans="1:11" x14ac:dyDescent="0.2">
      <c r="A13" s="8">
        <v>4</v>
      </c>
      <c r="B13" s="1" t="s">
        <v>50</v>
      </c>
      <c r="C13" s="1"/>
      <c r="D13" s="14">
        <v>1748.6021000000001</v>
      </c>
      <c r="E13" s="14">
        <v>109.01900000000001</v>
      </c>
      <c r="F13" s="14">
        <v>1950.1014</v>
      </c>
      <c r="G13" s="14">
        <v>7.2282999999999999</v>
      </c>
      <c r="H13" s="14">
        <v>1718.3493000000001</v>
      </c>
      <c r="I13" s="14">
        <v>5533.3</v>
      </c>
    </row>
    <row r="14" spans="1:11" x14ac:dyDescent="0.2">
      <c r="A14" s="9">
        <v>5</v>
      </c>
      <c r="B14" s="3" t="s">
        <v>51</v>
      </c>
      <c r="C14" s="3"/>
      <c r="D14" s="15">
        <v>54502.627099999998</v>
      </c>
      <c r="E14" s="15">
        <v>11358.7616</v>
      </c>
      <c r="F14" s="15">
        <v>22339.378499999999</v>
      </c>
      <c r="G14" s="15">
        <v>889.25670000000002</v>
      </c>
      <c r="H14" s="15">
        <v>331124.1286</v>
      </c>
      <c r="I14" s="15">
        <v>420214.15240000002</v>
      </c>
    </row>
    <row r="15" spans="1:11" ht="16" thickBot="1" x14ac:dyDescent="0.25">
      <c r="A15" s="12" t="s">
        <v>24</v>
      </c>
      <c r="B15" s="6" t="s">
        <v>125</v>
      </c>
      <c r="C15" s="6"/>
      <c r="D15" s="18">
        <v>198297.34210000001</v>
      </c>
      <c r="E15" s="18">
        <v>64865.605900000002</v>
      </c>
      <c r="F15" s="18">
        <v>145705.95060000001</v>
      </c>
      <c r="G15" s="18">
        <v>10241.200000000001</v>
      </c>
      <c r="H15" s="18">
        <v>1328797.4021999999</v>
      </c>
      <c r="I15" s="18">
        <v>1747907.5008</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E83EA-7C40-47F5-99C3-1D434012828F}">
  <dimension ref="A1:I29"/>
  <sheetViews>
    <sheetView zoomScale="132" workbookViewId="0">
      <pane xSplit="3" ySplit="9" topLeftCell="D13" activePane="bottomRight" state="frozenSplit"/>
      <selection pane="topRight" activeCell="D1" sqref="D1"/>
      <selection pane="bottomLeft" activeCell="A10" sqref="A10"/>
      <selection pane="bottomRight" activeCell="D10" sqref="D10"/>
    </sheetView>
  </sheetViews>
  <sheetFormatPr baseColWidth="10" defaultColWidth="8.83203125" defaultRowHeight="15" x14ac:dyDescent="0.2"/>
  <cols>
    <col min="1" max="1" width="4.6640625" customWidth="1"/>
    <col min="2" max="2" width="40.6640625" customWidth="1"/>
    <col min="4" max="5" width="12.6640625" customWidth="1"/>
    <col min="6" max="7" width="2.6640625" customWidth="1"/>
    <col min="8" max="9" width="12.6640625" customWidth="1"/>
  </cols>
  <sheetData>
    <row r="1" spans="1:9" x14ac:dyDescent="0.2">
      <c r="A1" s="1" t="s">
        <v>100</v>
      </c>
      <c r="B1" s="1"/>
      <c r="C1" s="1"/>
      <c r="D1" s="19"/>
      <c r="E1" s="19"/>
      <c r="F1" s="19"/>
      <c r="G1" s="19"/>
      <c r="H1" s="19"/>
      <c r="I1" s="19"/>
    </row>
    <row r="2" spans="1:9" x14ac:dyDescent="0.2">
      <c r="A2" s="1"/>
      <c r="B2" s="1"/>
      <c r="C2" s="1"/>
      <c r="D2" s="19"/>
      <c r="E2" s="19"/>
      <c r="F2" s="19"/>
      <c r="G2" s="19"/>
      <c r="H2" s="19"/>
      <c r="I2" s="19"/>
    </row>
    <row r="3" spans="1:9" x14ac:dyDescent="0.2">
      <c r="A3" s="1"/>
      <c r="B3" s="1"/>
      <c r="C3" s="1"/>
      <c r="D3" s="19"/>
      <c r="E3" s="19"/>
      <c r="F3" s="19"/>
      <c r="G3" s="19"/>
      <c r="H3" s="19"/>
      <c r="I3" s="19"/>
    </row>
    <row r="4" spans="1:9" ht="16" thickBot="1" x14ac:dyDescent="0.25">
      <c r="A4" s="2"/>
      <c r="B4" s="2"/>
      <c r="C4" s="2"/>
      <c r="D4" s="20"/>
      <c r="E4" s="20"/>
      <c r="F4" s="20"/>
      <c r="G4" s="20"/>
      <c r="H4" s="20"/>
      <c r="I4" s="20"/>
    </row>
    <row r="5" spans="1:9" x14ac:dyDescent="0.2">
      <c r="A5" s="1"/>
      <c r="B5" s="1"/>
      <c r="C5" s="1"/>
      <c r="D5" s="19"/>
      <c r="E5" s="19"/>
      <c r="F5" s="19"/>
      <c r="G5" s="19"/>
      <c r="H5" s="19"/>
      <c r="I5" s="19"/>
    </row>
    <row r="6" spans="1:9" ht="80.25" customHeight="1" x14ac:dyDescent="0.2">
      <c r="A6" s="1"/>
      <c r="B6" s="1"/>
      <c r="C6" s="21"/>
      <c r="D6" s="22" t="s">
        <v>107</v>
      </c>
      <c r="E6" s="22"/>
      <c r="F6" s="22"/>
      <c r="G6" s="22"/>
      <c r="H6" s="22" t="s">
        <v>108</v>
      </c>
      <c r="I6" s="22"/>
    </row>
    <row r="7" spans="1:9" ht="25" x14ac:dyDescent="0.2">
      <c r="A7" s="1"/>
      <c r="B7" s="1"/>
      <c r="C7" s="23"/>
      <c r="D7" s="24" t="s">
        <v>102</v>
      </c>
      <c r="E7" s="24" t="s">
        <v>103</v>
      </c>
      <c r="F7" s="24" t="s">
        <v>104</v>
      </c>
      <c r="G7" s="24" t="s">
        <v>101</v>
      </c>
      <c r="H7" s="24" t="s">
        <v>105</v>
      </c>
      <c r="I7" s="24" t="s">
        <v>106</v>
      </c>
    </row>
    <row r="8" spans="1:9" x14ac:dyDescent="0.2">
      <c r="A8" s="1"/>
      <c r="B8" s="1"/>
      <c r="C8" s="1"/>
      <c r="D8" s="19"/>
      <c r="E8" s="19"/>
      <c r="F8" s="19"/>
      <c r="G8" s="19"/>
      <c r="H8" s="19"/>
      <c r="I8" s="19"/>
    </row>
    <row r="9" spans="1:9" ht="16" thickBot="1" x14ac:dyDescent="0.25">
      <c r="A9" s="7"/>
      <c r="B9" s="2"/>
      <c r="C9" s="2"/>
      <c r="D9" s="20">
        <v>1</v>
      </c>
      <c r="E9" s="20">
        <v>2</v>
      </c>
      <c r="F9" s="20" t="s">
        <v>101</v>
      </c>
      <c r="G9" s="20" t="s">
        <v>101</v>
      </c>
      <c r="H9" s="20">
        <v>3</v>
      </c>
      <c r="I9" s="20">
        <v>4</v>
      </c>
    </row>
    <row r="10" spans="1:9" x14ac:dyDescent="0.2">
      <c r="A10" s="8">
        <v>1</v>
      </c>
      <c r="B10" s="1" t="s">
        <v>140</v>
      </c>
      <c r="C10" s="1"/>
      <c r="D10" s="25">
        <v>1.1351</v>
      </c>
      <c r="E10" s="25">
        <v>3.2696000000000001</v>
      </c>
      <c r="F10" s="25"/>
      <c r="G10" s="25"/>
      <c r="H10" s="25">
        <v>1.0298</v>
      </c>
      <c r="I10" s="25">
        <v>3.5529999999999999</v>
      </c>
    </row>
    <row r="11" spans="1:9" x14ac:dyDescent="0.2">
      <c r="A11" s="8">
        <v>2</v>
      </c>
      <c r="B11" s="1" t="s">
        <v>8</v>
      </c>
      <c r="C11" s="1"/>
      <c r="D11" s="25">
        <v>0.94410000000000005</v>
      </c>
      <c r="E11" s="25">
        <v>3.7898000000000001</v>
      </c>
      <c r="F11" s="25"/>
      <c r="G11" s="25"/>
      <c r="H11" s="25">
        <v>0.877</v>
      </c>
      <c r="I11" s="25">
        <v>4.0183999999999997</v>
      </c>
    </row>
    <row r="12" spans="1:9" x14ac:dyDescent="0.2">
      <c r="A12" s="8">
        <v>3</v>
      </c>
      <c r="B12" s="1" t="s">
        <v>9</v>
      </c>
      <c r="C12" s="1"/>
      <c r="D12" s="25">
        <v>1.5562</v>
      </c>
      <c r="E12" s="25">
        <v>2.2804000000000002</v>
      </c>
      <c r="F12" s="25"/>
      <c r="G12" s="25"/>
      <c r="H12" s="25">
        <v>0.89929999999999999</v>
      </c>
      <c r="I12" s="25">
        <v>3.9102999999999999</v>
      </c>
    </row>
    <row r="13" spans="1:9" x14ac:dyDescent="0.2">
      <c r="A13" s="8">
        <v>4</v>
      </c>
      <c r="B13" s="1" t="s">
        <v>10</v>
      </c>
      <c r="C13" s="1"/>
      <c r="D13" s="25">
        <v>1.1652</v>
      </c>
      <c r="E13" s="25">
        <v>3.8653</v>
      </c>
      <c r="F13" s="25"/>
      <c r="G13" s="25"/>
      <c r="H13" s="25">
        <v>1.2419</v>
      </c>
      <c r="I13" s="25">
        <v>3.5598000000000001</v>
      </c>
    </row>
    <row r="14" spans="1:9" x14ac:dyDescent="0.2">
      <c r="A14" s="8">
        <v>5</v>
      </c>
      <c r="B14" s="1" t="s">
        <v>11</v>
      </c>
      <c r="C14" s="1"/>
      <c r="D14" s="25">
        <v>0.81259999999999999</v>
      </c>
      <c r="E14" s="25">
        <v>3.7585999999999999</v>
      </c>
      <c r="F14" s="25"/>
      <c r="G14" s="25"/>
      <c r="H14" s="25">
        <v>0.8871</v>
      </c>
      <c r="I14" s="25">
        <v>3.3752</v>
      </c>
    </row>
    <row r="15" spans="1:9" x14ac:dyDescent="0.2">
      <c r="A15" s="8">
        <v>6</v>
      </c>
      <c r="B15" s="1" t="s">
        <v>12</v>
      </c>
      <c r="C15" s="1"/>
      <c r="D15" s="25">
        <v>0.80200000000000005</v>
      </c>
      <c r="E15" s="25">
        <v>3.7513000000000001</v>
      </c>
      <c r="F15" s="25"/>
      <c r="G15" s="25"/>
      <c r="H15" s="25">
        <v>1.1209</v>
      </c>
      <c r="I15" s="25">
        <v>2.6145</v>
      </c>
    </row>
    <row r="16" spans="1:9" x14ac:dyDescent="0.2">
      <c r="A16" s="8">
        <v>7</v>
      </c>
      <c r="B16" s="1" t="s">
        <v>141</v>
      </c>
      <c r="C16" s="1"/>
      <c r="D16" s="25">
        <v>1.0610999999999999</v>
      </c>
      <c r="E16" s="25">
        <v>3.8654000000000002</v>
      </c>
      <c r="F16" s="25"/>
      <c r="G16" s="25"/>
      <c r="H16" s="25">
        <v>1.0411999999999999</v>
      </c>
      <c r="I16" s="25">
        <v>3.8643999999999998</v>
      </c>
    </row>
    <row r="17" spans="1:9" x14ac:dyDescent="0.2">
      <c r="A17" s="8">
        <v>8</v>
      </c>
      <c r="B17" s="1" t="s">
        <v>142</v>
      </c>
      <c r="C17" s="1"/>
      <c r="D17" s="25">
        <v>0.88029999999999997</v>
      </c>
      <c r="E17" s="25">
        <v>3.3614999999999999</v>
      </c>
      <c r="F17" s="25"/>
      <c r="G17" s="25"/>
      <c r="H17" s="25">
        <v>0.99029999999999996</v>
      </c>
      <c r="I17" s="25">
        <v>2.9138000000000002</v>
      </c>
    </row>
    <row r="18" spans="1:9" x14ac:dyDescent="0.2">
      <c r="A18" s="8">
        <v>9</v>
      </c>
      <c r="B18" s="1" t="s">
        <v>143</v>
      </c>
      <c r="C18" s="1"/>
      <c r="D18" s="25">
        <v>0.91180000000000005</v>
      </c>
      <c r="E18" s="25">
        <v>3.2698999999999998</v>
      </c>
      <c r="F18" s="25"/>
      <c r="G18" s="25"/>
      <c r="H18" s="25">
        <v>1.0794999999999999</v>
      </c>
      <c r="I18" s="25">
        <v>2.7044000000000001</v>
      </c>
    </row>
    <row r="19" spans="1:9" x14ac:dyDescent="0.2">
      <c r="A19" s="9">
        <v>10</v>
      </c>
      <c r="B19" s="3" t="s">
        <v>144</v>
      </c>
      <c r="C19" s="3"/>
      <c r="D19" s="26">
        <v>1.0531999999999999</v>
      </c>
      <c r="E19" s="26">
        <v>3.6309</v>
      </c>
      <c r="F19" s="26"/>
      <c r="G19" s="26"/>
      <c r="H19" s="26">
        <v>1.0978000000000001</v>
      </c>
      <c r="I19" s="26">
        <v>3.4148999999999998</v>
      </c>
    </row>
    <row r="20" spans="1:9" x14ac:dyDescent="0.2">
      <c r="A20" s="10">
        <v>11</v>
      </c>
      <c r="B20" s="4" t="s">
        <v>145</v>
      </c>
      <c r="C20" s="4"/>
      <c r="D20" s="27">
        <v>1.0321</v>
      </c>
      <c r="E20" s="27">
        <v>3.4283000000000001</v>
      </c>
      <c r="F20" s="27"/>
      <c r="G20" s="27"/>
      <c r="H20" s="27">
        <v>0.93</v>
      </c>
      <c r="I20" s="27">
        <v>3.7542</v>
      </c>
    </row>
    <row r="21" spans="1:9" x14ac:dyDescent="0.2">
      <c r="A21" s="8">
        <v>12</v>
      </c>
      <c r="B21" s="1" t="s">
        <v>146</v>
      </c>
      <c r="C21" s="1"/>
      <c r="D21" s="25">
        <v>1.2915000000000001</v>
      </c>
      <c r="E21" s="25">
        <v>2.38</v>
      </c>
      <c r="F21" s="25"/>
      <c r="G21" s="25"/>
      <c r="H21" s="25">
        <v>1.1426000000000001</v>
      </c>
      <c r="I21" s="25">
        <v>2.6757</v>
      </c>
    </row>
    <row r="22" spans="1:9" x14ac:dyDescent="0.2">
      <c r="A22" s="8">
        <v>13</v>
      </c>
      <c r="B22" s="1" t="s">
        <v>13</v>
      </c>
      <c r="C22" s="1"/>
      <c r="D22" s="25">
        <v>0.66910000000000003</v>
      </c>
      <c r="E22" s="25">
        <v>4.4721000000000002</v>
      </c>
      <c r="F22" s="25"/>
      <c r="G22" s="25"/>
      <c r="H22" s="25">
        <v>0.84960000000000002</v>
      </c>
      <c r="I22" s="25">
        <v>3.4470999999999998</v>
      </c>
    </row>
    <row r="23" spans="1:9" x14ac:dyDescent="0.2">
      <c r="A23" s="8">
        <v>14</v>
      </c>
      <c r="B23" s="1" t="s">
        <v>14</v>
      </c>
      <c r="C23" s="1"/>
      <c r="D23" s="25">
        <v>1.1954</v>
      </c>
      <c r="E23" s="25">
        <v>2.6314000000000002</v>
      </c>
      <c r="F23" s="25"/>
      <c r="G23" s="25"/>
      <c r="H23" s="25">
        <v>0.95879999999999999</v>
      </c>
      <c r="I23" s="25">
        <v>3.2452999999999999</v>
      </c>
    </row>
    <row r="24" spans="1:9" x14ac:dyDescent="0.2">
      <c r="A24" s="8">
        <v>15</v>
      </c>
      <c r="B24" s="1" t="s">
        <v>15</v>
      </c>
      <c r="C24" s="1"/>
      <c r="D24" s="25">
        <v>1.3794999999999999</v>
      </c>
      <c r="E24" s="25">
        <v>2.2679</v>
      </c>
      <c r="F24" s="25"/>
      <c r="G24" s="25"/>
      <c r="H24" s="25">
        <v>0.91520000000000001</v>
      </c>
      <c r="I24" s="25">
        <v>3.3866999999999998</v>
      </c>
    </row>
    <row r="25" spans="1:9" x14ac:dyDescent="0.2">
      <c r="A25" s="8">
        <v>16</v>
      </c>
      <c r="B25" s="1" t="s">
        <v>147</v>
      </c>
      <c r="C25" s="1"/>
      <c r="D25" s="25">
        <v>0.76280000000000003</v>
      </c>
      <c r="E25" s="25">
        <v>3.9813000000000001</v>
      </c>
      <c r="F25" s="25"/>
      <c r="G25" s="25"/>
      <c r="H25" s="25">
        <v>1.1406000000000001</v>
      </c>
      <c r="I25" s="25">
        <v>2.5912000000000002</v>
      </c>
    </row>
    <row r="26" spans="1:9" x14ac:dyDescent="0.2">
      <c r="A26" s="8">
        <v>17</v>
      </c>
      <c r="B26" s="1" t="s">
        <v>16</v>
      </c>
      <c r="C26" s="1"/>
      <c r="D26" s="25">
        <v>0.75970000000000004</v>
      </c>
      <c r="E26" s="25">
        <v>4.0011000000000001</v>
      </c>
      <c r="F26" s="25"/>
      <c r="G26" s="25"/>
      <c r="H26" s="25">
        <v>0.86680000000000001</v>
      </c>
      <c r="I26" s="25">
        <v>3.4180000000000001</v>
      </c>
    </row>
    <row r="27" spans="1:9" x14ac:dyDescent="0.2">
      <c r="A27" s="8">
        <v>18</v>
      </c>
      <c r="B27" s="1" t="s">
        <v>17</v>
      </c>
      <c r="C27" s="1"/>
      <c r="D27" s="25">
        <v>0.81759999999999999</v>
      </c>
      <c r="E27" s="25">
        <v>4.0850999999999997</v>
      </c>
      <c r="F27" s="25"/>
      <c r="G27" s="25"/>
      <c r="H27" s="25">
        <v>0.99570000000000003</v>
      </c>
      <c r="I27" s="25">
        <v>3.2658</v>
      </c>
    </row>
    <row r="28" spans="1:9" x14ac:dyDescent="0.2">
      <c r="A28" s="8">
        <v>19</v>
      </c>
      <c r="B28" s="1" t="s">
        <v>148</v>
      </c>
      <c r="C28" s="1"/>
      <c r="D28" s="25">
        <v>0.85589999999999999</v>
      </c>
      <c r="E28" s="25">
        <v>3.5819999999999999</v>
      </c>
      <c r="F28" s="25"/>
      <c r="G28" s="25"/>
      <c r="H28" s="25">
        <v>1.0101</v>
      </c>
      <c r="I28" s="25">
        <v>2.9496000000000002</v>
      </c>
    </row>
    <row r="29" spans="1:9" ht="16" thickBot="1" x14ac:dyDescent="0.25">
      <c r="A29" s="7">
        <v>20</v>
      </c>
      <c r="B29" s="2" t="s">
        <v>149</v>
      </c>
      <c r="C29" s="2"/>
      <c r="D29" s="28">
        <v>0.91490000000000005</v>
      </c>
      <c r="E29" s="28">
        <v>3.2498</v>
      </c>
      <c r="F29" s="28"/>
      <c r="G29" s="28"/>
      <c r="H29" s="28">
        <v>0.92589999999999995</v>
      </c>
      <c r="I29" s="28">
        <v>3.1577999999999999</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C2C93-B7D0-4A23-9356-6BA36D84502F}">
  <dimension ref="A1:J30"/>
  <sheetViews>
    <sheetView zoomScale="125" workbookViewId="0">
      <pane xSplit="3" ySplit="9" topLeftCell="D10" activePane="bottomRight" state="frozenSplit"/>
      <selection pane="topRight" activeCell="D1" sqref="D1"/>
      <selection pane="bottomLeft" activeCell="A10" sqref="A10"/>
      <selection pane="bottomRight" activeCell="D10" sqref="D10"/>
    </sheetView>
  </sheetViews>
  <sheetFormatPr baseColWidth="10" defaultColWidth="8.83203125" defaultRowHeight="15" x14ac:dyDescent="0.2"/>
  <cols>
    <col min="1" max="1" width="4.6640625" customWidth="1"/>
    <col min="2" max="2" width="40.6640625" customWidth="1"/>
    <col min="4" max="8" width="12.6640625" customWidth="1"/>
  </cols>
  <sheetData>
    <row r="1" spans="1:10" x14ac:dyDescent="0.2">
      <c r="A1" s="1" t="s">
        <v>129</v>
      </c>
      <c r="B1" s="1"/>
      <c r="C1" s="1"/>
      <c r="D1" s="19"/>
      <c r="E1" s="19"/>
      <c r="F1" s="19"/>
      <c r="G1" s="19"/>
      <c r="H1" s="19"/>
    </row>
    <row r="2" spans="1:10" x14ac:dyDescent="0.2">
      <c r="A2" s="1"/>
      <c r="B2" s="1"/>
      <c r="C2" s="1"/>
      <c r="D2" s="19"/>
      <c r="E2" s="19"/>
      <c r="F2" s="19"/>
      <c r="G2" s="19"/>
      <c r="H2" s="19"/>
    </row>
    <row r="3" spans="1:10" x14ac:dyDescent="0.2">
      <c r="A3" s="1"/>
      <c r="B3" s="1"/>
      <c r="C3" s="1"/>
      <c r="D3" s="19"/>
      <c r="E3" s="19"/>
      <c r="F3" s="19"/>
      <c r="G3" s="19"/>
      <c r="H3" s="19"/>
    </row>
    <row r="4" spans="1:10" ht="16" thickBot="1" x14ac:dyDescent="0.25">
      <c r="A4" s="2"/>
      <c r="B4" s="2"/>
      <c r="C4" s="2"/>
      <c r="D4" s="20"/>
      <c r="E4" s="20"/>
      <c r="F4" s="20"/>
      <c r="G4" s="20"/>
      <c r="H4" s="20"/>
    </row>
    <row r="5" spans="1:10" x14ac:dyDescent="0.2">
      <c r="A5" s="1"/>
      <c r="B5" s="1"/>
      <c r="C5" s="1"/>
      <c r="D5" s="19"/>
      <c r="E5" s="19"/>
      <c r="F5" s="19"/>
      <c r="G5" s="19"/>
      <c r="H5" s="19"/>
    </row>
    <row r="6" spans="1:10" ht="80.25" customHeight="1" x14ac:dyDescent="0.2">
      <c r="A6" s="1"/>
      <c r="B6" s="1"/>
      <c r="C6" s="21"/>
      <c r="D6" s="22" t="s">
        <v>131</v>
      </c>
      <c r="E6" s="22" t="s">
        <v>132</v>
      </c>
      <c r="F6" s="22" t="s">
        <v>133</v>
      </c>
      <c r="G6" s="22" t="s">
        <v>101</v>
      </c>
      <c r="H6" s="22" t="s">
        <v>134</v>
      </c>
    </row>
    <row r="7" spans="1:10" x14ac:dyDescent="0.2">
      <c r="A7" s="1"/>
      <c r="B7" s="1"/>
      <c r="C7" s="1"/>
      <c r="D7" s="51"/>
      <c r="E7" s="51" t="s">
        <v>139</v>
      </c>
      <c r="F7" s="51"/>
      <c r="G7" s="51"/>
      <c r="H7" s="51" t="s">
        <v>130</v>
      </c>
    </row>
    <row r="8" spans="1:10" x14ac:dyDescent="0.2">
      <c r="A8" s="1"/>
      <c r="B8" s="1"/>
      <c r="C8" s="1"/>
      <c r="D8" s="19"/>
      <c r="E8" s="19"/>
      <c r="F8" s="19"/>
      <c r="G8" s="19"/>
      <c r="H8" s="19"/>
    </row>
    <row r="9" spans="1:10" ht="16" thickBot="1" x14ac:dyDescent="0.25">
      <c r="A9" s="7"/>
      <c r="B9" s="2"/>
      <c r="C9" s="2"/>
      <c r="D9" s="20"/>
      <c r="E9" s="20"/>
      <c r="F9" s="20"/>
      <c r="G9" s="20"/>
      <c r="H9" s="20"/>
    </row>
    <row r="10" spans="1:10" x14ac:dyDescent="0.2">
      <c r="A10" s="8">
        <v>1</v>
      </c>
      <c r="B10" s="1" t="s">
        <v>140</v>
      </c>
      <c r="C10" s="1"/>
      <c r="D10" s="30">
        <v>191.65450000000001</v>
      </c>
      <c r="E10" s="30">
        <v>109.0081</v>
      </c>
      <c r="F10" s="30">
        <v>82.6464</v>
      </c>
      <c r="G10" s="30"/>
      <c r="H10" s="25">
        <v>0.43120000000000003</v>
      </c>
      <c r="J10" s="45"/>
    </row>
    <row r="11" spans="1:10" x14ac:dyDescent="0.2">
      <c r="A11" s="8">
        <v>2</v>
      </c>
      <c r="B11" s="1" t="s">
        <v>8</v>
      </c>
      <c r="C11" s="1"/>
      <c r="D11" s="30">
        <v>323098.93709999998</v>
      </c>
      <c r="E11" s="30">
        <v>193116.30549999999</v>
      </c>
      <c r="F11" s="30">
        <v>129982.63159999999</v>
      </c>
      <c r="G11" s="30"/>
      <c r="H11" s="25">
        <v>0.40229999999999999</v>
      </c>
      <c r="J11" s="45"/>
    </row>
    <row r="12" spans="1:10" x14ac:dyDescent="0.2">
      <c r="A12" s="8">
        <v>3</v>
      </c>
      <c r="B12" s="1" t="s">
        <v>9</v>
      </c>
      <c r="C12" s="1"/>
      <c r="D12" s="30">
        <v>689.44330000000002</v>
      </c>
      <c r="E12" s="30">
        <v>353.61700000000002</v>
      </c>
      <c r="F12" s="30">
        <v>335.8263</v>
      </c>
      <c r="G12" s="30"/>
      <c r="H12" s="25">
        <v>0.48709999999999998</v>
      </c>
      <c r="J12" s="45"/>
    </row>
    <row r="13" spans="1:10" x14ac:dyDescent="0.2">
      <c r="A13" s="8">
        <v>4</v>
      </c>
      <c r="B13" s="1" t="s">
        <v>10</v>
      </c>
      <c r="C13" s="1"/>
      <c r="D13" s="30">
        <v>1697.3321000000001</v>
      </c>
      <c r="E13" s="30">
        <v>692.78480000000002</v>
      </c>
      <c r="F13" s="30">
        <v>1004.5473</v>
      </c>
      <c r="G13" s="30"/>
      <c r="H13" s="25">
        <v>0.59179999999999999</v>
      </c>
      <c r="J13" s="45"/>
    </row>
    <row r="14" spans="1:10" x14ac:dyDescent="0.2">
      <c r="A14" s="8">
        <v>5</v>
      </c>
      <c r="B14" s="1" t="s">
        <v>11</v>
      </c>
      <c r="C14" s="1"/>
      <c r="D14" s="30">
        <v>253223.83679999999</v>
      </c>
      <c r="E14" s="30">
        <v>108310.0367</v>
      </c>
      <c r="F14" s="30">
        <v>144913.8002</v>
      </c>
      <c r="G14" s="30"/>
      <c r="H14" s="25">
        <v>0.57230000000000003</v>
      </c>
      <c r="J14" s="45"/>
    </row>
    <row r="15" spans="1:10" x14ac:dyDescent="0.2">
      <c r="A15" s="8">
        <v>6</v>
      </c>
      <c r="B15" s="1" t="s">
        <v>12</v>
      </c>
      <c r="C15" s="1"/>
      <c r="D15" s="30">
        <v>2174.0387000000001</v>
      </c>
      <c r="E15" s="30">
        <v>519.57799999999997</v>
      </c>
      <c r="F15" s="30">
        <v>1654.4607000000001</v>
      </c>
      <c r="G15" s="30"/>
      <c r="H15" s="25">
        <v>0.76100000000000001</v>
      </c>
      <c r="J15" s="45"/>
    </row>
    <row r="16" spans="1:10" x14ac:dyDescent="0.2">
      <c r="A16" s="8">
        <v>7</v>
      </c>
      <c r="B16" s="1" t="s">
        <v>141</v>
      </c>
      <c r="C16" s="1"/>
      <c r="D16" s="30">
        <v>186500.87100000001</v>
      </c>
      <c r="E16" s="30">
        <v>106772.6372</v>
      </c>
      <c r="F16" s="30">
        <v>79728.233800000002</v>
      </c>
      <c r="G16" s="30"/>
      <c r="H16" s="25">
        <v>0.42749999999999999</v>
      </c>
      <c r="J16" s="45"/>
    </row>
    <row r="17" spans="1:10" x14ac:dyDescent="0.2">
      <c r="A17" s="8">
        <v>8</v>
      </c>
      <c r="B17" s="1" t="s">
        <v>142</v>
      </c>
      <c r="C17" s="1"/>
      <c r="D17" s="30">
        <v>3500.8672999999999</v>
      </c>
      <c r="E17" s="30">
        <v>825.25350000000003</v>
      </c>
      <c r="F17" s="30">
        <v>2675.6138000000001</v>
      </c>
      <c r="G17" s="30"/>
      <c r="H17" s="25">
        <v>0.76429999999999998</v>
      </c>
      <c r="J17" s="45"/>
    </row>
    <row r="18" spans="1:10" x14ac:dyDescent="0.2">
      <c r="A18" s="8">
        <v>9</v>
      </c>
      <c r="B18" s="1" t="s">
        <v>143</v>
      </c>
      <c r="C18" s="1"/>
      <c r="D18" s="30">
        <v>1967.1793</v>
      </c>
      <c r="E18" s="30">
        <v>778.20410000000004</v>
      </c>
      <c r="F18" s="30">
        <v>1188.9752000000001</v>
      </c>
      <c r="G18" s="30"/>
      <c r="H18" s="25">
        <v>0.60440000000000005</v>
      </c>
      <c r="J18" s="45"/>
    </row>
    <row r="19" spans="1:10" x14ac:dyDescent="0.2">
      <c r="A19" s="9">
        <v>10</v>
      </c>
      <c r="B19" s="3" t="s">
        <v>144</v>
      </c>
      <c r="C19" s="3"/>
      <c r="D19" s="31">
        <v>99794.685700000002</v>
      </c>
      <c r="E19" s="31">
        <v>59842.311800000003</v>
      </c>
      <c r="F19" s="31">
        <v>39952.373899999999</v>
      </c>
      <c r="G19" s="31"/>
      <c r="H19" s="26">
        <v>0.40029999999999999</v>
      </c>
      <c r="J19" s="45"/>
    </row>
    <row r="20" spans="1:10" x14ac:dyDescent="0.2">
      <c r="A20" s="8">
        <v>11</v>
      </c>
      <c r="B20" s="1" t="s">
        <v>145</v>
      </c>
      <c r="C20" s="1"/>
      <c r="D20" s="30">
        <v>77930.303899999999</v>
      </c>
      <c r="E20" s="30">
        <v>26626.7556</v>
      </c>
      <c r="F20" s="30">
        <v>51303.548300000002</v>
      </c>
      <c r="G20" s="30"/>
      <c r="H20" s="25">
        <v>0.6583</v>
      </c>
      <c r="J20" s="45"/>
    </row>
    <row r="21" spans="1:10" x14ac:dyDescent="0.2">
      <c r="A21" s="8">
        <v>12</v>
      </c>
      <c r="B21" s="1" t="s">
        <v>146</v>
      </c>
      <c r="C21" s="1"/>
      <c r="D21" s="30">
        <v>1472.2736</v>
      </c>
      <c r="E21" s="30">
        <v>311.70479999999998</v>
      </c>
      <c r="F21" s="30">
        <v>1160.5688</v>
      </c>
      <c r="G21" s="30"/>
      <c r="H21" s="25">
        <v>0.7883</v>
      </c>
      <c r="J21" s="45"/>
    </row>
    <row r="22" spans="1:10" x14ac:dyDescent="0.2">
      <c r="A22" s="8">
        <v>13</v>
      </c>
      <c r="B22" s="1" t="s">
        <v>13</v>
      </c>
      <c r="C22" s="1"/>
      <c r="D22" s="30">
        <v>503.63319999999999</v>
      </c>
      <c r="E22" s="30">
        <v>33.5685</v>
      </c>
      <c r="F22" s="30">
        <v>470.06459999999998</v>
      </c>
      <c r="G22" s="30"/>
      <c r="H22" s="25">
        <v>0.93330000000000002</v>
      </c>
      <c r="J22" s="45"/>
    </row>
    <row r="23" spans="1:10" x14ac:dyDescent="0.2">
      <c r="A23" s="8">
        <v>14</v>
      </c>
      <c r="B23" s="1" t="s">
        <v>14</v>
      </c>
      <c r="C23" s="1"/>
      <c r="D23" s="30">
        <v>27272.008999999998</v>
      </c>
      <c r="E23" s="30">
        <v>10917.4419</v>
      </c>
      <c r="F23" s="30">
        <v>16354.5671</v>
      </c>
      <c r="G23" s="30"/>
      <c r="H23" s="25">
        <v>0.59970000000000001</v>
      </c>
      <c r="J23" s="45"/>
    </row>
    <row r="24" spans="1:10" x14ac:dyDescent="0.2">
      <c r="A24" s="8">
        <v>15</v>
      </c>
      <c r="B24" s="1" t="s">
        <v>15</v>
      </c>
      <c r="C24" s="1"/>
      <c r="D24" s="30">
        <v>8252.8353999999999</v>
      </c>
      <c r="E24" s="30">
        <v>1885.9498000000001</v>
      </c>
      <c r="F24" s="30">
        <v>6366.8856999999998</v>
      </c>
      <c r="G24" s="30"/>
      <c r="H24" s="25">
        <v>0.77149999999999996</v>
      </c>
      <c r="J24" s="45"/>
    </row>
    <row r="25" spans="1:10" x14ac:dyDescent="0.2">
      <c r="A25" s="8">
        <v>16</v>
      </c>
      <c r="B25" s="1" t="s">
        <v>147</v>
      </c>
      <c r="C25" s="1"/>
      <c r="D25" s="30">
        <v>1161.5942</v>
      </c>
      <c r="E25" s="30">
        <v>458.92849999999999</v>
      </c>
      <c r="F25" s="30">
        <v>702.66570000000002</v>
      </c>
      <c r="G25" s="30"/>
      <c r="H25" s="25">
        <v>0.60489999999999999</v>
      </c>
      <c r="J25" s="45"/>
    </row>
    <row r="26" spans="1:10" x14ac:dyDescent="0.2">
      <c r="A26" s="8">
        <v>17</v>
      </c>
      <c r="B26" s="1" t="s">
        <v>16</v>
      </c>
      <c r="C26" s="1"/>
      <c r="D26" s="30">
        <v>3100.3456000000001</v>
      </c>
      <c r="E26" s="30">
        <v>471.28449999999998</v>
      </c>
      <c r="F26" s="30">
        <v>2629.0610999999999</v>
      </c>
      <c r="G26" s="30"/>
      <c r="H26" s="25">
        <v>0.84799999999999998</v>
      </c>
      <c r="J26" s="45"/>
    </row>
    <row r="27" spans="1:10" x14ac:dyDescent="0.2">
      <c r="A27" s="8">
        <v>18</v>
      </c>
      <c r="B27" s="1" t="s">
        <v>17</v>
      </c>
      <c r="C27" s="1"/>
      <c r="D27" s="30">
        <v>789.22680000000003</v>
      </c>
      <c r="E27" s="30">
        <v>180.83340000000001</v>
      </c>
      <c r="F27" s="30">
        <v>608.39340000000004</v>
      </c>
      <c r="G27" s="30"/>
      <c r="H27" s="25">
        <v>0.77090000000000003</v>
      </c>
      <c r="J27" s="45"/>
    </row>
    <row r="28" spans="1:10" x14ac:dyDescent="0.2">
      <c r="A28" s="8">
        <v>19</v>
      </c>
      <c r="B28" s="1" t="s">
        <v>148</v>
      </c>
      <c r="C28" s="1"/>
      <c r="D28" s="30">
        <v>2312.8843000000002</v>
      </c>
      <c r="E28" s="30">
        <v>490.67540000000002</v>
      </c>
      <c r="F28" s="30">
        <v>1822.2090000000001</v>
      </c>
      <c r="G28" s="30"/>
      <c r="H28" s="25">
        <v>0.78790000000000004</v>
      </c>
      <c r="J28" s="45"/>
    </row>
    <row r="29" spans="1:10" x14ac:dyDescent="0.2">
      <c r="A29" s="9">
        <v>20</v>
      </c>
      <c r="B29" s="3" t="s">
        <v>149</v>
      </c>
      <c r="C29" s="3"/>
      <c r="D29" s="31">
        <v>286.76440000000002</v>
      </c>
      <c r="E29" s="31">
        <v>62.387300000000003</v>
      </c>
      <c r="F29" s="31">
        <v>224.37700000000001</v>
      </c>
      <c r="G29" s="31"/>
      <c r="H29" s="26">
        <v>0.78239999999999998</v>
      </c>
      <c r="J29" s="45"/>
    </row>
    <row r="30" spans="1:10" ht="16" thickBot="1" x14ac:dyDescent="0.25">
      <c r="A30" s="12" t="s">
        <v>24</v>
      </c>
      <c r="B30" s="6" t="s">
        <v>82</v>
      </c>
      <c r="C30" s="6"/>
      <c r="D30" s="32">
        <v>995920.71609999996</v>
      </c>
      <c r="E30" s="32">
        <v>512759.26630000002</v>
      </c>
      <c r="F30" s="32">
        <v>483161.4498</v>
      </c>
      <c r="G30" s="32"/>
      <c r="H30" s="33">
        <v>0.48509999999999998</v>
      </c>
      <c r="J30" s="45"/>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Content</vt:lpstr>
      <vt:lpstr>Table 1</vt:lpstr>
      <vt:lpstr>Table 2</vt:lpstr>
      <vt:lpstr>Table 3</vt:lpstr>
      <vt:lpstr>Table 4</vt:lpstr>
      <vt:lpstr>Table 5</vt:lpstr>
      <vt:lpstr>Table 6</vt:lpstr>
      <vt:lpstr>Table 7</vt:lpstr>
      <vt:lpstr>Table 8</vt:lpstr>
      <vt:lpstr>Table 9</vt:lpstr>
      <vt:lpstr>Table 11</vt:lpstr>
      <vt:lpstr>Table 12</vt:lpstr>
      <vt:lpstr>Table 13</vt:lpstr>
      <vt:lpstr>Table 10</vt:lpstr>
      <vt:lpstr>Table 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2025-03-24T04:00:37Z</dcterms:created>
  <dcterms:modified xsi:type="dcterms:W3CDTF">2025-08-22T08:25:16Z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434c4c7-833e-41e4-b0ab-cdb227a2f6f7_Enabled">
    <vt:lpwstr>true</vt:lpwstr>
  </property>
  <property fmtid="{D5CDD505-2E9C-101B-9397-08002B2CF9AE}" pid="3" name="MSIP_Label_5434c4c7-833e-41e4-b0ab-cdb227a2f6f7_SetDate">
    <vt:lpwstr>2025-03-24T04:00:46Z</vt:lpwstr>
  </property>
  <property fmtid="{D5CDD505-2E9C-101B-9397-08002B2CF9AE}" pid="4" name="MSIP_Label_5434c4c7-833e-41e4-b0ab-cdb227a2f6f7_Method">
    <vt:lpwstr>Privileged</vt:lpwstr>
  </property>
  <property fmtid="{D5CDD505-2E9C-101B-9397-08002B2CF9AE}" pid="5" name="MSIP_Label_5434c4c7-833e-41e4-b0ab-cdb227a2f6f7_Name">
    <vt:lpwstr>Official (Open)</vt:lpwstr>
  </property>
  <property fmtid="{D5CDD505-2E9C-101B-9397-08002B2CF9AE}" pid="6" name="MSIP_Label_5434c4c7-833e-41e4-b0ab-cdb227a2f6f7_SiteId">
    <vt:lpwstr>0b11c524-9a1c-4e1b-84cb-6336aefc2243</vt:lpwstr>
  </property>
  <property fmtid="{D5CDD505-2E9C-101B-9397-08002B2CF9AE}" pid="7" name="MSIP_Label_5434c4c7-833e-41e4-b0ab-cdb227a2f6f7_ActionId">
    <vt:lpwstr>7d90dc60-f087-4521-b690-44df37c7b587</vt:lpwstr>
  </property>
  <property fmtid="{D5CDD505-2E9C-101B-9397-08002B2CF9AE}" pid="8" name="MSIP_Label_5434c4c7-833e-41e4-b0ab-cdb227a2f6f7_ContentBits">
    <vt:lpwstr>0</vt:lpwstr>
  </property>
</Properties>
</file>