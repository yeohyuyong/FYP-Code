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yeohyy/Library/CloudStorage/GoogleDrive-yeoh.yuyong@gmail.com/My Drive/School/NTU/FYP/IOT/"/>
    </mc:Choice>
  </mc:AlternateContent>
  <xr:revisionPtr revIDLastSave="0" documentId="13_ncr:1_{81703418-9472-2948-9B00-CC7229755DD9}" xr6:coauthVersionLast="47" xr6:coauthVersionMax="47" xr10:uidLastSave="{00000000-0000-0000-0000-000000000000}"/>
  <bookViews>
    <workbookView xWindow="0" yWindow="620" windowWidth="51200" windowHeight="19480" activeTab="4" xr2:uid="{A2477D0A-FB08-7C4C-8A3E-9376F887D954}"/>
  </bookViews>
  <sheets>
    <sheet name="5-6-7-8-11-9" sheetId="1" r:id="rId1"/>
    <sheet name="Dynamic T5" sheetId="7" r:id="rId2"/>
    <sheet name="1,2,3,4,5" sheetId="5" r:id="rId3"/>
    <sheet name="1,3-5" sheetId="6" r:id="rId4"/>
    <sheet name="Make and Use --&gt; A" sheetId="9" r:id="rId5"/>
    <sheet name="terms" sheetId="3" r:id="rId6"/>
    <sheet name="RAS Algorithm"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05" i="9" l="1" a="1"/>
  <c r="AE105" i="9" s="1"/>
  <c r="AD73" i="9" a="1"/>
  <c r="AD73" i="9" s="1"/>
  <c r="B73" i="9"/>
  <c r="C73" i="9"/>
  <c r="D73" i="9"/>
  <c r="E73" i="9"/>
  <c r="F73" i="9"/>
  <c r="G73" i="9"/>
  <c r="H73" i="9"/>
  <c r="I73" i="9"/>
  <c r="J73" i="9"/>
  <c r="K73" i="9"/>
  <c r="L73" i="9"/>
  <c r="M73" i="9"/>
  <c r="N73" i="9"/>
  <c r="O73" i="9"/>
  <c r="P73" i="9"/>
  <c r="Q73" i="9"/>
  <c r="R73" i="9"/>
  <c r="S73" i="9"/>
  <c r="T73" i="9"/>
  <c r="U73" i="9"/>
  <c r="V73" i="9"/>
  <c r="W73" i="9"/>
  <c r="X73" i="9"/>
  <c r="Y73" i="9"/>
  <c r="Z73" i="9"/>
  <c r="B74" i="9"/>
  <c r="C74" i="9"/>
  <c r="D74" i="9"/>
  <c r="E74" i="9"/>
  <c r="F74" i="9"/>
  <c r="G74" i="9"/>
  <c r="H74" i="9"/>
  <c r="I74" i="9"/>
  <c r="J74" i="9"/>
  <c r="K74" i="9"/>
  <c r="L74" i="9"/>
  <c r="M74" i="9"/>
  <c r="N74" i="9"/>
  <c r="O74" i="9"/>
  <c r="P74" i="9"/>
  <c r="Q74" i="9"/>
  <c r="R74" i="9"/>
  <c r="S74" i="9"/>
  <c r="T74" i="9"/>
  <c r="U74" i="9"/>
  <c r="V74" i="9"/>
  <c r="W74" i="9"/>
  <c r="X74" i="9"/>
  <c r="Y74" i="9"/>
  <c r="Z74" i="9"/>
  <c r="B75" i="9"/>
  <c r="C75" i="9"/>
  <c r="D75" i="9"/>
  <c r="E75" i="9"/>
  <c r="F75" i="9"/>
  <c r="G75" i="9"/>
  <c r="H75" i="9"/>
  <c r="I75" i="9"/>
  <c r="J75" i="9"/>
  <c r="K75" i="9"/>
  <c r="L75" i="9"/>
  <c r="M75" i="9"/>
  <c r="N75" i="9"/>
  <c r="O75" i="9"/>
  <c r="P75" i="9"/>
  <c r="Q75" i="9"/>
  <c r="R75" i="9"/>
  <c r="S75" i="9"/>
  <c r="T75" i="9"/>
  <c r="U75" i="9"/>
  <c r="V75" i="9"/>
  <c r="W75" i="9"/>
  <c r="X75" i="9"/>
  <c r="Y75" i="9"/>
  <c r="Z75" i="9"/>
  <c r="B76" i="9"/>
  <c r="C76" i="9"/>
  <c r="D76" i="9"/>
  <c r="E76" i="9"/>
  <c r="F76" i="9"/>
  <c r="G76" i="9"/>
  <c r="H76" i="9"/>
  <c r="I76" i="9"/>
  <c r="J76" i="9"/>
  <c r="K76" i="9"/>
  <c r="L76" i="9"/>
  <c r="M76" i="9"/>
  <c r="N76" i="9"/>
  <c r="O76" i="9"/>
  <c r="P76" i="9"/>
  <c r="Q76" i="9"/>
  <c r="R76" i="9"/>
  <c r="S76" i="9"/>
  <c r="T76" i="9"/>
  <c r="U76" i="9"/>
  <c r="V76" i="9"/>
  <c r="W76" i="9"/>
  <c r="X76" i="9"/>
  <c r="Y76" i="9"/>
  <c r="Z76" i="9"/>
  <c r="B77" i="9"/>
  <c r="C77" i="9"/>
  <c r="D77" i="9"/>
  <c r="E77" i="9"/>
  <c r="F77" i="9"/>
  <c r="G77" i="9"/>
  <c r="H77" i="9"/>
  <c r="I77" i="9"/>
  <c r="J77" i="9"/>
  <c r="K77" i="9"/>
  <c r="L77" i="9"/>
  <c r="M77" i="9"/>
  <c r="N77" i="9"/>
  <c r="O77" i="9"/>
  <c r="P77" i="9"/>
  <c r="Q77" i="9"/>
  <c r="R77" i="9"/>
  <c r="S77" i="9"/>
  <c r="T77" i="9"/>
  <c r="U77" i="9"/>
  <c r="V77" i="9"/>
  <c r="W77" i="9"/>
  <c r="X77" i="9"/>
  <c r="Y77" i="9"/>
  <c r="Z77" i="9"/>
  <c r="B78" i="9"/>
  <c r="C78" i="9"/>
  <c r="D78" i="9"/>
  <c r="E78" i="9"/>
  <c r="F78" i="9"/>
  <c r="G78" i="9"/>
  <c r="H78" i="9"/>
  <c r="I78" i="9"/>
  <c r="J78" i="9"/>
  <c r="K78" i="9"/>
  <c r="L78" i="9"/>
  <c r="M78" i="9"/>
  <c r="N78" i="9"/>
  <c r="O78" i="9"/>
  <c r="P78" i="9"/>
  <c r="Q78" i="9"/>
  <c r="R78" i="9"/>
  <c r="S78" i="9"/>
  <c r="T78" i="9"/>
  <c r="U78" i="9"/>
  <c r="V78" i="9"/>
  <c r="W78" i="9"/>
  <c r="X78" i="9"/>
  <c r="Y78" i="9"/>
  <c r="Z78" i="9"/>
  <c r="B79" i="9"/>
  <c r="C79" i="9"/>
  <c r="D79" i="9"/>
  <c r="E79" i="9"/>
  <c r="F79" i="9"/>
  <c r="G79" i="9"/>
  <c r="H79" i="9"/>
  <c r="I79" i="9"/>
  <c r="J79" i="9"/>
  <c r="K79" i="9"/>
  <c r="L79" i="9"/>
  <c r="M79" i="9"/>
  <c r="N79" i="9"/>
  <c r="O79" i="9"/>
  <c r="P79" i="9"/>
  <c r="Q79" i="9"/>
  <c r="R79" i="9"/>
  <c r="S79" i="9"/>
  <c r="T79" i="9"/>
  <c r="U79" i="9"/>
  <c r="V79" i="9"/>
  <c r="W79" i="9"/>
  <c r="X79" i="9"/>
  <c r="Y79" i="9"/>
  <c r="Z79" i="9"/>
  <c r="B80" i="9"/>
  <c r="C80" i="9"/>
  <c r="D80" i="9"/>
  <c r="E80" i="9"/>
  <c r="F80" i="9"/>
  <c r="G80" i="9"/>
  <c r="H80" i="9"/>
  <c r="I80" i="9"/>
  <c r="J80" i="9"/>
  <c r="K80" i="9"/>
  <c r="L80" i="9"/>
  <c r="M80" i="9"/>
  <c r="N80" i="9"/>
  <c r="O80" i="9"/>
  <c r="P80" i="9"/>
  <c r="Q80" i="9"/>
  <c r="R80" i="9"/>
  <c r="S80" i="9"/>
  <c r="T80" i="9"/>
  <c r="U80" i="9"/>
  <c r="V80" i="9"/>
  <c r="W80" i="9"/>
  <c r="X80" i="9"/>
  <c r="Y80" i="9"/>
  <c r="Z80" i="9"/>
  <c r="B81" i="9"/>
  <c r="C81" i="9"/>
  <c r="D81" i="9"/>
  <c r="E81" i="9"/>
  <c r="F81" i="9"/>
  <c r="G81" i="9"/>
  <c r="H81" i="9"/>
  <c r="I81" i="9"/>
  <c r="J81" i="9"/>
  <c r="K81" i="9"/>
  <c r="L81" i="9"/>
  <c r="M81" i="9"/>
  <c r="N81" i="9"/>
  <c r="O81" i="9"/>
  <c r="P81" i="9"/>
  <c r="Q81" i="9"/>
  <c r="R81" i="9"/>
  <c r="S81" i="9"/>
  <c r="T81" i="9"/>
  <c r="U81" i="9"/>
  <c r="V81" i="9"/>
  <c r="W81" i="9"/>
  <c r="X81" i="9"/>
  <c r="Y81" i="9"/>
  <c r="Z81" i="9"/>
  <c r="B82" i="9"/>
  <c r="C82" i="9"/>
  <c r="D82" i="9"/>
  <c r="E82" i="9"/>
  <c r="F82" i="9"/>
  <c r="G82" i="9"/>
  <c r="H82" i="9"/>
  <c r="I82" i="9"/>
  <c r="J82" i="9"/>
  <c r="K82" i="9"/>
  <c r="L82" i="9"/>
  <c r="M82" i="9"/>
  <c r="N82" i="9"/>
  <c r="O82" i="9"/>
  <c r="P82" i="9"/>
  <c r="Q82" i="9"/>
  <c r="R82" i="9"/>
  <c r="S82" i="9"/>
  <c r="T82" i="9"/>
  <c r="U82" i="9"/>
  <c r="V82" i="9"/>
  <c r="W82" i="9"/>
  <c r="X82" i="9"/>
  <c r="Y82" i="9"/>
  <c r="Z82" i="9"/>
  <c r="B83" i="9"/>
  <c r="C83" i="9"/>
  <c r="D83" i="9"/>
  <c r="E83" i="9"/>
  <c r="F83" i="9"/>
  <c r="G83" i="9"/>
  <c r="H83" i="9"/>
  <c r="I83" i="9"/>
  <c r="J83" i="9"/>
  <c r="K83" i="9"/>
  <c r="L83" i="9"/>
  <c r="M83" i="9"/>
  <c r="N83" i="9"/>
  <c r="O83" i="9"/>
  <c r="P83" i="9"/>
  <c r="Q83" i="9"/>
  <c r="R83" i="9"/>
  <c r="S83" i="9"/>
  <c r="T83" i="9"/>
  <c r="U83" i="9"/>
  <c r="V83" i="9"/>
  <c r="W83" i="9"/>
  <c r="X83" i="9"/>
  <c r="Y83" i="9"/>
  <c r="Z83" i="9"/>
  <c r="B84" i="9"/>
  <c r="C84" i="9"/>
  <c r="D84" i="9"/>
  <c r="E84" i="9"/>
  <c r="F84" i="9"/>
  <c r="G84" i="9"/>
  <c r="H84" i="9"/>
  <c r="I84" i="9"/>
  <c r="J84" i="9"/>
  <c r="K84" i="9"/>
  <c r="L84" i="9"/>
  <c r="M84" i="9"/>
  <c r="N84" i="9"/>
  <c r="O84" i="9"/>
  <c r="P84" i="9"/>
  <c r="Q84" i="9"/>
  <c r="R84" i="9"/>
  <c r="S84" i="9"/>
  <c r="T84" i="9"/>
  <c r="U84" i="9"/>
  <c r="V84" i="9"/>
  <c r="W84" i="9"/>
  <c r="X84" i="9"/>
  <c r="Y84" i="9"/>
  <c r="Z84" i="9"/>
  <c r="B85" i="9"/>
  <c r="C85" i="9"/>
  <c r="D85" i="9"/>
  <c r="E85" i="9"/>
  <c r="F85" i="9"/>
  <c r="G85" i="9"/>
  <c r="H85" i="9"/>
  <c r="I85" i="9"/>
  <c r="J85" i="9"/>
  <c r="K85" i="9"/>
  <c r="L85" i="9"/>
  <c r="M85" i="9"/>
  <c r="N85" i="9"/>
  <c r="O85" i="9"/>
  <c r="P85" i="9"/>
  <c r="Q85" i="9"/>
  <c r="R85" i="9"/>
  <c r="S85" i="9"/>
  <c r="T85" i="9"/>
  <c r="U85" i="9"/>
  <c r="V85" i="9"/>
  <c r="W85" i="9"/>
  <c r="X85" i="9"/>
  <c r="Y85" i="9"/>
  <c r="Z85" i="9"/>
  <c r="B86" i="9"/>
  <c r="C86" i="9"/>
  <c r="D86" i="9"/>
  <c r="E86" i="9"/>
  <c r="F86" i="9"/>
  <c r="G86" i="9"/>
  <c r="H86" i="9"/>
  <c r="I86" i="9"/>
  <c r="J86" i="9"/>
  <c r="K86" i="9"/>
  <c r="L86" i="9"/>
  <c r="M86" i="9"/>
  <c r="N86" i="9"/>
  <c r="O86" i="9"/>
  <c r="P86" i="9"/>
  <c r="Q86" i="9"/>
  <c r="R86" i="9"/>
  <c r="S86" i="9"/>
  <c r="T86" i="9"/>
  <c r="U86" i="9"/>
  <c r="V86" i="9"/>
  <c r="W86" i="9"/>
  <c r="X86" i="9"/>
  <c r="Y86" i="9"/>
  <c r="Z86" i="9"/>
  <c r="B87" i="9"/>
  <c r="C87" i="9"/>
  <c r="D87" i="9"/>
  <c r="E87" i="9"/>
  <c r="F87" i="9"/>
  <c r="G87" i="9"/>
  <c r="H87" i="9"/>
  <c r="I87" i="9"/>
  <c r="J87" i="9"/>
  <c r="K87" i="9"/>
  <c r="L87" i="9"/>
  <c r="M87" i="9"/>
  <c r="N87" i="9"/>
  <c r="O87" i="9"/>
  <c r="P87" i="9"/>
  <c r="Q87" i="9"/>
  <c r="R87" i="9"/>
  <c r="S87" i="9"/>
  <c r="T87" i="9"/>
  <c r="U87" i="9"/>
  <c r="V87" i="9"/>
  <c r="W87" i="9"/>
  <c r="X87" i="9"/>
  <c r="Y87" i="9"/>
  <c r="Z87" i="9"/>
  <c r="B88" i="9"/>
  <c r="C88" i="9"/>
  <c r="D88" i="9"/>
  <c r="E88" i="9"/>
  <c r="F88" i="9"/>
  <c r="G88" i="9"/>
  <c r="H88" i="9"/>
  <c r="I88" i="9"/>
  <c r="J88" i="9"/>
  <c r="K88" i="9"/>
  <c r="L88" i="9"/>
  <c r="M88" i="9"/>
  <c r="N88" i="9"/>
  <c r="O88" i="9"/>
  <c r="P88" i="9"/>
  <c r="Q88" i="9"/>
  <c r="R88" i="9"/>
  <c r="S88" i="9"/>
  <c r="T88" i="9"/>
  <c r="U88" i="9"/>
  <c r="V88" i="9"/>
  <c r="W88" i="9"/>
  <c r="X88" i="9"/>
  <c r="Y88" i="9"/>
  <c r="Z88" i="9"/>
  <c r="B89" i="9"/>
  <c r="C89" i="9"/>
  <c r="D89" i="9"/>
  <c r="E89" i="9"/>
  <c r="F89" i="9"/>
  <c r="G89" i="9"/>
  <c r="H89" i="9"/>
  <c r="I89" i="9"/>
  <c r="J89" i="9"/>
  <c r="K89" i="9"/>
  <c r="L89" i="9"/>
  <c r="M89" i="9"/>
  <c r="N89" i="9"/>
  <c r="O89" i="9"/>
  <c r="P89" i="9"/>
  <c r="Q89" i="9"/>
  <c r="R89" i="9"/>
  <c r="S89" i="9"/>
  <c r="T89" i="9"/>
  <c r="U89" i="9"/>
  <c r="V89" i="9"/>
  <c r="W89" i="9"/>
  <c r="X89" i="9"/>
  <c r="Y89" i="9"/>
  <c r="Z89" i="9"/>
  <c r="B90" i="9"/>
  <c r="C90" i="9"/>
  <c r="D90" i="9"/>
  <c r="E90" i="9"/>
  <c r="F90" i="9"/>
  <c r="G90" i="9"/>
  <c r="H90" i="9"/>
  <c r="I90" i="9"/>
  <c r="J90" i="9"/>
  <c r="K90" i="9"/>
  <c r="L90" i="9"/>
  <c r="M90" i="9"/>
  <c r="N90" i="9"/>
  <c r="O90" i="9"/>
  <c r="P90" i="9"/>
  <c r="Q90" i="9"/>
  <c r="R90" i="9"/>
  <c r="S90" i="9"/>
  <c r="T90" i="9"/>
  <c r="U90" i="9"/>
  <c r="V90" i="9"/>
  <c r="W90" i="9"/>
  <c r="X90" i="9"/>
  <c r="Y90" i="9"/>
  <c r="Z90" i="9"/>
  <c r="B91" i="9"/>
  <c r="C91" i="9"/>
  <c r="D91" i="9"/>
  <c r="E91" i="9"/>
  <c r="F91" i="9"/>
  <c r="G91" i="9"/>
  <c r="H91" i="9"/>
  <c r="I91" i="9"/>
  <c r="J91" i="9"/>
  <c r="K91" i="9"/>
  <c r="L91" i="9"/>
  <c r="M91" i="9"/>
  <c r="N91" i="9"/>
  <c r="O91" i="9"/>
  <c r="P91" i="9"/>
  <c r="Q91" i="9"/>
  <c r="R91" i="9"/>
  <c r="S91" i="9"/>
  <c r="T91" i="9"/>
  <c r="U91" i="9"/>
  <c r="V91" i="9"/>
  <c r="W91" i="9"/>
  <c r="X91" i="9"/>
  <c r="Y91" i="9"/>
  <c r="Z91" i="9"/>
  <c r="B92" i="9"/>
  <c r="C92" i="9"/>
  <c r="D92" i="9"/>
  <c r="E92" i="9"/>
  <c r="F92" i="9"/>
  <c r="G92" i="9"/>
  <c r="H92" i="9"/>
  <c r="I92" i="9"/>
  <c r="J92" i="9"/>
  <c r="K92" i="9"/>
  <c r="L92" i="9"/>
  <c r="M92" i="9"/>
  <c r="N92" i="9"/>
  <c r="O92" i="9"/>
  <c r="P92" i="9"/>
  <c r="Q92" i="9"/>
  <c r="R92" i="9"/>
  <c r="S92" i="9"/>
  <c r="T92" i="9"/>
  <c r="U92" i="9"/>
  <c r="V92" i="9"/>
  <c r="W92" i="9"/>
  <c r="X92" i="9"/>
  <c r="Y92" i="9"/>
  <c r="Z92" i="9"/>
  <c r="B93" i="9"/>
  <c r="C93" i="9"/>
  <c r="D93" i="9"/>
  <c r="E93" i="9"/>
  <c r="F93" i="9"/>
  <c r="G93" i="9"/>
  <c r="H93" i="9"/>
  <c r="I93" i="9"/>
  <c r="J93" i="9"/>
  <c r="K93" i="9"/>
  <c r="L93" i="9"/>
  <c r="M93" i="9"/>
  <c r="N93" i="9"/>
  <c r="O93" i="9"/>
  <c r="P93" i="9"/>
  <c r="Q93" i="9"/>
  <c r="R93" i="9"/>
  <c r="S93" i="9"/>
  <c r="T93" i="9"/>
  <c r="U93" i="9"/>
  <c r="V93" i="9"/>
  <c r="W93" i="9"/>
  <c r="X93" i="9"/>
  <c r="Y93" i="9"/>
  <c r="Z93" i="9"/>
  <c r="B94" i="9"/>
  <c r="C94" i="9"/>
  <c r="D94" i="9"/>
  <c r="E94" i="9"/>
  <c r="F94" i="9"/>
  <c r="G94" i="9"/>
  <c r="H94" i="9"/>
  <c r="I94" i="9"/>
  <c r="J94" i="9"/>
  <c r="K94" i="9"/>
  <c r="L94" i="9"/>
  <c r="M94" i="9"/>
  <c r="N94" i="9"/>
  <c r="O94" i="9"/>
  <c r="P94" i="9"/>
  <c r="Q94" i="9"/>
  <c r="R94" i="9"/>
  <c r="S94" i="9"/>
  <c r="T94" i="9"/>
  <c r="U94" i="9"/>
  <c r="V94" i="9"/>
  <c r="W94" i="9"/>
  <c r="X94" i="9"/>
  <c r="Y94" i="9"/>
  <c r="Z94" i="9"/>
  <c r="B95" i="9"/>
  <c r="C95" i="9"/>
  <c r="D95" i="9"/>
  <c r="E95" i="9"/>
  <c r="F95" i="9"/>
  <c r="G95" i="9"/>
  <c r="H95" i="9"/>
  <c r="I95" i="9"/>
  <c r="J95" i="9"/>
  <c r="K95" i="9"/>
  <c r="L95" i="9"/>
  <c r="M95" i="9"/>
  <c r="N95" i="9"/>
  <c r="O95" i="9"/>
  <c r="P95" i="9"/>
  <c r="Q95" i="9"/>
  <c r="R95" i="9"/>
  <c r="S95" i="9"/>
  <c r="T95" i="9"/>
  <c r="U95" i="9"/>
  <c r="V95" i="9"/>
  <c r="W95" i="9"/>
  <c r="X95" i="9"/>
  <c r="Y95" i="9"/>
  <c r="Z95" i="9"/>
  <c r="B96" i="9"/>
  <c r="C96" i="9"/>
  <c r="D96" i="9"/>
  <c r="E96" i="9"/>
  <c r="F96" i="9"/>
  <c r="G96" i="9"/>
  <c r="H96" i="9"/>
  <c r="I96" i="9"/>
  <c r="J96" i="9"/>
  <c r="K96" i="9"/>
  <c r="L96" i="9"/>
  <c r="M96" i="9"/>
  <c r="N96" i="9"/>
  <c r="O96" i="9"/>
  <c r="P96" i="9"/>
  <c r="Q96" i="9"/>
  <c r="R96" i="9"/>
  <c r="S96" i="9"/>
  <c r="T96" i="9"/>
  <c r="U96" i="9"/>
  <c r="V96" i="9"/>
  <c r="W96" i="9"/>
  <c r="X96" i="9"/>
  <c r="Y96" i="9"/>
  <c r="Z96" i="9"/>
  <c r="C72" i="9"/>
  <c r="D72" i="9"/>
  <c r="E72" i="9"/>
  <c r="F72" i="9"/>
  <c r="G72" i="9"/>
  <c r="H72" i="9"/>
  <c r="I72" i="9"/>
  <c r="J72" i="9"/>
  <c r="K72" i="9"/>
  <c r="L72" i="9"/>
  <c r="M72" i="9"/>
  <c r="N72" i="9"/>
  <c r="O72" i="9"/>
  <c r="P72" i="9"/>
  <c r="Q72" i="9"/>
  <c r="R72" i="9"/>
  <c r="S72" i="9"/>
  <c r="T72" i="9"/>
  <c r="U72" i="9"/>
  <c r="V72" i="9"/>
  <c r="W72" i="9"/>
  <c r="X72" i="9"/>
  <c r="Y72" i="9"/>
  <c r="Z72" i="9"/>
  <c r="B72" i="9"/>
  <c r="X24" i="9"/>
  <c r="W24" i="9"/>
  <c r="V24" i="9"/>
  <c r="D14" i="8"/>
  <c r="D13" i="8"/>
  <c r="A13" i="8" a="1"/>
  <c r="A13" i="8" s="1"/>
  <c r="G2" i="8" a="1"/>
  <c r="G2" i="8" s="1"/>
  <c r="G215" i="1"/>
  <c r="G216" i="1"/>
  <c r="G217" i="1"/>
  <c r="G218" i="1"/>
  <c r="G219" i="1"/>
  <c r="G220" i="1"/>
  <c r="G221" i="1"/>
  <c r="G222" i="1"/>
  <c r="G223" i="1"/>
  <c r="G224" i="1"/>
  <c r="G225" i="1"/>
  <c r="G226" i="1"/>
  <c r="G227" i="1"/>
  <c r="G228" i="1"/>
  <c r="G229" i="1"/>
  <c r="G230" i="1"/>
  <c r="G231" i="1"/>
  <c r="G232" i="1"/>
  <c r="G233" i="1"/>
  <c r="G214" i="1"/>
  <c r="F214" i="1" a="1"/>
  <c r="F214" i="1" s="1"/>
  <c r="E214" i="1" a="1"/>
  <c r="E214" i="1" s="1"/>
  <c r="D214" i="1" a="1"/>
  <c r="D214" i="1" s="1"/>
  <c r="C214" i="1" a="1"/>
  <c r="C214" i="1" s="1"/>
  <c r="B214" i="1" a="1"/>
  <c r="B214" i="1" s="1"/>
  <c r="G127" i="7" a="1"/>
  <c r="G127" i="7" s="1"/>
  <c r="G105" i="7" a="1"/>
  <c r="G105" i="7" s="1"/>
  <c r="G83" i="7" a="1"/>
  <c r="G83" i="7" s="1"/>
  <c r="G62" i="7" a="1"/>
  <c r="G62" i="7" s="1"/>
  <c r="G40" i="7" a="1"/>
  <c r="G40" i="7" s="1"/>
  <c r="W28" i="7"/>
  <c r="V28" i="7"/>
  <c r="X4" i="7"/>
  <c r="X5" i="7"/>
  <c r="X6" i="7"/>
  <c r="X7" i="7"/>
  <c r="X8" i="7"/>
  <c r="X9" i="7"/>
  <c r="X10" i="7"/>
  <c r="X11" i="7"/>
  <c r="X12" i="7"/>
  <c r="X13" i="7"/>
  <c r="X14" i="7"/>
  <c r="X15" i="7"/>
  <c r="X16" i="7"/>
  <c r="X17" i="7"/>
  <c r="X18" i="7"/>
  <c r="X19" i="7"/>
  <c r="X20" i="7"/>
  <c r="X21" i="7"/>
  <c r="X22" i="7"/>
  <c r="X23" i="7"/>
  <c r="X24" i="7"/>
  <c r="X25" i="7"/>
  <c r="X26" i="7"/>
  <c r="X27" i="7"/>
  <c r="X3" i="7"/>
  <c r="BC74" i="6"/>
  <c r="BC75" i="6"/>
  <c r="BC76" i="6"/>
  <c r="BC77" i="6"/>
  <c r="BC78" i="6"/>
  <c r="BC79" i="6"/>
  <c r="BC80" i="6"/>
  <c r="BC81" i="6"/>
  <c r="BC82" i="6"/>
  <c r="BC83" i="6"/>
  <c r="BC84" i="6"/>
  <c r="BC85" i="6"/>
  <c r="BC86" i="6"/>
  <c r="BC87" i="6"/>
  <c r="BC88" i="6"/>
  <c r="BC89" i="6"/>
  <c r="BC90" i="6"/>
  <c r="BC91" i="6"/>
  <c r="BC92" i="6"/>
  <c r="BC93" i="6"/>
  <c r="BC94" i="6"/>
  <c r="BC95" i="6"/>
  <c r="BC96" i="6"/>
  <c r="BC97" i="6"/>
  <c r="BC98" i="6"/>
  <c r="BC73" i="6"/>
  <c r="AD73" i="6" a="1"/>
  <c r="AD73" i="6" s="1"/>
  <c r="X24" i="6"/>
  <c r="W24" i="6"/>
  <c r="V24" i="6"/>
  <c r="W28" i="5"/>
  <c r="X28" i="5"/>
  <c r="V28" i="5"/>
  <c r="Y3" i="7" l="1" a="1"/>
  <c r="Y3" i="7" s="1"/>
  <c r="AA3" i="7" s="1" a="1"/>
  <c r="AA3" i="7" s="1"/>
  <c r="B3" i="7" s="1" a="1"/>
  <c r="B3" i="7" s="1"/>
  <c r="X28" i="7"/>
  <c r="B28" i="7" a="1"/>
  <c r="B28" i="7" s="1"/>
  <c r="Y28" i="7" s="1"/>
  <c r="B27" i="7" l="1" a="1"/>
  <c r="B27" i="7" s="1"/>
  <c r="Y27" i="7" s="1"/>
  <c r="B26" i="7" a="1"/>
  <c r="B26" i="7" s="1"/>
  <c r="Y26" i="7" s="1"/>
  <c r="B25" i="7" a="1"/>
  <c r="B25" i="7" s="1"/>
  <c r="Y25" i="7" s="1"/>
  <c r="B24" i="7" a="1"/>
  <c r="B24" i="7" s="1"/>
  <c r="Y24" i="7" s="1"/>
  <c r="B23" i="7" a="1"/>
  <c r="B23" i="7" s="1"/>
  <c r="Y23" i="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<sst xmlns="http://schemas.openxmlformats.org/spreadsheetml/2006/main" count="1287" uniqueCount="102">
  <si>
    <t>Industry</t>
  </si>
  <si>
    <t>Industry 1</t>
  </si>
  <si>
    <t>Industry 2</t>
  </si>
  <si>
    <t>Industry 3</t>
  </si>
  <si>
    <t>Industry 4</t>
  </si>
  <si>
    <t>Industry 5</t>
  </si>
  <si>
    <t>Industry 6</t>
  </si>
  <si>
    <t>Industry 7</t>
  </si>
  <si>
    <t>Industry 8</t>
  </si>
  <si>
    <t>Industry 9</t>
  </si>
  <si>
    <t>Industry 10</t>
  </si>
  <si>
    <t>Industry 11</t>
  </si>
  <si>
    <t>Industry 12</t>
  </si>
  <si>
    <t>Industry 13</t>
  </si>
  <si>
    <t>Industry 14</t>
  </si>
  <si>
    <t>Industry 15</t>
  </si>
  <si>
    <t>Industry 16</t>
  </si>
  <si>
    <t>Industry 17</t>
  </si>
  <si>
    <t>Industry 18</t>
  </si>
  <si>
    <t>Industry 19</t>
  </si>
  <si>
    <t>Industry 20</t>
  </si>
  <si>
    <t>Imports of goods and services</t>
  </si>
  <si>
    <t>Taxes less subsidies on products</t>
  </si>
  <si>
    <t>Compensation of employees</t>
  </si>
  <si>
    <t>Other taxes less subsidies on production</t>
  </si>
  <si>
    <t>Gross operating surplus</t>
  </si>
  <si>
    <t>Final Demand</t>
  </si>
  <si>
    <t>Outlay</t>
  </si>
  <si>
    <t>Output</t>
  </si>
  <si>
    <t>Table 5: Input Output Table Simplified</t>
  </si>
  <si>
    <t>divide each entry by the value in the total outlay row</t>
  </si>
  <si>
    <t>The A matrix</t>
  </si>
  <si>
    <t>Identity Matrix (I)</t>
  </si>
  <si>
    <t>I-A</t>
  </si>
  <si>
    <t>Table 7: Total Requirements Coefficient aka Leontif Inverse (L) aka (I-A)^-1</t>
  </si>
  <si>
    <t>Take the inverse</t>
  </si>
  <si>
    <t>a_v</t>
  </si>
  <si>
    <t>sum of value added rows</t>
  </si>
  <si>
    <t>a_v_hat</t>
  </si>
  <si>
    <t>Table 8: Total Requirements Coefficient in terms of value added (a_v_hat * (I-A)^-1)</t>
  </si>
  <si>
    <t>Household and NPISHs final consumption expenditure</t>
  </si>
  <si>
    <t>Government final consumption expenditure</t>
  </si>
  <si>
    <t>Gross fixed capital formation</t>
  </si>
  <si>
    <t xml:space="preserve">Changes in inventories </t>
  </si>
  <si>
    <t>Exports of goods &amp; services</t>
  </si>
  <si>
    <t>Components of Final Demand</t>
  </si>
  <si>
    <t>Total Output</t>
  </si>
  <si>
    <t>Table 11: Output of Industry by Final Demand (L * Each column of Component of Final Demand)
Includes indirect flow
Total output produced by each industry to meet each category of final demand</t>
  </si>
  <si>
    <t>Imports of goods &amp; services</t>
  </si>
  <si>
    <t>Total</t>
  </si>
  <si>
    <t>Table 9: PRIMARY INPUT REQUIREMENT COEFFICIENTS OF FINAL DEMAND</t>
  </si>
  <si>
    <t>Total Domestic Use at Basic Prices</t>
  </si>
  <si>
    <t>It is the total amount of products and services made within the country and used inside the country, without counting products brought in from abroad (imports) or added taxes or fees in the price.
More precisely, this total value includes:
All products consumed as inputs by other industries to make their own goods and services.
All products consumed by final users like households, government, investments, changes in stocks, and exports.</t>
  </si>
  <si>
    <t>It is the total amount of money spent to buy all products and services used in the economy, whether by businesses for production or by final users.</t>
  </si>
  <si>
    <t>Total Use at Purchasers' Prices</t>
  </si>
  <si>
    <t>Table 1: TOTAL SUPPLY TABLE AT PURCHASERS' PRICES</t>
  </si>
  <si>
    <t>Table 2: TOTAL USE TABLE AT PURCHASERS' PRICES</t>
  </si>
  <si>
    <t>Trade and transport margins, taxes less subsidies on products</t>
  </si>
  <si>
    <t>Table 3: DOMESTIC USE TABLE AT BASIC PRICES</t>
  </si>
  <si>
    <t>Difference between Table 2 and Table 3</t>
  </si>
  <si>
    <t>Table 2: Total use at purchasers price (means includes taxes, imports)
Table 3: Only focus on domestically produced good, therefore excluding imports/additional costs
Table 3 separates out the taxes and imports rows. Notice sum of rows still the same. Values highlighted in blue are the same</t>
  </si>
  <si>
    <t>Table 4: IMPORT USE TABLE AT BASIC PRICES</t>
  </si>
  <si>
    <t>Re-exports of goods &amp; services</t>
  </si>
  <si>
    <t>Splits up the import of goods and services row in Table 5. Notice the rows highlighted in green are the same</t>
  </si>
  <si>
    <t>Industry (from outside the country)</t>
  </si>
  <si>
    <t>Imported goods from industry 1 worth this amount</t>
  </si>
  <si>
    <t>Table 6: Direct Requirement Coefficient aka Table of Technical Coefficients (The A matrix with some extra rows)</t>
  </si>
  <si>
    <t>Industry 2 imported this amount worth of products by Industry 1 from outside the country</t>
  </si>
  <si>
    <t>Industry 2 uses this amount worth of Industry 3 products (can be produced by other industry) as inputs</t>
  </si>
  <si>
    <t>Industry 2 uses this amount worth of Industry 1 products (can be produced by other industry) as inputs</t>
  </si>
  <si>
    <t>Industry 2 uses this amount worth of products produced by Industry 3 (can include products of other industries as well, as long as they are produced by Industry 3) as inputs</t>
  </si>
  <si>
    <t xml:space="preserve">Difference between Table 3 and Table 5
</t>
  </si>
  <si>
    <t>Converting Table 1, Table 3 to make Table 5
- requires supply table (Table 1)
- called product-to-industry transformation</t>
  </si>
  <si>
    <t>Industry 2 produce this amount worth of products that is classified under Industry 3</t>
  </si>
  <si>
    <t>Supply by product/Output by industry</t>
  </si>
  <si>
    <t>Sales by product/Purchase by industry</t>
  </si>
  <si>
    <t>Sales by industry/Purchase by industry</t>
  </si>
  <si>
    <t>Output by industry/Supply by product</t>
  </si>
  <si>
    <t>V (Make Matrix)</t>
  </si>
  <si>
    <t>divide by total row</t>
  </si>
  <si>
    <t>transpose and remove imports column</t>
  </si>
  <si>
    <t>Table 5: Input Output Table Simplified (D*Table 3)</t>
  </si>
  <si>
    <t>If final demand for Industry 16 increases by $1, then (in total, directly and indirectly) output in Industry 11 will increase by $0.18.</t>
  </si>
  <si>
    <t>Change</t>
  </si>
  <si>
    <t>New Final Demand</t>
  </si>
  <si>
    <t>Total output required from Industry 1 to accommodate a final demand of $189.7 from households.</t>
  </si>
  <si>
    <t>Primary inputs: not produced by domestic industries, but essential for production</t>
  </si>
  <si>
    <t xml:space="preserve">To deliver $1 of final output from Industry 5, the entire production process, including all upstream suppliers, requires $0.43 of imported goods/services.
</t>
  </si>
  <si>
    <t>If final demand for Industry 16 increases by $1, then value added in Industry 11 will increase by $0.0864</t>
  </si>
  <si>
    <t>A0 (start with A=A0)</t>
  </si>
  <si>
    <t>x</t>
  </si>
  <si>
    <t>u*</t>
  </si>
  <si>
    <t>v*</t>
  </si>
  <si>
    <t>e</t>
  </si>
  <si>
    <t>A (does not include final demand and value added)</t>
  </si>
  <si>
    <t>A0x</t>
  </si>
  <si>
    <t>RAS will have problem with negative values</t>
  </si>
  <si>
    <t>Table 1: TOTAL SUPPLY TABLE AT PURCHASERS' PRICES (Make Matrix, V)</t>
  </si>
  <si>
    <t>V_hat</t>
  </si>
  <si>
    <t>U_hat</t>
  </si>
  <si>
    <t>A</t>
  </si>
  <si>
    <t>divide by column sum ie total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</si>
</sst>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 #,##0.0\ ;&quot;-&quot;"/>
  </numFmts>
  <fonts count="5" x14ac:knownFonts="1">
    <font>
      <sz val="12"/>
      <color theme="1"/>
      <name val="Aptos Narrow"/>
      <family val="2"/>
      <scheme val="minor"/>
    </font>
    <font>
      <sz val="8"/>
      <name val="Aptos Narrow"/>
      <family val="2"/>
      <scheme val="minor"/>
    </font>
    <font>
      <b/>
      <sz val="14"/>
      <color theme="1"/>
      <name val="Aptos Narrow"/>
      <scheme val="minor"/>
    </font>
    <font>
      <sz val="12"/>
      <color theme="1"/>
      <name val="Aptos Display"/>
      <scheme val="major"/>
    </font>
    <font>
      <b/>
      <sz val="18"/>
      <color theme="1"/>
      <name val="Aptos Narrow"/>
      <scheme val="minor"/>
    </font>
  </fonts>
  <fills count="1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3" tint="0.74999237037263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5">
    <xf numFmtId="0" fontId="0" fillId="0" borderId="0" xfId="0"/>
    <xf numFmtId="0" fontId="0" fillId="0" borderId="1" xfId="0" applyBorder="1"/>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left"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center" wrapText="1"/>
    </xf>
    <xf numFmtId="164" fontId="0" fillId="0" borderId="1" xfId="0" applyNumberFormat="1" applyBorder="1" applyAlignment="1">
      <alignment horizontal="center" vertical="center"/>
    </xf>
    <xf numFmtId="0" fontId="0" fillId="0" borderId="0" xfId="0" applyAlignment="1">
      <alignment wrapText="1"/>
    </xf>
    <xf numFmtId="0" fontId="3" fillId="0" borderId="0" xfId="0" applyFont="1" applyAlignment="1">
      <alignment horizontal="left" vertical="top"/>
    </xf>
    <xf numFmtId="0" fontId="0" fillId="0" borderId="0" xfId="0" applyAlignment="1">
      <alignment horizontal="left" vertical="top"/>
    </xf>
    <xf numFmtId="0" fontId="0" fillId="0" borderId="1" xfId="0" applyBorder="1" applyAlignment="1">
      <alignment vertical="center" wrapText="1"/>
    </xf>
    <xf numFmtId="0" fontId="2" fillId="2" borderId="1" xfId="0" applyFont="1"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0" fillId="8" borderId="1" xfId="0" applyFill="1" applyBorder="1" applyAlignment="1">
      <alignment horizontal="center" vertical="center"/>
    </xf>
    <xf numFmtId="0" fontId="0" fillId="2" borderId="1" xfId="0" applyFill="1" applyBorder="1" applyAlignment="1">
      <alignment horizontal="center" vertical="center"/>
    </xf>
    <xf numFmtId="0" fontId="0" fillId="9" borderId="1" xfId="0"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4" fillId="0" borderId="5" xfId="0" applyFont="1" applyBorder="1" applyAlignment="1">
      <alignment horizontal="center" vertical="top" wrapText="1"/>
    </xf>
    <xf numFmtId="0" fontId="4" fillId="0" borderId="0" xfId="0" applyFont="1" applyAlignment="1">
      <alignment horizontal="center"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left" vertical="top" wrapText="1"/>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0" xfId="0"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609600</xdr:colOff>
      <xdr:row>33</xdr:row>
      <xdr:rowOff>38100</xdr:rowOff>
    </xdr:from>
    <xdr:to>
      <xdr:col>9</xdr:col>
      <xdr:colOff>673100</xdr:colOff>
      <xdr:row>39</xdr:row>
      <xdr:rowOff>190500</xdr:rowOff>
    </xdr:to>
    <xdr:sp macro="" textlink="">
      <xdr:nvSpPr>
        <xdr:cNvPr id="2" name="Down Arrow 1">
          <a:extLst>
            <a:ext uri="{FF2B5EF4-FFF2-40B4-BE49-F238E27FC236}">
              <a16:creationId xmlns:a16="http://schemas.microsoft.com/office/drawing/2014/main" id="{F84BC3FA-D325-F543-C8C9-761EDA87BC27}"/>
            </a:ext>
          </a:extLst>
        </xdr:cNvPr>
        <xdr:cNvSpPr/>
      </xdr:nvSpPr>
      <xdr:spPr>
        <a:xfrm>
          <a:off x="8978900" y="6781800"/>
          <a:ext cx="889000" cy="1371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800100</xdr:colOff>
      <xdr:row>68</xdr:row>
      <xdr:rowOff>63500</xdr:rowOff>
    </xdr:from>
    <xdr:to>
      <xdr:col>10</xdr:col>
      <xdr:colOff>444500</xdr:colOff>
      <xdr:row>71</xdr:row>
      <xdr:rowOff>190500</xdr:rowOff>
    </xdr:to>
    <xdr:sp macro="" textlink="">
      <xdr:nvSpPr>
        <xdr:cNvPr id="4" name="Down Arrow 3">
          <a:extLst>
            <a:ext uri="{FF2B5EF4-FFF2-40B4-BE49-F238E27FC236}">
              <a16:creationId xmlns:a16="http://schemas.microsoft.com/office/drawing/2014/main" id="{693509FE-E5AB-A34B-97A0-97A92E2E1E32}"/>
            </a:ext>
          </a:extLst>
        </xdr:cNvPr>
        <xdr:cNvSpPr/>
      </xdr:nvSpPr>
      <xdr:spPr>
        <a:xfrm>
          <a:off x="9994900" y="13957300"/>
          <a:ext cx="469900" cy="736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114300</xdr:colOff>
      <xdr:row>94</xdr:row>
      <xdr:rowOff>101600</xdr:rowOff>
    </xdr:from>
    <xdr:to>
      <xdr:col>11</xdr:col>
      <xdr:colOff>584200</xdr:colOff>
      <xdr:row>98</xdr:row>
      <xdr:rowOff>25400</xdr:rowOff>
    </xdr:to>
    <xdr:sp macro="" textlink="">
      <xdr:nvSpPr>
        <xdr:cNvPr id="5" name="Down Arrow 4">
          <a:extLst>
            <a:ext uri="{FF2B5EF4-FFF2-40B4-BE49-F238E27FC236}">
              <a16:creationId xmlns:a16="http://schemas.microsoft.com/office/drawing/2014/main" id="{4E7AC267-0849-A34C-9614-FF72DE56FC99}"/>
            </a:ext>
          </a:extLst>
        </xdr:cNvPr>
        <xdr:cNvSpPr/>
      </xdr:nvSpPr>
      <xdr:spPr>
        <a:xfrm>
          <a:off x="10960100" y="19316700"/>
          <a:ext cx="469900" cy="736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683641</xdr:colOff>
      <xdr:row>94</xdr:row>
      <xdr:rowOff>193084</xdr:rowOff>
    </xdr:from>
    <xdr:to>
      <xdr:col>22</xdr:col>
      <xdr:colOff>206540</xdr:colOff>
      <xdr:row>97</xdr:row>
      <xdr:rowOff>53384</xdr:rowOff>
    </xdr:to>
    <xdr:sp macro="" textlink="">
      <xdr:nvSpPr>
        <xdr:cNvPr id="6" name="Down Arrow 5">
          <a:extLst>
            <a:ext uri="{FF2B5EF4-FFF2-40B4-BE49-F238E27FC236}">
              <a16:creationId xmlns:a16="http://schemas.microsoft.com/office/drawing/2014/main" id="{4D6699B3-5CE0-A34F-AE52-FF21021DAB42}"/>
            </a:ext>
          </a:extLst>
        </xdr:cNvPr>
        <xdr:cNvSpPr/>
      </xdr:nvSpPr>
      <xdr:spPr>
        <a:xfrm rot="3217018">
          <a:off x="19526841" y="18840284"/>
          <a:ext cx="469900" cy="1605699"/>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241300</xdr:colOff>
      <xdr:row>121</xdr:row>
      <xdr:rowOff>12700</xdr:rowOff>
    </xdr:from>
    <xdr:to>
      <xdr:col>9</xdr:col>
      <xdr:colOff>711200</xdr:colOff>
      <xdr:row>124</xdr:row>
      <xdr:rowOff>139700</xdr:rowOff>
    </xdr:to>
    <xdr:sp macro="" textlink="">
      <xdr:nvSpPr>
        <xdr:cNvPr id="7" name="Down Arrow 6">
          <a:extLst>
            <a:ext uri="{FF2B5EF4-FFF2-40B4-BE49-F238E27FC236}">
              <a16:creationId xmlns:a16="http://schemas.microsoft.com/office/drawing/2014/main" id="{AA088EC6-E48F-5F48-97CB-AC983C3AD3D1}"/>
            </a:ext>
          </a:extLst>
        </xdr:cNvPr>
        <xdr:cNvSpPr/>
      </xdr:nvSpPr>
      <xdr:spPr>
        <a:xfrm>
          <a:off x="9436100" y="24752300"/>
          <a:ext cx="469900" cy="736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380134</xdr:colOff>
      <xdr:row>64</xdr:row>
      <xdr:rowOff>33772</xdr:rowOff>
    </xdr:from>
    <xdr:to>
      <xdr:col>21</xdr:col>
      <xdr:colOff>1113271</xdr:colOff>
      <xdr:row>66</xdr:row>
      <xdr:rowOff>53400</xdr:rowOff>
    </xdr:to>
    <xdr:sp macro="" textlink="">
      <xdr:nvSpPr>
        <xdr:cNvPr id="8" name="Down Arrow 7">
          <a:extLst>
            <a:ext uri="{FF2B5EF4-FFF2-40B4-BE49-F238E27FC236}">
              <a16:creationId xmlns:a16="http://schemas.microsoft.com/office/drawing/2014/main" id="{CFCFD76F-CF83-4746-9694-AE56F13F631A}"/>
            </a:ext>
          </a:extLst>
        </xdr:cNvPr>
        <xdr:cNvSpPr/>
      </xdr:nvSpPr>
      <xdr:spPr>
        <a:xfrm rot="16200000">
          <a:off x="19563196" y="12918210"/>
          <a:ext cx="467014" cy="733137"/>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41</xdr:col>
      <xdr:colOff>813088</xdr:colOff>
      <xdr:row>60</xdr:row>
      <xdr:rowOff>149226</xdr:rowOff>
    </xdr:from>
    <xdr:to>
      <xdr:col>42</xdr:col>
      <xdr:colOff>723612</xdr:colOff>
      <xdr:row>63</xdr:row>
      <xdr:rowOff>10105</xdr:rowOff>
    </xdr:to>
    <xdr:sp macro="" textlink="">
      <xdr:nvSpPr>
        <xdr:cNvPr id="9" name="Down Arrow 8">
          <a:extLst>
            <a:ext uri="{FF2B5EF4-FFF2-40B4-BE49-F238E27FC236}">
              <a16:creationId xmlns:a16="http://schemas.microsoft.com/office/drawing/2014/main" id="{742C3D6C-2B9C-2844-8651-7AEA055806FB}"/>
            </a:ext>
          </a:extLst>
        </xdr:cNvPr>
        <xdr:cNvSpPr/>
      </xdr:nvSpPr>
      <xdr:spPr>
        <a:xfrm rot="16200000">
          <a:off x="37314331" y="12268779"/>
          <a:ext cx="467015" cy="733137"/>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660400</xdr:colOff>
      <xdr:row>148</xdr:row>
      <xdr:rowOff>91440</xdr:rowOff>
    </xdr:from>
    <xdr:to>
      <xdr:col>10</xdr:col>
      <xdr:colOff>307340</xdr:colOff>
      <xdr:row>152</xdr:row>
      <xdr:rowOff>162560</xdr:rowOff>
    </xdr:to>
    <xdr:sp macro="" textlink="">
      <xdr:nvSpPr>
        <xdr:cNvPr id="11" name="Down Arrow 10">
          <a:extLst>
            <a:ext uri="{FF2B5EF4-FFF2-40B4-BE49-F238E27FC236}">
              <a16:creationId xmlns:a16="http://schemas.microsoft.com/office/drawing/2014/main" id="{DC873369-03BF-7448-8AAE-150349EDEC61}"/>
            </a:ext>
          </a:extLst>
        </xdr:cNvPr>
        <xdr:cNvSpPr/>
      </xdr:nvSpPr>
      <xdr:spPr>
        <a:xfrm>
          <a:off x="9834880" y="30449520"/>
          <a:ext cx="469900" cy="88392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185854</xdr:colOff>
      <xdr:row>72</xdr:row>
      <xdr:rowOff>216829</xdr:rowOff>
    </xdr:from>
    <xdr:to>
      <xdr:col>44</xdr:col>
      <xdr:colOff>650488</xdr:colOff>
      <xdr:row>153</xdr:row>
      <xdr:rowOff>216830</xdr:rowOff>
    </xdr:to>
    <xdr:cxnSp macro="">
      <xdr:nvCxnSpPr>
        <xdr:cNvPr id="13" name="Straight Arrow Connector 12">
          <a:extLst>
            <a:ext uri="{FF2B5EF4-FFF2-40B4-BE49-F238E27FC236}">
              <a16:creationId xmlns:a16="http://schemas.microsoft.com/office/drawing/2014/main" id="{ACB9AE81-CCFC-06B9-5E17-EAE7C39E86B6}"/>
            </a:ext>
          </a:extLst>
        </xdr:cNvPr>
        <xdr:cNvCxnSpPr/>
      </xdr:nvCxnSpPr>
      <xdr:spPr>
        <a:xfrm flipH="1">
          <a:off x="19514634" y="15952439"/>
          <a:ext cx="20567805" cy="1765609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175173</xdr:colOff>
      <xdr:row>5</xdr:row>
      <xdr:rowOff>890460</xdr:rowOff>
    </xdr:from>
    <xdr:to>
      <xdr:col>24</xdr:col>
      <xdr:colOff>671495</xdr:colOff>
      <xdr:row>5</xdr:row>
      <xdr:rowOff>905058</xdr:rowOff>
    </xdr:to>
    <xdr:cxnSp macro="">
      <xdr:nvCxnSpPr>
        <xdr:cNvPr id="15" name="Straight Arrow Connector 14">
          <a:extLst>
            <a:ext uri="{FF2B5EF4-FFF2-40B4-BE49-F238E27FC236}">
              <a16:creationId xmlns:a16="http://schemas.microsoft.com/office/drawing/2014/main" id="{92DF785C-D1D3-C061-FC6A-1A605053B9FA}"/>
            </a:ext>
          </a:extLst>
        </xdr:cNvPr>
        <xdr:cNvCxnSpPr/>
      </xdr:nvCxnSpPr>
      <xdr:spPr>
        <a:xfrm>
          <a:off x="22042529" y="1956092"/>
          <a:ext cx="1328391" cy="1459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16933</xdr:colOff>
      <xdr:row>148</xdr:row>
      <xdr:rowOff>186267</xdr:rowOff>
    </xdr:from>
    <xdr:to>
      <xdr:col>6</xdr:col>
      <xdr:colOff>372534</xdr:colOff>
      <xdr:row>182</xdr:row>
      <xdr:rowOff>16933</xdr:rowOff>
    </xdr:to>
    <xdr:cxnSp macro="">
      <xdr:nvCxnSpPr>
        <xdr:cNvPr id="17" name="Straight Arrow Connector 16">
          <a:extLst>
            <a:ext uri="{FF2B5EF4-FFF2-40B4-BE49-F238E27FC236}">
              <a16:creationId xmlns:a16="http://schemas.microsoft.com/office/drawing/2014/main" id="{47D4BE4A-AAFE-9A98-A74E-1C93DDDD1F17}"/>
            </a:ext>
          </a:extLst>
        </xdr:cNvPr>
        <xdr:cNvCxnSpPr/>
      </xdr:nvCxnSpPr>
      <xdr:spPr>
        <a:xfrm flipH="1">
          <a:off x="5232400" y="31597600"/>
          <a:ext cx="2015067" cy="677333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609600</xdr:colOff>
      <xdr:row>28</xdr:row>
      <xdr:rowOff>0</xdr:rowOff>
    </xdr:from>
    <xdr:to>
      <xdr:col>27</xdr:col>
      <xdr:colOff>152400</xdr:colOff>
      <xdr:row>182</xdr:row>
      <xdr:rowOff>101600</xdr:rowOff>
    </xdr:to>
    <xdr:cxnSp macro="">
      <xdr:nvCxnSpPr>
        <xdr:cNvPr id="19" name="Straight Arrow Connector 18">
          <a:extLst>
            <a:ext uri="{FF2B5EF4-FFF2-40B4-BE49-F238E27FC236}">
              <a16:creationId xmlns:a16="http://schemas.microsoft.com/office/drawing/2014/main" id="{03229277-40AB-312C-28B8-F1E9E4706B25}"/>
            </a:ext>
          </a:extLst>
        </xdr:cNvPr>
        <xdr:cNvCxnSpPr/>
      </xdr:nvCxnSpPr>
      <xdr:spPr>
        <a:xfrm flipH="1">
          <a:off x="7416800" y="6858000"/>
          <a:ext cx="17526000" cy="317500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876300</xdr:colOff>
      <xdr:row>185</xdr:row>
      <xdr:rowOff>101600</xdr:rowOff>
    </xdr:from>
    <xdr:to>
      <xdr:col>8</xdr:col>
      <xdr:colOff>711200</xdr:colOff>
      <xdr:row>185</xdr:row>
      <xdr:rowOff>127000</xdr:rowOff>
    </xdr:to>
    <xdr:cxnSp macro="">
      <xdr:nvCxnSpPr>
        <xdr:cNvPr id="21" name="Straight Arrow Connector 20">
          <a:extLst>
            <a:ext uri="{FF2B5EF4-FFF2-40B4-BE49-F238E27FC236}">
              <a16:creationId xmlns:a16="http://schemas.microsoft.com/office/drawing/2014/main" id="{C8CBC28F-7501-A63B-B735-9E6127CD458E}"/>
            </a:ext>
          </a:extLst>
        </xdr:cNvPr>
        <xdr:cNvCxnSpPr/>
      </xdr:nvCxnSpPr>
      <xdr:spPr>
        <a:xfrm>
          <a:off x="3467100" y="40500300"/>
          <a:ext cx="5753100" cy="254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818972</xdr:colOff>
      <xdr:row>124</xdr:row>
      <xdr:rowOff>154300</xdr:rowOff>
    </xdr:from>
    <xdr:to>
      <xdr:col>18</xdr:col>
      <xdr:colOff>20889</xdr:colOff>
      <xdr:row>137</xdr:row>
      <xdr:rowOff>188008</xdr:rowOff>
    </xdr:to>
    <xdr:cxnSp macro="">
      <xdr:nvCxnSpPr>
        <xdr:cNvPr id="3" name="Straight Arrow Connector 2">
          <a:extLst>
            <a:ext uri="{FF2B5EF4-FFF2-40B4-BE49-F238E27FC236}">
              <a16:creationId xmlns:a16="http://schemas.microsoft.com/office/drawing/2014/main" id="{9F26688D-3483-DD44-98F2-666179F5B65A}"/>
            </a:ext>
          </a:extLst>
        </xdr:cNvPr>
        <xdr:cNvCxnSpPr/>
      </xdr:nvCxnSpPr>
      <xdr:spPr>
        <a:xfrm flipV="1">
          <a:off x="16094579" y="26480094"/>
          <a:ext cx="863600" cy="26924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23738</xdr:colOff>
      <xdr:row>215</xdr:row>
      <xdr:rowOff>23739</xdr:rowOff>
    </xdr:from>
    <xdr:to>
      <xdr:col>8</xdr:col>
      <xdr:colOff>807103</xdr:colOff>
      <xdr:row>217</xdr:row>
      <xdr:rowOff>83084</xdr:rowOff>
    </xdr:to>
    <xdr:cxnSp macro="">
      <xdr:nvCxnSpPr>
        <xdr:cNvPr id="16" name="Straight Arrow Connector 15">
          <a:extLst>
            <a:ext uri="{FF2B5EF4-FFF2-40B4-BE49-F238E27FC236}">
              <a16:creationId xmlns:a16="http://schemas.microsoft.com/office/drawing/2014/main" id="{F728DCFF-9AA3-B9FB-FCFC-856CF56277B6}"/>
            </a:ext>
          </a:extLst>
        </xdr:cNvPr>
        <xdr:cNvCxnSpPr/>
      </xdr:nvCxnSpPr>
      <xdr:spPr>
        <a:xfrm flipV="1">
          <a:off x="3572617" y="47108692"/>
          <a:ext cx="5768411" cy="46289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9969</xdr:colOff>
      <xdr:row>159</xdr:row>
      <xdr:rowOff>23738</xdr:rowOff>
    </xdr:from>
    <xdr:to>
      <xdr:col>22</xdr:col>
      <xdr:colOff>23738</xdr:colOff>
      <xdr:row>165</xdr:row>
      <xdr:rowOff>31810</xdr:rowOff>
    </xdr:to>
    <xdr:cxnSp macro="">
      <xdr:nvCxnSpPr>
        <xdr:cNvPr id="18" name="Straight Arrow Connector 17">
          <a:extLst>
            <a:ext uri="{FF2B5EF4-FFF2-40B4-BE49-F238E27FC236}">
              <a16:creationId xmlns:a16="http://schemas.microsoft.com/office/drawing/2014/main" id="{AA446AF3-BA8F-3949-B6F3-EBFA3A949DF4}"/>
            </a:ext>
          </a:extLst>
        </xdr:cNvPr>
        <xdr:cNvCxnSpPr/>
      </xdr:nvCxnSpPr>
      <xdr:spPr>
        <a:xfrm flipV="1">
          <a:off x="16116418" y="33482897"/>
          <a:ext cx="4595264" cy="121872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711200</xdr:colOff>
      <xdr:row>3</xdr:row>
      <xdr:rowOff>165100</xdr:rowOff>
    </xdr:from>
    <xdr:to>
      <xdr:col>5</xdr:col>
      <xdr:colOff>25400</xdr:colOff>
      <xdr:row>9</xdr:row>
      <xdr:rowOff>88900</xdr:rowOff>
    </xdr:to>
    <xdr:cxnSp macro="">
      <xdr:nvCxnSpPr>
        <xdr:cNvPr id="3" name="Straight Arrow Connector 2">
          <a:extLst>
            <a:ext uri="{FF2B5EF4-FFF2-40B4-BE49-F238E27FC236}">
              <a16:creationId xmlns:a16="http://schemas.microsoft.com/office/drawing/2014/main" id="{9ACBE8F0-2D3E-B37E-AD32-C933552D26D2}"/>
            </a:ext>
          </a:extLst>
        </xdr:cNvPr>
        <xdr:cNvCxnSpPr/>
      </xdr:nvCxnSpPr>
      <xdr:spPr>
        <a:xfrm flipV="1">
          <a:off x="4127500" y="774700"/>
          <a:ext cx="1790700" cy="22733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723900</xdr:colOff>
      <xdr:row>35</xdr:row>
      <xdr:rowOff>25400</xdr:rowOff>
    </xdr:from>
    <xdr:to>
      <xdr:col>4</xdr:col>
      <xdr:colOff>812800</xdr:colOff>
      <xdr:row>38</xdr:row>
      <xdr:rowOff>101600</xdr:rowOff>
    </xdr:to>
    <xdr:cxnSp macro="">
      <xdr:nvCxnSpPr>
        <xdr:cNvPr id="6" name="Straight Arrow Connector 5">
          <a:extLst>
            <a:ext uri="{FF2B5EF4-FFF2-40B4-BE49-F238E27FC236}">
              <a16:creationId xmlns:a16="http://schemas.microsoft.com/office/drawing/2014/main" id="{BCF1B835-D373-FE41-E747-FA456854F075}"/>
            </a:ext>
          </a:extLst>
        </xdr:cNvPr>
        <xdr:cNvCxnSpPr/>
      </xdr:nvCxnSpPr>
      <xdr:spPr>
        <a:xfrm flipV="1">
          <a:off x="4140200" y="8267700"/>
          <a:ext cx="1739900" cy="18034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698500</xdr:colOff>
      <xdr:row>68</xdr:row>
      <xdr:rowOff>12700</xdr:rowOff>
    </xdr:from>
    <xdr:to>
      <xdr:col>4</xdr:col>
      <xdr:colOff>0</xdr:colOff>
      <xdr:row>74</xdr:row>
      <xdr:rowOff>139700</xdr:rowOff>
    </xdr:to>
    <xdr:cxnSp macro="">
      <xdr:nvCxnSpPr>
        <xdr:cNvPr id="9" name="Straight Arrow Connector 8">
          <a:extLst>
            <a:ext uri="{FF2B5EF4-FFF2-40B4-BE49-F238E27FC236}">
              <a16:creationId xmlns:a16="http://schemas.microsoft.com/office/drawing/2014/main" id="{6D708E30-A80C-D9D0-9FAA-CB81A1DDB84D}"/>
            </a:ext>
          </a:extLst>
        </xdr:cNvPr>
        <xdr:cNvCxnSpPr/>
      </xdr:nvCxnSpPr>
      <xdr:spPr>
        <a:xfrm flipV="1">
          <a:off x="4114800" y="16116300"/>
          <a:ext cx="952500" cy="2044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121920</xdr:colOff>
      <xdr:row>59</xdr:row>
      <xdr:rowOff>111760</xdr:rowOff>
    </xdr:from>
    <xdr:to>
      <xdr:col>27</xdr:col>
      <xdr:colOff>741680</xdr:colOff>
      <xdr:row>62</xdr:row>
      <xdr:rowOff>40640</xdr:rowOff>
    </xdr:to>
    <xdr:cxnSp macro="">
      <xdr:nvCxnSpPr>
        <xdr:cNvPr id="29" name="Straight Arrow Connector 28">
          <a:extLst>
            <a:ext uri="{FF2B5EF4-FFF2-40B4-BE49-F238E27FC236}">
              <a16:creationId xmlns:a16="http://schemas.microsoft.com/office/drawing/2014/main" id="{5F79321F-B1D8-2640-DFB1-5FF1B59FB3C1}"/>
            </a:ext>
          </a:extLst>
        </xdr:cNvPr>
        <xdr:cNvCxnSpPr/>
      </xdr:nvCxnSpPr>
      <xdr:spPr>
        <a:xfrm>
          <a:off x="25176480" y="14356080"/>
          <a:ext cx="619760" cy="5384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162560</xdr:colOff>
      <xdr:row>68</xdr:row>
      <xdr:rowOff>71120</xdr:rowOff>
    </xdr:from>
    <xdr:to>
      <xdr:col>27</xdr:col>
      <xdr:colOff>792480</xdr:colOff>
      <xdr:row>70</xdr:row>
      <xdr:rowOff>132080</xdr:rowOff>
    </xdr:to>
    <xdr:cxnSp macro="">
      <xdr:nvCxnSpPr>
        <xdr:cNvPr id="31" name="Straight Arrow Connector 30">
          <a:extLst>
            <a:ext uri="{FF2B5EF4-FFF2-40B4-BE49-F238E27FC236}">
              <a16:creationId xmlns:a16="http://schemas.microsoft.com/office/drawing/2014/main" id="{BFE5A1D4-704B-1185-B041-7D8CC5833730}"/>
            </a:ext>
          </a:extLst>
        </xdr:cNvPr>
        <xdr:cNvCxnSpPr/>
      </xdr:nvCxnSpPr>
      <xdr:spPr>
        <a:xfrm flipV="1">
          <a:off x="25217120" y="16184880"/>
          <a:ext cx="629920" cy="4673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736387</xdr:colOff>
      <xdr:row>102</xdr:row>
      <xdr:rowOff>32017</xdr:rowOff>
    </xdr:from>
    <xdr:to>
      <xdr:col>3</xdr:col>
      <xdr:colOff>800420</xdr:colOff>
      <xdr:row>105</xdr:row>
      <xdr:rowOff>74706</xdr:rowOff>
    </xdr:to>
    <xdr:cxnSp macro="">
      <xdr:nvCxnSpPr>
        <xdr:cNvPr id="33" name="Straight Arrow Connector 32">
          <a:extLst>
            <a:ext uri="{FF2B5EF4-FFF2-40B4-BE49-F238E27FC236}">
              <a16:creationId xmlns:a16="http://schemas.microsoft.com/office/drawing/2014/main" id="{29EF79C0-3290-2EF0-BEBE-1D206A77DCD0}"/>
            </a:ext>
          </a:extLst>
        </xdr:cNvPr>
        <xdr:cNvCxnSpPr/>
      </xdr:nvCxnSpPr>
      <xdr:spPr>
        <a:xfrm flipV="1">
          <a:off x="4151513" y="23713782"/>
          <a:ext cx="885798" cy="135537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1408740</xdr:colOff>
      <xdr:row>5</xdr:row>
      <xdr:rowOff>10672</xdr:rowOff>
    </xdr:from>
    <xdr:to>
      <xdr:col>25</xdr:col>
      <xdr:colOff>10673</xdr:colOff>
      <xdr:row>7</xdr:row>
      <xdr:rowOff>128067</xdr:rowOff>
    </xdr:to>
    <xdr:cxnSp macro="">
      <xdr:nvCxnSpPr>
        <xdr:cNvPr id="4" name="Straight Arrow Connector 3">
          <a:extLst>
            <a:ext uri="{FF2B5EF4-FFF2-40B4-BE49-F238E27FC236}">
              <a16:creationId xmlns:a16="http://schemas.microsoft.com/office/drawing/2014/main" id="{D50EE54B-4503-4E1E-6386-A4BC45F3FEFE}"/>
            </a:ext>
          </a:extLst>
        </xdr:cNvPr>
        <xdr:cNvCxnSpPr/>
      </xdr:nvCxnSpPr>
      <xdr:spPr>
        <a:xfrm flipV="1">
          <a:off x="20437395" y="1024538"/>
          <a:ext cx="2966891" cy="165420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114300</xdr:colOff>
      <xdr:row>5</xdr:row>
      <xdr:rowOff>55033</xdr:rowOff>
    </xdr:from>
    <xdr:to>
      <xdr:col>26</xdr:col>
      <xdr:colOff>774700</xdr:colOff>
      <xdr:row>105</xdr:row>
      <xdr:rowOff>139700</xdr:rowOff>
    </xdr:to>
    <xdr:cxnSp macro="">
      <xdr:nvCxnSpPr>
        <xdr:cNvPr id="8" name="Straight Arrow Connector 7">
          <a:extLst>
            <a:ext uri="{FF2B5EF4-FFF2-40B4-BE49-F238E27FC236}">
              <a16:creationId xmlns:a16="http://schemas.microsoft.com/office/drawing/2014/main" id="{9491EF7A-804B-0CB7-05D1-440D24D3D0EF}"/>
            </a:ext>
          </a:extLst>
        </xdr:cNvPr>
        <xdr:cNvCxnSpPr/>
      </xdr:nvCxnSpPr>
      <xdr:spPr>
        <a:xfrm flipH="1" flipV="1">
          <a:off x="23583900" y="1071033"/>
          <a:ext cx="1485900" cy="2408766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735213</xdr:colOff>
      <xdr:row>102</xdr:row>
      <xdr:rowOff>2882</xdr:rowOff>
    </xdr:from>
    <xdr:to>
      <xdr:col>3</xdr:col>
      <xdr:colOff>799246</xdr:colOff>
      <xdr:row>105</xdr:row>
      <xdr:rowOff>45571</xdr:rowOff>
    </xdr:to>
    <xdr:cxnSp macro="">
      <xdr:nvCxnSpPr>
        <xdr:cNvPr id="10" name="Straight Arrow Connector 9">
          <a:extLst>
            <a:ext uri="{FF2B5EF4-FFF2-40B4-BE49-F238E27FC236}">
              <a16:creationId xmlns:a16="http://schemas.microsoft.com/office/drawing/2014/main" id="{E81E7D59-A9C2-9748-9908-AC55CB3873DC}"/>
            </a:ext>
          </a:extLst>
        </xdr:cNvPr>
        <xdr:cNvCxnSpPr/>
      </xdr:nvCxnSpPr>
      <xdr:spPr>
        <a:xfrm flipV="1">
          <a:off x="4151513" y="23713782"/>
          <a:ext cx="889533" cy="135078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762000</xdr:colOff>
      <xdr:row>132</xdr:row>
      <xdr:rowOff>0</xdr:rowOff>
    </xdr:from>
    <xdr:to>
      <xdr:col>4</xdr:col>
      <xdr:colOff>12700</xdr:colOff>
      <xdr:row>138</xdr:row>
      <xdr:rowOff>80789</xdr:rowOff>
    </xdr:to>
    <xdr:cxnSp macro="">
      <xdr:nvCxnSpPr>
        <xdr:cNvPr id="11" name="Straight Arrow Connector 10">
          <a:extLst>
            <a:ext uri="{FF2B5EF4-FFF2-40B4-BE49-F238E27FC236}">
              <a16:creationId xmlns:a16="http://schemas.microsoft.com/office/drawing/2014/main" id="{DD0216C8-CDDC-B942-AEE5-55AA4557770D}"/>
            </a:ext>
          </a:extLst>
        </xdr:cNvPr>
        <xdr:cNvCxnSpPr/>
      </xdr:nvCxnSpPr>
      <xdr:spPr>
        <a:xfrm flipV="1">
          <a:off x="4178300" y="30505400"/>
          <a:ext cx="901700" cy="199848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38099</xdr:colOff>
      <xdr:row>166</xdr:row>
      <xdr:rowOff>165100</xdr:rowOff>
    </xdr:from>
    <xdr:to>
      <xdr:col>10</xdr:col>
      <xdr:colOff>823230</xdr:colOff>
      <xdr:row>178</xdr:row>
      <xdr:rowOff>0</xdr:rowOff>
    </xdr:to>
    <xdr:pic>
      <xdr:nvPicPr>
        <xdr:cNvPr id="13" name="Picture 12">
          <a:extLst>
            <a:ext uri="{FF2B5EF4-FFF2-40B4-BE49-F238E27FC236}">
              <a16:creationId xmlns:a16="http://schemas.microsoft.com/office/drawing/2014/main" id="{F04396D7-2025-3268-0A9E-20DBF54DB169}"/>
            </a:ext>
          </a:extLst>
        </xdr:cNvPr>
        <xdr:cNvPicPr>
          <a:picLocks noChangeAspect="1"/>
        </xdr:cNvPicPr>
      </xdr:nvPicPr>
      <xdr:blipFill>
        <a:blip xmlns:r="http://schemas.openxmlformats.org/officeDocument/2006/relationships" r:embed="rId1"/>
        <a:stretch>
          <a:fillRect/>
        </a:stretch>
      </xdr:blipFill>
      <xdr:spPr>
        <a:xfrm>
          <a:off x="2628899" y="38277800"/>
          <a:ext cx="8214631" cy="2273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24</xdr:col>
      <xdr:colOff>215900</xdr:colOff>
      <xdr:row>10</xdr:row>
      <xdr:rowOff>139700</xdr:rowOff>
    </xdr:from>
    <xdr:to>
      <xdr:col>26</xdr:col>
      <xdr:colOff>584200</xdr:colOff>
      <xdr:row>10</xdr:row>
      <xdr:rowOff>139700</xdr:rowOff>
    </xdr:to>
    <xdr:cxnSp macro="">
      <xdr:nvCxnSpPr>
        <xdr:cNvPr id="3" name="Straight Arrow Connector 2">
          <a:extLst>
            <a:ext uri="{FF2B5EF4-FFF2-40B4-BE49-F238E27FC236}">
              <a16:creationId xmlns:a16="http://schemas.microsoft.com/office/drawing/2014/main" id="{0DF0FFD7-9E29-8837-6AF0-D2EC21420A94}"/>
            </a:ext>
          </a:extLst>
        </xdr:cNvPr>
        <xdr:cNvCxnSpPr/>
      </xdr:nvCxnSpPr>
      <xdr:spPr>
        <a:xfrm>
          <a:off x="20027900" y="3302000"/>
          <a:ext cx="20193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266700</xdr:colOff>
      <xdr:row>9</xdr:row>
      <xdr:rowOff>139700</xdr:rowOff>
    </xdr:from>
    <xdr:to>
      <xdr:col>51</xdr:col>
      <xdr:colOff>635000</xdr:colOff>
      <xdr:row>9</xdr:row>
      <xdr:rowOff>139700</xdr:rowOff>
    </xdr:to>
    <xdr:cxnSp macro="">
      <xdr:nvCxnSpPr>
        <xdr:cNvPr id="4" name="Straight Arrow Connector 3">
          <a:extLst>
            <a:ext uri="{FF2B5EF4-FFF2-40B4-BE49-F238E27FC236}">
              <a16:creationId xmlns:a16="http://schemas.microsoft.com/office/drawing/2014/main" id="{9AEBBCBE-1D1C-B241-8444-3565663B5C48}"/>
            </a:ext>
          </a:extLst>
        </xdr:cNvPr>
        <xdr:cNvCxnSpPr/>
      </xdr:nvCxnSpPr>
      <xdr:spPr>
        <a:xfrm>
          <a:off x="43307000" y="3175000"/>
          <a:ext cx="20193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1615985</xdr:colOff>
      <xdr:row>29</xdr:row>
      <xdr:rowOff>828990</xdr:rowOff>
    </xdr:from>
    <xdr:to>
      <xdr:col>28</xdr:col>
      <xdr:colOff>2415163</xdr:colOff>
      <xdr:row>71</xdr:row>
      <xdr:rowOff>1040329</xdr:rowOff>
    </xdr:to>
    <xdr:sp macro="" textlink="">
      <xdr:nvSpPr>
        <xdr:cNvPr id="6" name="Down Arrow 5">
          <a:extLst>
            <a:ext uri="{FF2B5EF4-FFF2-40B4-BE49-F238E27FC236}">
              <a16:creationId xmlns:a16="http://schemas.microsoft.com/office/drawing/2014/main" id="{7061F837-30EF-1373-2BEF-15797F7B437C}"/>
            </a:ext>
          </a:extLst>
        </xdr:cNvPr>
        <xdr:cNvSpPr/>
      </xdr:nvSpPr>
      <xdr:spPr>
        <a:xfrm rot="19093550">
          <a:off x="27312318" y="8089157"/>
          <a:ext cx="799178" cy="1020200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31</xdr:col>
      <xdr:colOff>30903</xdr:colOff>
      <xdr:row>42</xdr:row>
      <xdr:rowOff>64593</xdr:rowOff>
    </xdr:from>
    <xdr:to>
      <xdr:col>55</xdr:col>
      <xdr:colOff>569948</xdr:colOff>
      <xdr:row>46</xdr:row>
      <xdr:rowOff>17104</xdr:rowOff>
    </xdr:to>
    <xdr:sp macro="" textlink="">
      <xdr:nvSpPr>
        <xdr:cNvPr id="7" name="Down Arrow 6">
          <a:extLst>
            <a:ext uri="{FF2B5EF4-FFF2-40B4-BE49-F238E27FC236}">
              <a16:creationId xmlns:a16="http://schemas.microsoft.com/office/drawing/2014/main" id="{FDED5CE7-BD42-8047-AD89-45800558ED4A}"/>
            </a:ext>
          </a:extLst>
        </xdr:cNvPr>
        <xdr:cNvSpPr/>
      </xdr:nvSpPr>
      <xdr:spPr>
        <a:xfrm rot="3622016">
          <a:off x="40159837" y="956659"/>
          <a:ext cx="799178" cy="2119771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215900</xdr:colOff>
      <xdr:row>10</xdr:row>
      <xdr:rowOff>139700</xdr:rowOff>
    </xdr:from>
    <xdr:to>
      <xdr:col>26</xdr:col>
      <xdr:colOff>584200</xdr:colOff>
      <xdr:row>10</xdr:row>
      <xdr:rowOff>139700</xdr:rowOff>
    </xdr:to>
    <xdr:cxnSp macro="">
      <xdr:nvCxnSpPr>
        <xdr:cNvPr id="2" name="Straight Arrow Connector 1">
          <a:extLst>
            <a:ext uri="{FF2B5EF4-FFF2-40B4-BE49-F238E27FC236}">
              <a16:creationId xmlns:a16="http://schemas.microsoft.com/office/drawing/2014/main" id="{64236341-3445-2C46-BE57-A1311E3BC422}"/>
            </a:ext>
          </a:extLst>
        </xdr:cNvPr>
        <xdr:cNvCxnSpPr/>
      </xdr:nvCxnSpPr>
      <xdr:spPr>
        <a:xfrm>
          <a:off x="21793200" y="3390900"/>
          <a:ext cx="20193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266700</xdr:colOff>
      <xdr:row>9</xdr:row>
      <xdr:rowOff>139700</xdr:rowOff>
    </xdr:from>
    <xdr:to>
      <xdr:col>51</xdr:col>
      <xdr:colOff>635000</xdr:colOff>
      <xdr:row>9</xdr:row>
      <xdr:rowOff>139700</xdr:rowOff>
    </xdr:to>
    <xdr:cxnSp macro="">
      <xdr:nvCxnSpPr>
        <xdr:cNvPr id="3" name="Straight Arrow Connector 2">
          <a:extLst>
            <a:ext uri="{FF2B5EF4-FFF2-40B4-BE49-F238E27FC236}">
              <a16:creationId xmlns:a16="http://schemas.microsoft.com/office/drawing/2014/main" id="{2765457D-F95C-BC42-9966-2CE4303A21F1}"/>
            </a:ext>
          </a:extLst>
        </xdr:cNvPr>
        <xdr:cNvCxnSpPr/>
      </xdr:nvCxnSpPr>
      <xdr:spPr>
        <a:xfrm>
          <a:off x="45072300" y="3175000"/>
          <a:ext cx="24638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1615985</xdr:colOff>
      <xdr:row>29</xdr:row>
      <xdr:rowOff>828990</xdr:rowOff>
    </xdr:from>
    <xdr:to>
      <xdr:col>28</xdr:col>
      <xdr:colOff>2415163</xdr:colOff>
      <xdr:row>71</xdr:row>
      <xdr:rowOff>1040329</xdr:rowOff>
    </xdr:to>
    <xdr:sp macro="" textlink="">
      <xdr:nvSpPr>
        <xdr:cNvPr id="4" name="Down Arrow 3">
          <a:extLst>
            <a:ext uri="{FF2B5EF4-FFF2-40B4-BE49-F238E27FC236}">
              <a16:creationId xmlns:a16="http://schemas.microsoft.com/office/drawing/2014/main" id="{8CE3886C-E486-564E-968B-1BEF99A4B9C6}"/>
            </a:ext>
          </a:extLst>
        </xdr:cNvPr>
        <xdr:cNvSpPr/>
      </xdr:nvSpPr>
      <xdr:spPr>
        <a:xfrm rot="19093550">
          <a:off x="27320785" y="8156890"/>
          <a:ext cx="799178" cy="9901439"/>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31</xdr:col>
      <xdr:colOff>30903</xdr:colOff>
      <xdr:row>42</xdr:row>
      <xdr:rowOff>64593</xdr:rowOff>
    </xdr:from>
    <xdr:to>
      <xdr:col>55</xdr:col>
      <xdr:colOff>569948</xdr:colOff>
      <xdr:row>46</xdr:row>
      <xdr:rowOff>17104</xdr:rowOff>
    </xdr:to>
    <xdr:sp macro="" textlink="">
      <xdr:nvSpPr>
        <xdr:cNvPr id="5" name="Down Arrow 4">
          <a:extLst>
            <a:ext uri="{FF2B5EF4-FFF2-40B4-BE49-F238E27FC236}">
              <a16:creationId xmlns:a16="http://schemas.microsoft.com/office/drawing/2014/main" id="{9F623512-D425-7348-A4B7-B4B801862993}"/>
            </a:ext>
          </a:extLst>
        </xdr:cNvPr>
        <xdr:cNvSpPr/>
      </xdr:nvSpPr>
      <xdr:spPr>
        <a:xfrm rot="3622016">
          <a:off x="40411720" y="692076"/>
          <a:ext cx="765311" cy="2163374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558800</xdr:colOff>
      <xdr:row>58</xdr:row>
      <xdr:rowOff>10160</xdr:rowOff>
    </xdr:from>
    <xdr:to>
      <xdr:col>10</xdr:col>
      <xdr:colOff>568960</xdr:colOff>
      <xdr:row>67</xdr:row>
      <xdr:rowOff>20320</xdr:rowOff>
    </xdr:to>
    <xdr:cxnSp macro="">
      <xdr:nvCxnSpPr>
        <xdr:cNvPr id="7" name="Straight Arrow Connector 6">
          <a:extLst>
            <a:ext uri="{FF2B5EF4-FFF2-40B4-BE49-F238E27FC236}">
              <a16:creationId xmlns:a16="http://schemas.microsoft.com/office/drawing/2014/main" id="{8D4B9526-C2C0-CA0F-B341-73EDD8533BAE}"/>
            </a:ext>
          </a:extLst>
        </xdr:cNvPr>
        <xdr:cNvCxnSpPr/>
      </xdr:nvCxnSpPr>
      <xdr:spPr>
        <a:xfrm flipH="1">
          <a:off x="10556240" y="14284960"/>
          <a:ext cx="10160" cy="18389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ED9B-EEB2-F04B-833E-F458B3E7239B}">
  <dimension ref="A5:BK233"/>
  <sheetViews>
    <sheetView topLeftCell="A34" zoomScale="107" workbookViewId="0">
      <selection activeCell="A42" sqref="A42:U68"/>
    </sheetView>
  </sheetViews>
  <sheetFormatPr baseColWidth="10" defaultRowHeight="16" x14ac:dyDescent="0.2"/>
  <cols>
    <col min="1" max="1" width="34" style="2" bestFit="1" customWidth="1"/>
    <col min="2" max="2" width="12.6640625" style="2" customWidth="1"/>
    <col min="3" max="9" width="10.83203125" style="2"/>
    <col min="10" max="10" width="12.1640625" style="2" bestFit="1" customWidth="1"/>
    <col min="11" max="21" width="10.83203125" style="2"/>
    <col min="22" max="23" width="16.5" style="2" customWidth="1"/>
    <col min="24" max="16384" width="10.83203125" style="2"/>
  </cols>
  <sheetData>
    <row r="5" spans="1:31" ht="19" x14ac:dyDescent="0.2">
      <c r="A5" s="23" t="s">
        <v>29</v>
      </c>
      <c r="B5" s="23"/>
      <c r="C5" s="23"/>
      <c r="D5" s="23"/>
      <c r="E5" s="23"/>
      <c r="F5" s="23"/>
      <c r="G5" s="23"/>
      <c r="H5" s="23"/>
      <c r="I5" s="23"/>
      <c r="J5" s="23"/>
      <c r="K5" s="23"/>
      <c r="L5" s="23"/>
      <c r="M5" s="23"/>
      <c r="N5" s="23"/>
      <c r="O5" s="23"/>
      <c r="P5" s="23"/>
      <c r="Q5" s="23"/>
      <c r="R5" s="23"/>
      <c r="S5" s="23"/>
      <c r="T5" s="23"/>
      <c r="U5" s="23"/>
      <c r="V5" s="23"/>
      <c r="W5" s="23"/>
      <c r="Z5" s="23" t="s">
        <v>45</v>
      </c>
      <c r="AA5" s="23"/>
      <c r="AB5" s="23"/>
      <c r="AC5" s="23"/>
      <c r="AD5" s="23"/>
      <c r="AE5" s="23"/>
    </row>
    <row r="6" spans="1:31" ht="102" x14ac:dyDescent="0.2">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c r="V6" s="3" t="s">
        <v>26</v>
      </c>
      <c r="W6" s="3" t="s">
        <v>28</v>
      </c>
      <c r="Z6" s="8" t="s">
        <v>40</v>
      </c>
      <c r="AA6" s="8" t="s">
        <v>41</v>
      </c>
      <c r="AB6" s="8" t="s">
        <v>42</v>
      </c>
      <c r="AC6" s="8" t="s">
        <v>43</v>
      </c>
      <c r="AD6" s="8" t="s">
        <v>44</v>
      </c>
      <c r="AE6" s="8" t="s">
        <v>26</v>
      </c>
    </row>
    <row r="7" spans="1:31" x14ac:dyDescent="0.2">
      <c r="A7" s="3" t="s">
        <v>1</v>
      </c>
      <c r="B7" s="3">
        <v>150.3579</v>
      </c>
      <c r="C7" s="3">
        <v>53.059199999999997</v>
      </c>
      <c r="D7" s="3">
        <v>1.5652999999999999</v>
      </c>
      <c r="E7" s="3">
        <v>6.1299000000000001</v>
      </c>
      <c r="F7" s="3">
        <v>6.3800999999999997</v>
      </c>
      <c r="G7" s="3">
        <v>0.82489999999999997</v>
      </c>
      <c r="H7" s="3">
        <v>4.0452000000000004</v>
      </c>
      <c r="I7" s="3">
        <v>9.1014999999999997</v>
      </c>
      <c r="J7" s="3">
        <v>71.711100000000002</v>
      </c>
      <c r="K7" s="3">
        <v>8.4222000000000001</v>
      </c>
      <c r="L7" s="3">
        <v>3.5604</v>
      </c>
      <c r="M7" s="3">
        <v>2.0802999999999998</v>
      </c>
      <c r="N7" s="3">
        <v>0.27489999999999998</v>
      </c>
      <c r="O7" s="3">
        <v>2.9794</v>
      </c>
      <c r="P7" s="3">
        <v>5.6923000000000004</v>
      </c>
      <c r="Q7" s="3">
        <v>1.7456</v>
      </c>
      <c r="R7" s="3">
        <v>0.52390000000000003</v>
      </c>
      <c r="S7" s="3">
        <v>1.4944999999999999</v>
      </c>
      <c r="T7" s="3">
        <v>0.98380000000000001</v>
      </c>
      <c r="U7" s="3">
        <v>1.4014</v>
      </c>
      <c r="V7" s="3">
        <v>409.66480000000001</v>
      </c>
      <c r="W7" s="3">
        <v>741.99860000000001</v>
      </c>
      <c r="Z7" s="9">
        <v>189.6874</v>
      </c>
      <c r="AA7" s="9">
        <v>0.5484</v>
      </c>
      <c r="AB7" s="9">
        <v>5.0930999999999997</v>
      </c>
      <c r="AC7" s="9">
        <v>22.6813</v>
      </c>
      <c r="AD7" s="9">
        <v>191.65450000000001</v>
      </c>
      <c r="AE7" s="3">
        <v>409.66480000000001</v>
      </c>
    </row>
    <row r="8" spans="1:31" x14ac:dyDescent="0.2">
      <c r="A8" s="3" t="s">
        <v>2</v>
      </c>
      <c r="B8" s="3">
        <v>39.583300000000001</v>
      </c>
      <c r="C8" s="3">
        <v>79298.270699999994</v>
      </c>
      <c r="D8" s="3">
        <v>384.05020000000002</v>
      </c>
      <c r="E8" s="3">
        <v>5452.2282999999998</v>
      </c>
      <c r="F8" s="3">
        <v>4662.0334999999995</v>
      </c>
      <c r="G8" s="3">
        <v>416.15559999999999</v>
      </c>
      <c r="H8" s="3">
        <v>15722.867899999999</v>
      </c>
      <c r="I8" s="3">
        <v>260.3811</v>
      </c>
      <c r="J8" s="3">
        <v>1596.1310000000001</v>
      </c>
      <c r="K8" s="3">
        <v>8518.1929999999993</v>
      </c>
      <c r="L8" s="3">
        <v>736.14020000000005</v>
      </c>
      <c r="M8" s="3">
        <v>1314.6909000000001</v>
      </c>
      <c r="N8" s="3">
        <v>47.219299999999997</v>
      </c>
      <c r="O8" s="3">
        <v>7466.9215999999997</v>
      </c>
      <c r="P8" s="3">
        <v>1407.4277</v>
      </c>
      <c r="Q8" s="3">
        <v>2254.4866000000002</v>
      </c>
      <c r="R8" s="3">
        <v>666.05269999999996</v>
      </c>
      <c r="S8" s="3">
        <v>1893.0707</v>
      </c>
      <c r="T8" s="3">
        <v>224.46090000000001</v>
      </c>
      <c r="U8" s="3">
        <v>498.87189999999998</v>
      </c>
      <c r="V8" s="3">
        <v>343758.57280000002</v>
      </c>
      <c r="W8" s="3">
        <v>476617.81</v>
      </c>
      <c r="Z8" s="9">
        <v>6583.4234999999999</v>
      </c>
      <c r="AA8" s="9">
        <v>456.07679999999999</v>
      </c>
      <c r="AB8" s="9">
        <v>10745.3809</v>
      </c>
      <c r="AC8" s="9">
        <v>2874.7545</v>
      </c>
      <c r="AD8" s="9">
        <v>323098.93709999998</v>
      </c>
      <c r="AE8" s="3">
        <v>343758.57280000002</v>
      </c>
    </row>
    <row r="9" spans="1:31" x14ac:dyDescent="0.2">
      <c r="A9" s="3" t="s">
        <v>3</v>
      </c>
      <c r="B9" s="3">
        <v>21.463999999999999</v>
      </c>
      <c r="C9" s="3">
        <v>4394.0855000000001</v>
      </c>
      <c r="D9" s="3">
        <v>4021.1460999999999</v>
      </c>
      <c r="E9" s="3">
        <v>221.28469999999999</v>
      </c>
      <c r="F9" s="3">
        <v>557.27329999999995</v>
      </c>
      <c r="G9" s="3">
        <v>431.64139999999998</v>
      </c>
      <c r="H9" s="3">
        <v>1187.8379</v>
      </c>
      <c r="I9" s="3">
        <v>325.18939999999998</v>
      </c>
      <c r="J9" s="3">
        <v>671.50930000000005</v>
      </c>
      <c r="K9" s="3">
        <v>2465.9137999999998</v>
      </c>
      <c r="L9" s="3">
        <v>440.6884</v>
      </c>
      <c r="M9" s="3">
        <v>1208.2669000000001</v>
      </c>
      <c r="N9" s="3">
        <v>2.4765000000000001</v>
      </c>
      <c r="O9" s="3">
        <v>350.77339999999998</v>
      </c>
      <c r="P9" s="3">
        <v>89.736000000000004</v>
      </c>
      <c r="Q9" s="3">
        <v>1619.4481000000001</v>
      </c>
      <c r="R9" s="3">
        <v>443.47379999999998</v>
      </c>
      <c r="S9" s="3">
        <v>439.32499999999999</v>
      </c>
      <c r="T9" s="3">
        <v>371.6816</v>
      </c>
      <c r="U9" s="3">
        <v>140.41309999999999</v>
      </c>
      <c r="V9" s="3">
        <v>4473.473</v>
      </c>
      <c r="W9" s="3">
        <v>23877.1011</v>
      </c>
      <c r="Z9" s="9">
        <v>3019.4005000000002</v>
      </c>
      <c r="AA9" s="9">
        <v>735.73779999999999</v>
      </c>
      <c r="AB9" s="9">
        <v>51.5715</v>
      </c>
      <c r="AC9" s="9">
        <v>-22.680099999999999</v>
      </c>
      <c r="AD9" s="9">
        <v>689.44330000000002</v>
      </c>
      <c r="AE9" s="3">
        <v>4473.473</v>
      </c>
    </row>
    <row r="10" spans="1:31" x14ac:dyDescent="0.2">
      <c r="A10" s="3" t="s">
        <v>4</v>
      </c>
      <c r="B10" s="3">
        <v>0.33760000000000001</v>
      </c>
      <c r="C10" s="3">
        <v>479.7595</v>
      </c>
      <c r="D10" s="3">
        <v>109.17870000000001</v>
      </c>
      <c r="E10" s="3">
        <v>24118.940699999999</v>
      </c>
      <c r="F10" s="3">
        <v>209.59309999999999</v>
      </c>
      <c r="G10" s="3">
        <v>36.648499999999999</v>
      </c>
      <c r="H10" s="3">
        <v>290.6164</v>
      </c>
      <c r="I10" s="3">
        <v>95.286000000000001</v>
      </c>
      <c r="J10" s="3">
        <v>46.382399999999997</v>
      </c>
      <c r="K10" s="3">
        <v>186.97210000000001</v>
      </c>
      <c r="L10" s="3">
        <v>143.5444</v>
      </c>
      <c r="M10" s="3">
        <v>2146.0448999999999</v>
      </c>
      <c r="N10" s="3">
        <v>2500.3917999999999</v>
      </c>
      <c r="O10" s="3">
        <v>518.98289999999997</v>
      </c>
      <c r="P10" s="3">
        <v>46.524700000000003</v>
      </c>
      <c r="Q10" s="3">
        <v>221.38939999999999</v>
      </c>
      <c r="R10" s="3">
        <v>143.83179999999999</v>
      </c>
      <c r="S10" s="3">
        <v>80.443600000000004</v>
      </c>
      <c r="T10" s="3">
        <v>87.005899999999997</v>
      </c>
      <c r="U10" s="3">
        <v>16.034199999999998</v>
      </c>
      <c r="V10" s="3">
        <v>39607.141499999998</v>
      </c>
      <c r="W10" s="3">
        <v>71085.050199999998</v>
      </c>
      <c r="Z10" s="9">
        <v>29.068899999999999</v>
      </c>
      <c r="AA10" s="9">
        <v>3.2124999999999999</v>
      </c>
      <c r="AB10" s="9">
        <v>37877.527999999998</v>
      </c>
      <c r="AC10" s="9">
        <v>0</v>
      </c>
      <c r="AD10" s="9">
        <v>1697.3321000000001</v>
      </c>
      <c r="AE10" s="3">
        <v>39607.141499999998</v>
      </c>
    </row>
    <row r="11" spans="1:31" x14ac:dyDescent="0.2">
      <c r="A11" s="3" t="s">
        <v>5</v>
      </c>
      <c r="B11" s="3">
        <v>58.186599999999999</v>
      </c>
      <c r="C11" s="3">
        <v>15825.8256</v>
      </c>
      <c r="D11" s="3">
        <v>210.72200000000001</v>
      </c>
      <c r="E11" s="3">
        <v>2394.2422000000001</v>
      </c>
      <c r="F11" s="3">
        <v>6520.6557000000003</v>
      </c>
      <c r="G11" s="3">
        <v>434.77050000000003</v>
      </c>
      <c r="H11" s="3">
        <v>5905.8334999999997</v>
      </c>
      <c r="I11" s="3">
        <v>220.12100000000001</v>
      </c>
      <c r="J11" s="3">
        <v>921.92840000000001</v>
      </c>
      <c r="K11" s="3">
        <v>7279.2354999999998</v>
      </c>
      <c r="L11" s="3">
        <v>1255.229</v>
      </c>
      <c r="M11" s="3">
        <v>463.38670000000002</v>
      </c>
      <c r="N11" s="3">
        <v>46.413800000000002</v>
      </c>
      <c r="O11" s="3">
        <v>1463.7242000000001</v>
      </c>
      <c r="P11" s="3">
        <v>595.73810000000003</v>
      </c>
      <c r="Q11" s="3">
        <v>1280.066</v>
      </c>
      <c r="R11" s="3">
        <v>315.4889</v>
      </c>
      <c r="S11" s="3">
        <v>671.81089999999995</v>
      </c>
      <c r="T11" s="3">
        <v>114.5311</v>
      </c>
      <c r="U11" s="3">
        <v>289.69940000000003</v>
      </c>
      <c r="V11" s="3">
        <v>269759.74979999999</v>
      </c>
      <c r="W11" s="3">
        <v>316027.3591</v>
      </c>
      <c r="Z11" s="9">
        <v>8823.9313000000002</v>
      </c>
      <c r="AA11" s="9">
        <v>78.777000000000001</v>
      </c>
      <c r="AB11" s="9">
        <v>7627.8284000000003</v>
      </c>
      <c r="AC11" s="9">
        <v>5.3761999999999999</v>
      </c>
      <c r="AD11" s="9">
        <v>253223.83679999999</v>
      </c>
      <c r="AE11" s="3">
        <v>269759.74979999999</v>
      </c>
    </row>
    <row r="12" spans="1:31" x14ac:dyDescent="0.2">
      <c r="A12" s="3" t="s">
        <v>6</v>
      </c>
      <c r="B12" s="3">
        <v>0.14430000000000001</v>
      </c>
      <c r="C12" s="3">
        <v>61.697299999999998</v>
      </c>
      <c r="D12" s="3">
        <v>3.456</v>
      </c>
      <c r="E12" s="3">
        <v>242.27350000000001</v>
      </c>
      <c r="F12" s="3">
        <v>492.6422</v>
      </c>
      <c r="G12" s="3">
        <v>221.11949999999999</v>
      </c>
      <c r="H12" s="3">
        <v>251.0164</v>
      </c>
      <c r="I12" s="3">
        <v>18.8261</v>
      </c>
      <c r="J12" s="3">
        <v>196.2114</v>
      </c>
      <c r="K12" s="3">
        <v>297.19470000000001</v>
      </c>
      <c r="L12" s="3">
        <v>76.433400000000006</v>
      </c>
      <c r="M12" s="3">
        <v>39.299199999999999</v>
      </c>
      <c r="N12" s="3">
        <v>3.6360999999999999</v>
      </c>
      <c r="O12" s="3">
        <v>122.9074</v>
      </c>
      <c r="P12" s="3">
        <v>42.2395</v>
      </c>
      <c r="Q12" s="3">
        <v>99.2958</v>
      </c>
      <c r="R12" s="3">
        <v>31.9115</v>
      </c>
      <c r="S12" s="3">
        <v>67.4953</v>
      </c>
      <c r="T12" s="3">
        <v>13.9665</v>
      </c>
      <c r="U12" s="3">
        <v>33.585999999999999</v>
      </c>
      <c r="V12" s="3">
        <v>14482.98</v>
      </c>
      <c r="W12" s="3">
        <v>16798.331999999999</v>
      </c>
      <c r="Z12" s="9">
        <v>12169.2497</v>
      </c>
      <c r="AA12" s="9">
        <v>6.7215999999999996</v>
      </c>
      <c r="AB12" s="9">
        <v>132.97</v>
      </c>
      <c r="AC12" s="9">
        <v>0</v>
      </c>
      <c r="AD12" s="9">
        <v>2174.0387000000001</v>
      </c>
      <c r="AE12" s="3">
        <v>14482.98</v>
      </c>
    </row>
    <row r="13" spans="1:31" x14ac:dyDescent="0.2">
      <c r="A13" s="3" t="s">
        <v>7</v>
      </c>
      <c r="B13" s="3">
        <v>2.8565999999999998</v>
      </c>
      <c r="C13" s="3">
        <v>3581.2449999999999</v>
      </c>
      <c r="D13" s="3">
        <v>139.67169999999999</v>
      </c>
      <c r="E13" s="3">
        <v>322.7944</v>
      </c>
      <c r="F13" s="3">
        <v>25877.245999999999</v>
      </c>
      <c r="G13" s="3">
        <v>857.77800000000002</v>
      </c>
      <c r="H13" s="3">
        <v>86667.435700000002</v>
      </c>
      <c r="I13" s="3">
        <v>37.796399999999998</v>
      </c>
      <c r="J13" s="3">
        <v>168.45910000000001</v>
      </c>
      <c r="K13" s="3">
        <v>1960.5673999999999</v>
      </c>
      <c r="L13" s="3">
        <v>1132.4567</v>
      </c>
      <c r="M13" s="3">
        <v>507.86180000000002</v>
      </c>
      <c r="N13" s="3">
        <v>49.366500000000002</v>
      </c>
      <c r="O13" s="3">
        <v>519.09310000000005</v>
      </c>
      <c r="P13" s="3">
        <v>516.01559999999995</v>
      </c>
      <c r="Q13" s="3">
        <v>2674.1997000000001</v>
      </c>
      <c r="R13" s="3">
        <v>136.46299999999999</v>
      </c>
      <c r="S13" s="3">
        <v>177.37780000000001</v>
      </c>
      <c r="T13" s="3">
        <v>68.326499999999996</v>
      </c>
      <c r="U13" s="3">
        <v>77.570599999999999</v>
      </c>
      <c r="V13" s="3">
        <v>194670.20319999999</v>
      </c>
      <c r="W13" s="3">
        <v>320144.78480000002</v>
      </c>
      <c r="Z13" s="9">
        <v>7749.1687000000002</v>
      </c>
      <c r="AA13" s="9">
        <v>58.236600000000003</v>
      </c>
      <c r="AB13" s="9">
        <v>357.28969999999998</v>
      </c>
      <c r="AC13" s="9">
        <v>4.6371000000000002</v>
      </c>
      <c r="AD13" s="9">
        <v>186500.87100000001</v>
      </c>
      <c r="AE13" s="3">
        <v>194670.20319999999</v>
      </c>
    </row>
    <row r="14" spans="1:31" x14ac:dyDescent="0.2">
      <c r="A14" s="3" t="s">
        <v>8</v>
      </c>
      <c r="B14" s="3">
        <v>3.5799999999999998E-2</v>
      </c>
      <c r="C14" s="3">
        <v>51.682699999999997</v>
      </c>
      <c r="D14" s="3">
        <v>10.66</v>
      </c>
      <c r="E14" s="3">
        <v>46.460099999999997</v>
      </c>
      <c r="F14" s="3">
        <v>255.0248</v>
      </c>
      <c r="G14" s="3">
        <v>43.013100000000001</v>
      </c>
      <c r="H14" s="3">
        <v>316.40940000000001</v>
      </c>
      <c r="I14" s="3">
        <v>8.4842999999999993</v>
      </c>
      <c r="J14" s="3">
        <v>41.190100000000001</v>
      </c>
      <c r="K14" s="3">
        <v>86.341399999999993</v>
      </c>
      <c r="L14" s="3">
        <v>204.00810000000001</v>
      </c>
      <c r="M14" s="3">
        <v>20.8689</v>
      </c>
      <c r="N14" s="3">
        <v>0.28079999999999999</v>
      </c>
      <c r="O14" s="3">
        <v>93.674199999999999</v>
      </c>
      <c r="P14" s="3">
        <v>44.463700000000003</v>
      </c>
      <c r="Q14" s="3">
        <v>104.9036</v>
      </c>
      <c r="R14" s="3">
        <v>18.9099</v>
      </c>
      <c r="S14" s="3">
        <v>13.0146</v>
      </c>
      <c r="T14" s="3">
        <v>17.918600000000001</v>
      </c>
      <c r="U14" s="3">
        <v>18.100999999999999</v>
      </c>
      <c r="V14" s="3">
        <v>5141.9721</v>
      </c>
      <c r="W14" s="3">
        <v>6537.4173000000001</v>
      </c>
      <c r="Z14" s="9">
        <v>1548.6393</v>
      </c>
      <c r="AA14" s="9">
        <v>39.282800000000002</v>
      </c>
      <c r="AB14" s="9">
        <v>53.182699999999997</v>
      </c>
      <c r="AC14" s="9">
        <v>0</v>
      </c>
      <c r="AD14" s="9">
        <v>3500.8672999999999</v>
      </c>
      <c r="AE14" s="3">
        <v>5141.9721</v>
      </c>
    </row>
    <row r="15" spans="1:31" x14ac:dyDescent="0.2">
      <c r="A15" s="3" t="s">
        <v>9</v>
      </c>
      <c r="B15" s="3">
        <v>0.26960000000000001</v>
      </c>
      <c r="C15" s="3">
        <v>105.5557</v>
      </c>
      <c r="D15" s="3">
        <v>25.067399999999999</v>
      </c>
      <c r="E15" s="3">
        <v>62.0244</v>
      </c>
      <c r="F15" s="3">
        <v>911.19320000000005</v>
      </c>
      <c r="G15" s="3">
        <v>90.4238</v>
      </c>
      <c r="H15" s="3">
        <v>684.93880000000001</v>
      </c>
      <c r="I15" s="3">
        <v>15.26</v>
      </c>
      <c r="J15" s="3">
        <v>118.55759999999999</v>
      </c>
      <c r="K15" s="3">
        <v>243.09520000000001</v>
      </c>
      <c r="L15" s="3">
        <v>700.69500000000005</v>
      </c>
      <c r="M15" s="3">
        <v>84.263999999999996</v>
      </c>
      <c r="N15" s="3">
        <v>1.2981</v>
      </c>
      <c r="O15" s="3">
        <v>199.49789999999999</v>
      </c>
      <c r="P15" s="3">
        <v>120.67700000000001</v>
      </c>
      <c r="Q15" s="3">
        <v>111.9744</v>
      </c>
      <c r="R15" s="3">
        <v>42.055799999999998</v>
      </c>
      <c r="S15" s="3">
        <v>38.902900000000002</v>
      </c>
      <c r="T15" s="3">
        <v>66.172499999999999</v>
      </c>
      <c r="U15" s="3">
        <v>25.6494</v>
      </c>
      <c r="V15" s="3">
        <v>11162.636500000001</v>
      </c>
      <c r="W15" s="3">
        <v>14810.2091</v>
      </c>
      <c r="Z15" s="9">
        <v>8921.1826999999994</v>
      </c>
      <c r="AA15" s="9">
        <v>212.2054</v>
      </c>
      <c r="AB15" s="9">
        <v>62.069000000000003</v>
      </c>
      <c r="AC15" s="9">
        <v>0</v>
      </c>
      <c r="AD15" s="9">
        <v>1967.1793</v>
      </c>
      <c r="AE15" s="3">
        <v>11162.636500000001</v>
      </c>
    </row>
    <row r="16" spans="1:31" x14ac:dyDescent="0.2">
      <c r="A16" s="3" t="s">
        <v>10</v>
      </c>
      <c r="B16" s="3">
        <v>2.0649999999999999</v>
      </c>
      <c r="C16" s="3">
        <v>2021.991</v>
      </c>
      <c r="D16" s="3">
        <v>222.16149999999999</v>
      </c>
      <c r="E16" s="3">
        <v>323.82510000000002</v>
      </c>
      <c r="F16" s="3">
        <v>6441.0324000000001</v>
      </c>
      <c r="G16" s="3">
        <v>416.4153</v>
      </c>
      <c r="H16" s="3">
        <v>1952.9204</v>
      </c>
      <c r="I16" s="3">
        <v>136.03100000000001</v>
      </c>
      <c r="J16" s="3">
        <v>161.2295</v>
      </c>
      <c r="K16" s="3">
        <v>39910.883399999999</v>
      </c>
      <c r="L16" s="3">
        <v>6346.6041999999998</v>
      </c>
      <c r="M16" s="3">
        <v>1124.7718</v>
      </c>
      <c r="N16" s="3">
        <v>112.7133</v>
      </c>
      <c r="O16" s="3">
        <v>3669.6423</v>
      </c>
      <c r="P16" s="3">
        <v>762.3021</v>
      </c>
      <c r="Q16" s="3">
        <v>3276.6259</v>
      </c>
      <c r="R16" s="3">
        <v>586.62289999999996</v>
      </c>
      <c r="S16" s="3">
        <v>818.45330000000001</v>
      </c>
      <c r="T16" s="3">
        <v>304.24470000000002</v>
      </c>
      <c r="U16" s="3">
        <v>226.04060000000001</v>
      </c>
      <c r="V16" s="3">
        <v>113859.22990000001</v>
      </c>
      <c r="W16" s="3">
        <v>182675.8057</v>
      </c>
      <c r="Z16" s="9">
        <v>5099.7148999999999</v>
      </c>
      <c r="AA16" s="9">
        <v>308.19729999999998</v>
      </c>
      <c r="AB16" s="9">
        <v>8656.4940000000006</v>
      </c>
      <c r="AC16" s="9">
        <v>0.1381</v>
      </c>
      <c r="AD16" s="9">
        <v>99794.685700000002</v>
      </c>
      <c r="AE16" s="3">
        <v>113859.22990000001</v>
      </c>
    </row>
    <row r="17" spans="1:31" x14ac:dyDescent="0.2">
      <c r="A17" s="3" t="s">
        <v>11</v>
      </c>
      <c r="B17" s="3">
        <v>4.1203000000000003</v>
      </c>
      <c r="C17" s="3">
        <v>3063.8852999999999</v>
      </c>
      <c r="D17" s="3">
        <v>372.9794</v>
      </c>
      <c r="E17" s="3">
        <v>677.28800000000001</v>
      </c>
      <c r="F17" s="3">
        <v>8228.9701999999997</v>
      </c>
      <c r="G17" s="3">
        <v>792.75009999999997</v>
      </c>
      <c r="H17" s="3">
        <v>2104.1257999999998</v>
      </c>
      <c r="I17" s="3">
        <v>207.59979999999999</v>
      </c>
      <c r="J17" s="3">
        <v>289.45400000000001</v>
      </c>
      <c r="K17" s="3">
        <v>3159.0598</v>
      </c>
      <c r="L17" s="3">
        <v>26941.611700000001</v>
      </c>
      <c r="M17" s="3">
        <v>5349.2798000000003</v>
      </c>
      <c r="N17" s="3">
        <v>680.94259999999997</v>
      </c>
      <c r="O17" s="3">
        <v>1613.9057</v>
      </c>
      <c r="P17" s="3">
        <v>760.85889999999995</v>
      </c>
      <c r="Q17" s="3">
        <v>6553.7587999999996</v>
      </c>
      <c r="R17" s="3">
        <v>248.86959999999999</v>
      </c>
      <c r="S17" s="3">
        <v>424.08659999999998</v>
      </c>
      <c r="T17" s="3">
        <v>192.02099999999999</v>
      </c>
      <c r="U17" s="3">
        <v>170.9468</v>
      </c>
      <c r="V17" s="3">
        <v>107860.1237</v>
      </c>
      <c r="W17" s="3">
        <v>169696.6379</v>
      </c>
      <c r="Z17" s="9">
        <v>28121.017599999999</v>
      </c>
      <c r="AA17" s="9">
        <v>600.78859999999997</v>
      </c>
      <c r="AB17" s="9">
        <v>1208.0136</v>
      </c>
      <c r="AC17" s="9">
        <v>0</v>
      </c>
      <c r="AD17" s="9">
        <v>77930.303899999999</v>
      </c>
      <c r="AE17" s="3">
        <v>107860.1237</v>
      </c>
    </row>
    <row r="18" spans="1:31" x14ac:dyDescent="0.2">
      <c r="A18" s="3" t="s">
        <v>12</v>
      </c>
      <c r="B18" s="3">
        <v>0.2858</v>
      </c>
      <c r="C18" s="3">
        <v>1354.5088000000001</v>
      </c>
      <c r="D18" s="3">
        <v>177.05590000000001</v>
      </c>
      <c r="E18" s="3">
        <v>376.07409999999999</v>
      </c>
      <c r="F18" s="3">
        <v>4466.1472999999996</v>
      </c>
      <c r="G18" s="3">
        <v>2658.3710000000001</v>
      </c>
      <c r="H18" s="3">
        <v>1156.4606000000001</v>
      </c>
      <c r="I18" s="3">
        <v>349.19869999999997</v>
      </c>
      <c r="J18" s="3">
        <v>1554.0011</v>
      </c>
      <c r="K18" s="3">
        <v>2906.9016999999999</v>
      </c>
      <c r="L18" s="3">
        <v>2756.0155</v>
      </c>
      <c r="M18" s="3">
        <v>1660.4422999999999</v>
      </c>
      <c r="N18" s="3">
        <v>11.5441</v>
      </c>
      <c r="O18" s="3">
        <v>1871.0331000000001</v>
      </c>
      <c r="P18" s="3">
        <v>600.70740000000001</v>
      </c>
      <c r="Q18" s="3">
        <v>746.76649999999995</v>
      </c>
      <c r="R18" s="3">
        <v>479.3793</v>
      </c>
      <c r="S18" s="3">
        <v>800.8374</v>
      </c>
      <c r="T18" s="3">
        <v>300.42309999999998</v>
      </c>
      <c r="U18" s="3">
        <v>626.03869999999995</v>
      </c>
      <c r="V18" s="3">
        <v>14104.517</v>
      </c>
      <c r="W18" s="3">
        <v>38956.7094</v>
      </c>
      <c r="Z18" s="9">
        <v>2497.3265999999999</v>
      </c>
      <c r="AA18" s="9">
        <v>119.34399999999999</v>
      </c>
      <c r="AB18" s="9">
        <v>10015.571599999999</v>
      </c>
      <c r="AC18" s="9">
        <v>1.2999999999999999E-3</v>
      </c>
      <c r="AD18" s="9">
        <v>1472.2736</v>
      </c>
      <c r="AE18" s="3">
        <v>14104.517</v>
      </c>
    </row>
    <row r="19" spans="1:31" x14ac:dyDescent="0.2">
      <c r="A19" s="3" t="s">
        <v>13</v>
      </c>
      <c r="B19" s="3">
        <v>0</v>
      </c>
      <c r="C19" s="3">
        <v>0</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v>24745.4</v>
      </c>
      <c r="W19" s="3">
        <v>24745.4</v>
      </c>
      <c r="Z19" s="9">
        <v>24241.766800000001</v>
      </c>
      <c r="AA19" s="9">
        <v>0</v>
      </c>
      <c r="AB19" s="9">
        <v>0</v>
      </c>
      <c r="AC19" s="9">
        <v>0</v>
      </c>
      <c r="AD19" s="9">
        <v>503.63319999999999</v>
      </c>
      <c r="AE19" s="3">
        <v>24745.4</v>
      </c>
    </row>
    <row r="20" spans="1:31" x14ac:dyDescent="0.2">
      <c r="A20" s="3" t="s">
        <v>14</v>
      </c>
      <c r="B20" s="3">
        <v>5.1268000000000002</v>
      </c>
      <c r="C20" s="3">
        <v>3905.6788000000001</v>
      </c>
      <c r="D20" s="3">
        <v>197.2362</v>
      </c>
      <c r="E20" s="3">
        <v>1622.8725999999999</v>
      </c>
      <c r="F20" s="3">
        <v>8870.7577999999994</v>
      </c>
      <c r="G20" s="3">
        <v>535.60419999999999</v>
      </c>
      <c r="H20" s="3">
        <v>2031.3254999999999</v>
      </c>
      <c r="I20" s="3">
        <v>308.73899999999998</v>
      </c>
      <c r="J20" s="3">
        <v>246.4496</v>
      </c>
      <c r="K20" s="3">
        <v>7326.5348999999997</v>
      </c>
      <c r="L20" s="3">
        <v>4336.1288999999997</v>
      </c>
      <c r="M20" s="3">
        <v>2615.5068999999999</v>
      </c>
      <c r="N20" s="3">
        <v>390.20650000000001</v>
      </c>
      <c r="O20" s="3">
        <v>4357.8149999999996</v>
      </c>
      <c r="P20" s="3">
        <v>969.4126</v>
      </c>
      <c r="Q20" s="3">
        <v>1558.6089999999999</v>
      </c>
      <c r="R20" s="3">
        <v>459.6816</v>
      </c>
      <c r="S20" s="3">
        <v>469.26690000000002</v>
      </c>
      <c r="T20" s="3">
        <v>296.15129999999999</v>
      </c>
      <c r="U20" s="3">
        <v>274.3886</v>
      </c>
      <c r="V20" s="3">
        <v>37083.416700000002</v>
      </c>
      <c r="W20" s="3">
        <v>77860.909499999994</v>
      </c>
      <c r="Z20" s="9">
        <v>849.68430000000001</v>
      </c>
      <c r="AA20" s="9">
        <v>1125.7217000000001</v>
      </c>
      <c r="AB20" s="9">
        <v>7815.3175000000001</v>
      </c>
      <c r="AC20" s="9">
        <v>20.684200000000001</v>
      </c>
      <c r="AD20" s="9">
        <v>27272.008999999998</v>
      </c>
      <c r="AE20" s="3">
        <v>37083.416700000002</v>
      </c>
    </row>
    <row r="21" spans="1:31" x14ac:dyDescent="0.2">
      <c r="A21" s="3" t="s">
        <v>15</v>
      </c>
      <c r="B21" s="3">
        <v>0.2198</v>
      </c>
      <c r="C21" s="3">
        <v>1999.4712999999999</v>
      </c>
      <c r="D21" s="3">
        <v>251.50649999999999</v>
      </c>
      <c r="E21" s="3">
        <v>550.51179999999999</v>
      </c>
      <c r="F21" s="3">
        <v>3754.4231</v>
      </c>
      <c r="G21" s="3">
        <v>284.53059999999999</v>
      </c>
      <c r="H21" s="3">
        <v>2810.5752000000002</v>
      </c>
      <c r="I21" s="3">
        <v>97.102199999999996</v>
      </c>
      <c r="J21" s="3">
        <v>146.089</v>
      </c>
      <c r="K21" s="3">
        <v>2915.3108000000002</v>
      </c>
      <c r="L21" s="3">
        <v>1295.8615</v>
      </c>
      <c r="M21" s="3">
        <v>1792.2797</v>
      </c>
      <c r="N21" s="3">
        <v>315.07339999999999</v>
      </c>
      <c r="O21" s="3">
        <v>799.23590000000002</v>
      </c>
      <c r="P21" s="3">
        <v>1797.2317</v>
      </c>
      <c r="Q21" s="3">
        <v>953.32259999999997</v>
      </c>
      <c r="R21" s="3">
        <v>265.96769999999998</v>
      </c>
      <c r="S21" s="3">
        <v>615.37099999999998</v>
      </c>
      <c r="T21" s="3">
        <v>184.1396</v>
      </c>
      <c r="U21" s="3">
        <v>122.13809999999999</v>
      </c>
      <c r="V21" s="3">
        <v>9271.7047000000002</v>
      </c>
      <c r="W21" s="3">
        <v>30222.066200000001</v>
      </c>
      <c r="Z21" s="9">
        <v>827.2749</v>
      </c>
      <c r="AA21" s="9">
        <v>42.6526</v>
      </c>
      <c r="AB21" s="9">
        <v>148.01650000000001</v>
      </c>
      <c r="AC21" s="9">
        <v>0.92530000000000001</v>
      </c>
      <c r="AD21" s="9">
        <v>8252.8353999999999</v>
      </c>
      <c r="AE21" s="3">
        <v>9271.7047000000002</v>
      </c>
    </row>
    <row r="22" spans="1:31" x14ac:dyDescent="0.2">
      <c r="A22" s="3" t="s">
        <v>16</v>
      </c>
      <c r="B22" s="3">
        <v>0.2324</v>
      </c>
      <c r="C22" s="3">
        <v>125.34650000000001</v>
      </c>
      <c r="D22" s="3">
        <v>55.1496</v>
      </c>
      <c r="E22" s="3">
        <v>130.29509999999999</v>
      </c>
      <c r="F22" s="3">
        <v>736.88649999999996</v>
      </c>
      <c r="G22" s="3">
        <v>153.35390000000001</v>
      </c>
      <c r="H22" s="3">
        <v>376.62450000000001</v>
      </c>
      <c r="I22" s="3">
        <v>27.4312</v>
      </c>
      <c r="J22" s="3">
        <v>70.180700000000002</v>
      </c>
      <c r="K22" s="3">
        <v>639.07360000000006</v>
      </c>
      <c r="L22" s="3">
        <v>378.75450000000001</v>
      </c>
      <c r="M22" s="3">
        <v>399.83600000000001</v>
      </c>
      <c r="N22" s="3">
        <v>4.4215999999999998</v>
      </c>
      <c r="O22" s="3">
        <v>308.38420000000002</v>
      </c>
      <c r="P22" s="3">
        <v>50.219299999999997</v>
      </c>
      <c r="Q22" s="3">
        <v>878.68340000000001</v>
      </c>
      <c r="R22" s="3">
        <v>33.581099999999999</v>
      </c>
      <c r="S22" s="3">
        <v>54.331000000000003</v>
      </c>
      <c r="T22" s="3">
        <v>86.466200000000001</v>
      </c>
      <c r="U22" s="3">
        <v>33.5871</v>
      </c>
      <c r="V22" s="3">
        <v>42746.151299999998</v>
      </c>
      <c r="W22" s="3">
        <v>47288.989800000003</v>
      </c>
      <c r="Z22" s="9">
        <v>720.82560000000001</v>
      </c>
      <c r="AA22" s="9">
        <v>40426.674700000003</v>
      </c>
      <c r="AB22" s="9">
        <v>437.25400000000002</v>
      </c>
      <c r="AC22" s="9">
        <v>-0.1973</v>
      </c>
      <c r="AD22" s="9">
        <v>1161.5942</v>
      </c>
      <c r="AE22" s="3">
        <v>42746.151299999998</v>
      </c>
    </row>
    <row r="23" spans="1:31" x14ac:dyDescent="0.2">
      <c r="A23" s="3" t="s">
        <v>17</v>
      </c>
      <c r="B23" s="3">
        <v>0.12770000000000001</v>
      </c>
      <c r="C23" s="3">
        <v>113.79470000000001</v>
      </c>
      <c r="D23" s="3">
        <v>7.7994000000000003</v>
      </c>
      <c r="E23" s="3">
        <v>19.250299999999999</v>
      </c>
      <c r="F23" s="3">
        <v>274.71839999999997</v>
      </c>
      <c r="G23" s="3">
        <v>29.138999999999999</v>
      </c>
      <c r="H23" s="3">
        <v>99.433599999999998</v>
      </c>
      <c r="I23" s="3">
        <v>17.940799999999999</v>
      </c>
      <c r="J23" s="3">
        <v>19.046199999999999</v>
      </c>
      <c r="K23" s="3">
        <v>314.18700000000001</v>
      </c>
      <c r="L23" s="3">
        <v>165.19139999999999</v>
      </c>
      <c r="M23" s="3">
        <v>76.034300000000002</v>
      </c>
      <c r="N23" s="3">
        <v>7.0587999999999997</v>
      </c>
      <c r="O23" s="3">
        <v>147.18029999999999</v>
      </c>
      <c r="P23" s="3">
        <v>39.795400000000001</v>
      </c>
      <c r="Q23" s="3">
        <v>293.95510000000002</v>
      </c>
      <c r="R23" s="3">
        <v>455.11270000000002</v>
      </c>
      <c r="S23" s="3">
        <v>34.628599999999999</v>
      </c>
      <c r="T23" s="3">
        <v>15.1508</v>
      </c>
      <c r="U23" s="3">
        <v>16.375399999999999</v>
      </c>
      <c r="V23" s="3">
        <v>19783.240600000001</v>
      </c>
      <c r="W23" s="3">
        <v>21929.160500000002</v>
      </c>
      <c r="Z23" s="9">
        <v>6884.1547</v>
      </c>
      <c r="AA23" s="9">
        <v>9602.6761000000006</v>
      </c>
      <c r="AB23" s="9">
        <v>196.0626</v>
      </c>
      <c r="AC23" s="9">
        <v>1.6000000000000001E-3</v>
      </c>
      <c r="AD23" s="9">
        <v>3100.3456000000001</v>
      </c>
      <c r="AE23" s="3">
        <v>19783.240600000001</v>
      </c>
    </row>
    <row r="24" spans="1:31" x14ac:dyDescent="0.2">
      <c r="A24" s="3" t="s">
        <v>18</v>
      </c>
      <c r="B24" s="3">
        <v>4.3299999999999998E-2</v>
      </c>
      <c r="C24" s="3">
        <v>27.471499999999999</v>
      </c>
      <c r="D24" s="3">
        <v>6.0107999999999997</v>
      </c>
      <c r="E24" s="3">
        <v>12.4962</v>
      </c>
      <c r="F24" s="3">
        <v>113.0701</v>
      </c>
      <c r="G24" s="3">
        <v>19.421900000000001</v>
      </c>
      <c r="H24" s="3">
        <v>74.201099999999997</v>
      </c>
      <c r="I24" s="3">
        <v>5.3209</v>
      </c>
      <c r="J24" s="3">
        <v>14.279299999999999</v>
      </c>
      <c r="K24" s="3">
        <v>96.777600000000007</v>
      </c>
      <c r="L24" s="3">
        <v>94.062899999999999</v>
      </c>
      <c r="M24" s="3">
        <v>32.523099999999999</v>
      </c>
      <c r="N24" s="3">
        <v>1.9353</v>
      </c>
      <c r="O24" s="3">
        <v>423.97030000000001</v>
      </c>
      <c r="P24" s="3">
        <v>63.150100000000002</v>
      </c>
      <c r="Q24" s="3">
        <v>413.79700000000003</v>
      </c>
      <c r="R24" s="3">
        <v>25.481100000000001</v>
      </c>
      <c r="S24" s="3">
        <v>3062.5720999999999</v>
      </c>
      <c r="T24" s="3">
        <v>277.58150000000001</v>
      </c>
      <c r="U24" s="3">
        <v>59.344000000000001</v>
      </c>
      <c r="V24" s="3">
        <v>23582.623299999999</v>
      </c>
      <c r="W24" s="3">
        <v>28406.133399999999</v>
      </c>
      <c r="Z24" s="9">
        <v>12888.7693</v>
      </c>
      <c r="AA24" s="9">
        <v>9810.2224999999999</v>
      </c>
      <c r="AB24" s="9">
        <v>94.404700000000005</v>
      </c>
      <c r="AC24" s="9">
        <v>0</v>
      </c>
      <c r="AD24" s="9">
        <v>789.22680000000003</v>
      </c>
      <c r="AE24" s="3">
        <v>23582.623299999999</v>
      </c>
    </row>
    <row r="25" spans="1:31" x14ac:dyDescent="0.2">
      <c r="A25" s="3" t="s">
        <v>19</v>
      </c>
      <c r="B25" s="3">
        <v>1.8200000000000001E-2</v>
      </c>
      <c r="C25" s="3">
        <v>26.596399999999999</v>
      </c>
      <c r="D25" s="3">
        <v>3.7101999999999999</v>
      </c>
      <c r="E25" s="3">
        <v>63.051099999999998</v>
      </c>
      <c r="F25" s="3">
        <v>142.68389999999999</v>
      </c>
      <c r="G25" s="3">
        <v>56.7789</v>
      </c>
      <c r="H25" s="3">
        <v>71.937799999999996</v>
      </c>
      <c r="I25" s="3">
        <v>8.9281000000000006</v>
      </c>
      <c r="J25" s="3">
        <v>17.1402</v>
      </c>
      <c r="K25" s="3">
        <v>212.05940000000001</v>
      </c>
      <c r="L25" s="3">
        <v>330.15929999999997</v>
      </c>
      <c r="M25" s="3">
        <v>28.100200000000001</v>
      </c>
      <c r="N25" s="3">
        <v>0.74</v>
      </c>
      <c r="O25" s="3">
        <v>82.074100000000001</v>
      </c>
      <c r="P25" s="3">
        <v>59.309699999999999</v>
      </c>
      <c r="Q25" s="3">
        <v>27.7255</v>
      </c>
      <c r="R25" s="3">
        <v>202.97649999999999</v>
      </c>
      <c r="S25" s="3">
        <v>23.8155</v>
      </c>
      <c r="T25" s="3">
        <v>292.78919999999999</v>
      </c>
      <c r="U25" s="3">
        <v>22.4404</v>
      </c>
      <c r="V25" s="3">
        <v>6957.9516999999996</v>
      </c>
      <c r="W25" s="3">
        <v>8630.9861000000001</v>
      </c>
      <c r="Z25" s="9">
        <v>3402.8438000000001</v>
      </c>
      <c r="AA25" s="9">
        <v>1160.4414999999999</v>
      </c>
      <c r="AB25" s="9">
        <v>81.7821</v>
      </c>
      <c r="AC25" s="9">
        <v>0</v>
      </c>
      <c r="AD25" s="9">
        <v>2312.8843000000002</v>
      </c>
      <c r="AE25" s="3">
        <v>6957.9516999999996</v>
      </c>
    </row>
    <row r="26" spans="1:31" x14ac:dyDescent="0.2">
      <c r="A26" s="3" t="s">
        <v>20</v>
      </c>
      <c r="B26" s="3">
        <v>8.3900000000000002E-2</v>
      </c>
      <c r="C26" s="3">
        <v>111.9524</v>
      </c>
      <c r="D26" s="3">
        <v>25.363</v>
      </c>
      <c r="E26" s="3">
        <v>61.066099999999999</v>
      </c>
      <c r="F26" s="3">
        <v>182.82900000000001</v>
      </c>
      <c r="G26" s="3">
        <v>42.122300000000003</v>
      </c>
      <c r="H26" s="3">
        <v>296.40469999999999</v>
      </c>
      <c r="I26" s="3">
        <v>65.706500000000005</v>
      </c>
      <c r="J26" s="3">
        <v>18.154199999999999</v>
      </c>
      <c r="K26" s="3">
        <v>307.67759999999998</v>
      </c>
      <c r="L26" s="3">
        <v>214.37100000000001</v>
      </c>
      <c r="M26" s="3">
        <v>72.451499999999996</v>
      </c>
      <c r="N26" s="3">
        <v>70.106800000000007</v>
      </c>
      <c r="O26" s="3">
        <v>132.5275</v>
      </c>
      <c r="P26" s="3">
        <v>117.3235</v>
      </c>
      <c r="Q26" s="3">
        <v>304.87700000000001</v>
      </c>
      <c r="R26" s="3">
        <v>152.5685</v>
      </c>
      <c r="S26" s="3">
        <v>171.84460000000001</v>
      </c>
      <c r="T26" s="3">
        <v>145.93289999999999</v>
      </c>
      <c r="U26" s="3">
        <v>98.393199999999993</v>
      </c>
      <c r="V26" s="3">
        <v>7567.4430000000002</v>
      </c>
      <c r="W26" s="3">
        <v>10159.1993</v>
      </c>
      <c r="Z26" s="9">
        <v>7146.1581999999999</v>
      </c>
      <c r="AA26" s="9">
        <v>78.088099999999997</v>
      </c>
      <c r="AB26" s="9">
        <v>56.432299999999998</v>
      </c>
      <c r="AC26" s="9">
        <v>0</v>
      </c>
      <c r="AD26" s="9">
        <v>286.76440000000002</v>
      </c>
      <c r="AE26" s="3">
        <v>7567.4430000000002</v>
      </c>
    </row>
    <row r="27" spans="1:31" x14ac:dyDescent="0.2">
      <c r="A27" s="3" t="s">
        <v>21</v>
      </c>
      <c r="B27" s="3">
        <v>270.0788</v>
      </c>
      <c r="C27" s="3">
        <v>221440.52179999999</v>
      </c>
      <c r="D27" s="3">
        <v>9260.5838000000003</v>
      </c>
      <c r="E27" s="3">
        <v>13127.0746</v>
      </c>
      <c r="F27" s="3">
        <v>101411.4317</v>
      </c>
      <c r="G27" s="3">
        <v>1299.8157000000001</v>
      </c>
      <c r="H27" s="3">
        <v>116756.60890000001</v>
      </c>
      <c r="I27" s="3">
        <v>643.04909999999995</v>
      </c>
      <c r="J27" s="3">
        <v>3208.2932999999998</v>
      </c>
      <c r="K27" s="3">
        <v>69020.604900000006</v>
      </c>
      <c r="L27" s="3">
        <v>39786.058599999997</v>
      </c>
      <c r="M27" s="3">
        <v>919.5181</v>
      </c>
      <c r="N27" s="3">
        <v>0</v>
      </c>
      <c r="O27" s="3">
        <v>19896.1577</v>
      </c>
      <c r="P27" s="3">
        <v>3656.8607000000002</v>
      </c>
      <c r="Q27" s="3">
        <v>8479.5817999999999</v>
      </c>
      <c r="R27" s="3">
        <v>1459.4719</v>
      </c>
      <c r="S27" s="3">
        <v>2790.0219000000002</v>
      </c>
      <c r="T27" s="3">
        <v>682.12099999999998</v>
      </c>
      <c r="U27" s="3">
        <v>1122.1242999999999</v>
      </c>
      <c r="V27" s="3">
        <v>430911.44959999999</v>
      </c>
      <c r="W27" s="3">
        <v>1046141.4282</v>
      </c>
    </row>
    <row r="28" spans="1:31" x14ac:dyDescent="0.2">
      <c r="A28" s="3" t="s">
        <v>22</v>
      </c>
      <c r="B28" s="3">
        <v>2.7355</v>
      </c>
      <c r="C28" s="3">
        <v>182.24189999999999</v>
      </c>
      <c r="D28" s="3">
        <v>215.0515</v>
      </c>
      <c r="E28" s="3">
        <v>34.3005</v>
      </c>
      <c r="F28" s="3">
        <v>112.8329</v>
      </c>
      <c r="G28" s="3">
        <v>22.488199999999999</v>
      </c>
      <c r="H28" s="3">
        <v>503.91750000000002</v>
      </c>
      <c r="I28" s="3">
        <v>24.4313</v>
      </c>
      <c r="J28" s="3">
        <v>402.78149999999999</v>
      </c>
      <c r="K28" s="3">
        <v>817.32119999999998</v>
      </c>
      <c r="L28" s="3">
        <v>1617.6438000000001</v>
      </c>
      <c r="M28" s="3">
        <v>396.04160000000002</v>
      </c>
      <c r="N28" s="3">
        <v>0</v>
      </c>
      <c r="O28" s="3">
        <v>164.0402</v>
      </c>
      <c r="P28" s="3">
        <v>30.628900000000002</v>
      </c>
      <c r="Q28" s="3">
        <v>212.4314</v>
      </c>
      <c r="R28" s="3">
        <v>144.44630000000001</v>
      </c>
      <c r="S28" s="3">
        <v>810.92460000000005</v>
      </c>
      <c r="T28" s="3">
        <v>109.37860000000001</v>
      </c>
      <c r="U28" s="3">
        <v>33.206800000000001</v>
      </c>
      <c r="V28" s="3">
        <v>25967.855899999999</v>
      </c>
      <c r="W28" s="3">
        <v>31804.7</v>
      </c>
    </row>
    <row r="29" spans="1:31" x14ac:dyDescent="0.2">
      <c r="A29" s="3" t="s">
        <v>23</v>
      </c>
      <c r="B29" s="3">
        <v>86.7</v>
      </c>
      <c r="C29" s="3">
        <v>28875.404900000001</v>
      </c>
      <c r="D29" s="3">
        <v>1862.0463999999999</v>
      </c>
      <c r="E29" s="3">
        <v>14884.0851</v>
      </c>
      <c r="F29" s="3">
        <v>26128.797699999999</v>
      </c>
      <c r="G29" s="3">
        <v>5168.4458999999997</v>
      </c>
      <c r="H29" s="3">
        <v>15083.0191</v>
      </c>
      <c r="I29" s="3">
        <v>1620.6025999999999</v>
      </c>
      <c r="J29" s="3">
        <v>3824.9321</v>
      </c>
      <c r="K29" s="3">
        <v>23450.095000000001</v>
      </c>
      <c r="L29" s="3">
        <v>34374.253900000003</v>
      </c>
      <c r="M29" s="3">
        <v>3492.3346000000001</v>
      </c>
      <c r="N29" s="3">
        <v>0</v>
      </c>
      <c r="O29" s="3">
        <v>26688.5085</v>
      </c>
      <c r="P29" s="3">
        <v>9623.9709999999995</v>
      </c>
      <c r="Q29" s="3">
        <v>14524.275100000001</v>
      </c>
      <c r="R29" s="3">
        <v>12878.346799999999</v>
      </c>
      <c r="S29" s="3">
        <v>13655.9414</v>
      </c>
      <c r="T29" s="3">
        <v>2367.5585999999998</v>
      </c>
      <c r="U29" s="3">
        <v>5624.6018000000004</v>
      </c>
      <c r="V29" s="3">
        <v>0</v>
      </c>
      <c r="W29" s="3">
        <v>244213.9203</v>
      </c>
    </row>
    <row r="30" spans="1:31" x14ac:dyDescent="0.2">
      <c r="A30" s="3" t="s">
        <v>24</v>
      </c>
      <c r="B30" s="3">
        <v>6.4</v>
      </c>
      <c r="C30" s="3">
        <v>859.5</v>
      </c>
      <c r="D30" s="3">
        <v>270.7</v>
      </c>
      <c r="E30" s="3">
        <v>1728.8</v>
      </c>
      <c r="F30" s="3">
        <v>-91.1</v>
      </c>
      <c r="G30" s="3">
        <v>-64.099999999999994</v>
      </c>
      <c r="H30" s="3">
        <v>412.4</v>
      </c>
      <c r="I30" s="3">
        <v>81.900000000000006</v>
      </c>
      <c r="J30" s="3">
        <v>-221.3</v>
      </c>
      <c r="K30" s="3">
        <v>-57.3</v>
      </c>
      <c r="L30" s="3">
        <v>-99</v>
      </c>
      <c r="M30" s="3">
        <v>1781.9</v>
      </c>
      <c r="N30" s="3">
        <v>1128.9000000000001</v>
      </c>
      <c r="O30" s="3">
        <v>-394.6</v>
      </c>
      <c r="P30" s="3">
        <v>-145.4</v>
      </c>
      <c r="Q30" s="3">
        <v>24.3</v>
      </c>
      <c r="R30" s="3">
        <v>-119.7</v>
      </c>
      <c r="S30" s="3">
        <v>-66.099999999999994</v>
      </c>
      <c r="T30" s="3">
        <v>165.7</v>
      </c>
      <c r="U30" s="3">
        <v>331.4</v>
      </c>
      <c r="V30" s="3">
        <v>0</v>
      </c>
      <c r="W30" s="3">
        <v>5533.3</v>
      </c>
    </row>
    <row r="31" spans="1:31" x14ac:dyDescent="0.2">
      <c r="A31" s="3" t="s">
        <v>25</v>
      </c>
      <c r="B31" s="3">
        <v>90.525199999999998</v>
      </c>
      <c r="C31" s="3">
        <v>108658.2637</v>
      </c>
      <c r="D31" s="3">
        <v>6044.2293</v>
      </c>
      <c r="E31" s="3">
        <v>4607.6813000000002</v>
      </c>
      <c r="F31" s="3">
        <v>115761.836</v>
      </c>
      <c r="G31" s="3">
        <v>2850.8198000000002</v>
      </c>
      <c r="H31" s="3">
        <v>65383.8289</v>
      </c>
      <c r="I31" s="3">
        <v>1952.9903999999999</v>
      </c>
      <c r="J31" s="3">
        <v>1227.3981000000001</v>
      </c>
      <c r="K31" s="3">
        <v>10610.683300000001</v>
      </c>
      <c r="L31" s="3">
        <v>46466.165000000001</v>
      </c>
      <c r="M31" s="3">
        <v>13428.9259</v>
      </c>
      <c r="N31" s="3">
        <v>19370.400000000001</v>
      </c>
      <c r="O31" s="3">
        <v>7362.4804999999997</v>
      </c>
      <c r="P31" s="3">
        <v>8967.1802000000007</v>
      </c>
      <c r="Q31" s="3">
        <v>672.77160000000003</v>
      </c>
      <c r="R31" s="3">
        <v>2857.6432</v>
      </c>
      <c r="S31" s="3">
        <v>1357.2032999999999</v>
      </c>
      <c r="T31" s="3">
        <v>2246.2802000000001</v>
      </c>
      <c r="U31" s="3">
        <v>296.84640000000002</v>
      </c>
      <c r="V31" s="3">
        <v>0</v>
      </c>
      <c r="W31" s="3">
        <v>420214.15240000002</v>
      </c>
    </row>
    <row r="32" spans="1:31" x14ac:dyDescent="0.2">
      <c r="A32" s="3" t="s">
        <v>27</v>
      </c>
      <c r="B32" s="3">
        <v>741.99860000000001</v>
      </c>
      <c r="C32" s="3">
        <v>476617.81</v>
      </c>
      <c r="D32" s="3">
        <v>23877.1011</v>
      </c>
      <c r="E32" s="3">
        <v>71085.050199999998</v>
      </c>
      <c r="F32" s="3">
        <v>316027.3591</v>
      </c>
      <c r="G32" s="3">
        <v>16798.331999999999</v>
      </c>
      <c r="H32" s="3">
        <v>320144.78480000002</v>
      </c>
      <c r="I32" s="3">
        <v>6537.4173000000001</v>
      </c>
      <c r="J32" s="3">
        <v>14810.2091</v>
      </c>
      <c r="K32" s="3">
        <v>182675.8057</v>
      </c>
      <c r="L32" s="3">
        <v>169696.6379</v>
      </c>
      <c r="M32" s="3">
        <v>38956.7094</v>
      </c>
      <c r="N32" s="3">
        <v>24745.4</v>
      </c>
      <c r="O32" s="3">
        <v>77860.909499999994</v>
      </c>
      <c r="P32" s="3">
        <v>30222.066200000001</v>
      </c>
      <c r="Q32" s="3">
        <v>47288.989800000003</v>
      </c>
      <c r="R32" s="3">
        <v>21929.160500000002</v>
      </c>
      <c r="S32" s="3">
        <v>28406.133399999999</v>
      </c>
      <c r="T32" s="3">
        <v>8630.9861000000001</v>
      </c>
      <c r="U32" s="3">
        <v>10159.1993</v>
      </c>
      <c r="V32" s="3">
        <v>1747907.5008</v>
      </c>
      <c r="W32" s="3">
        <v>3635119.5606999998</v>
      </c>
    </row>
    <row r="36" spans="1:21" x14ac:dyDescent="0.2">
      <c r="K36" s="4" t="s">
        <v>30</v>
      </c>
    </row>
    <row r="42" spans="1:21" ht="19" x14ac:dyDescent="0.2">
      <c r="A42" s="24" t="s">
        <v>66</v>
      </c>
      <c r="B42" s="25"/>
      <c r="C42" s="25"/>
      <c r="D42" s="25"/>
      <c r="E42" s="25"/>
      <c r="F42" s="25"/>
      <c r="G42" s="25"/>
      <c r="H42" s="25"/>
      <c r="I42" s="25"/>
      <c r="J42" s="25"/>
      <c r="K42" s="25"/>
      <c r="L42" s="25"/>
      <c r="M42" s="25"/>
      <c r="N42" s="25"/>
      <c r="O42" s="25"/>
      <c r="P42" s="25"/>
      <c r="Q42" s="25"/>
      <c r="R42" s="25"/>
      <c r="S42" s="25"/>
      <c r="T42" s="25"/>
      <c r="U42" s="26"/>
    </row>
    <row r="43" spans="1:21" x14ac:dyDescent="0.2">
      <c r="A43" s="3" t="s">
        <v>0</v>
      </c>
      <c r="B43" s="3" t="s">
        <v>1</v>
      </c>
      <c r="C43" s="3" t="s">
        <v>2</v>
      </c>
      <c r="D43" s="3" t="s">
        <v>3</v>
      </c>
      <c r="E43" s="3" t="s">
        <v>4</v>
      </c>
      <c r="F43" s="3" t="s">
        <v>5</v>
      </c>
      <c r="G43" s="3" t="s">
        <v>6</v>
      </c>
      <c r="H43" s="3" t="s">
        <v>7</v>
      </c>
      <c r="I43" s="3" t="s">
        <v>8</v>
      </c>
      <c r="J43" s="3" t="s">
        <v>9</v>
      </c>
      <c r="K43" s="3" t="s">
        <v>10</v>
      </c>
      <c r="L43" s="3" t="s">
        <v>11</v>
      </c>
      <c r="M43" s="3" t="s">
        <v>12</v>
      </c>
      <c r="N43" s="3" t="s">
        <v>13</v>
      </c>
      <c r="O43" s="3" t="s">
        <v>14</v>
      </c>
      <c r="P43" s="3" t="s">
        <v>15</v>
      </c>
      <c r="Q43" s="3" t="s">
        <v>16</v>
      </c>
      <c r="R43" s="3" t="s">
        <v>17</v>
      </c>
      <c r="S43" s="3" t="s">
        <v>18</v>
      </c>
      <c r="T43" s="3" t="s">
        <v>19</v>
      </c>
      <c r="U43" s="3" t="s">
        <v>20</v>
      </c>
    </row>
    <row r="44" spans="1:21" x14ac:dyDescent="0.2">
      <c r="A44" s="3" t="s">
        <v>1</v>
      </c>
      <c r="B44" s="5">
        <v>0.20263906158313505</v>
      </c>
      <c r="C44" s="5">
        <v>1.1132441735653982E-4</v>
      </c>
      <c r="D44" s="5">
        <v>6.5556534415310569E-5</v>
      </c>
      <c r="E44" s="5">
        <v>8.6233321672466102E-5</v>
      </c>
      <c r="F44" s="5">
        <v>2.0188441969611737E-5</v>
      </c>
      <c r="G44" s="5">
        <v>4.9106066007029751E-5</v>
      </c>
      <c r="H44" s="5">
        <v>1.2635533021495592E-5</v>
      </c>
      <c r="I44" s="5">
        <v>1.3922164644438407E-3</v>
      </c>
      <c r="J44" s="5">
        <v>4.8420045602192074E-3</v>
      </c>
      <c r="K44" s="5">
        <v>4.6104627636521217E-5</v>
      </c>
      <c r="L44" s="5">
        <v>2.0980969594094709E-5</v>
      </c>
      <c r="M44" s="5">
        <v>5.3400300796452786E-5</v>
      </c>
      <c r="N44" s="5">
        <v>1.1109135435272817E-5</v>
      </c>
      <c r="O44" s="5">
        <v>3.8265671684711059E-5</v>
      </c>
      <c r="P44" s="5">
        <v>1.8834913411711076E-4</v>
      </c>
      <c r="Q44" s="5">
        <v>3.6913455063910034E-5</v>
      </c>
      <c r="R44" s="5">
        <v>2.3890563434929484E-5</v>
      </c>
      <c r="S44" s="5">
        <v>5.2611877123691883E-5</v>
      </c>
      <c r="T44" s="5">
        <v>1.1398465813773006E-4</v>
      </c>
      <c r="U44" s="5">
        <v>1.3794394209787773E-4</v>
      </c>
    </row>
    <row r="45" spans="1:21" x14ac:dyDescent="0.2">
      <c r="A45" s="3" t="s">
        <v>2</v>
      </c>
      <c r="B45" s="5">
        <v>5.3346866153116734E-2</v>
      </c>
      <c r="C45" s="5">
        <v>0.16637706152860715</v>
      </c>
      <c r="D45" s="5">
        <v>1.6084456751745295E-2</v>
      </c>
      <c r="E45" s="5">
        <v>7.6700069630111903E-2</v>
      </c>
      <c r="F45" s="5">
        <v>1.4751993350439006E-2</v>
      </c>
      <c r="G45" s="5">
        <v>2.4773626333852671E-2</v>
      </c>
      <c r="H45" s="5">
        <v>4.9111741457298283E-2</v>
      </c>
      <c r="I45" s="5">
        <v>3.9829352793495379E-2</v>
      </c>
      <c r="J45" s="5">
        <v>0.10777234738704669</v>
      </c>
      <c r="K45" s="5">
        <v>4.6630110470069763E-2</v>
      </c>
      <c r="L45" s="5">
        <v>4.337977517467363E-3</v>
      </c>
      <c r="M45" s="5">
        <v>3.3747483302580997E-2</v>
      </c>
      <c r="N45" s="5">
        <v>1.9082051613633238E-3</v>
      </c>
      <c r="O45" s="5">
        <v>9.590077547193307E-2</v>
      </c>
      <c r="P45" s="5">
        <v>4.6569539312305522E-2</v>
      </c>
      <c r="Q45" s="5">
        <v>4.7674661893496402E-2</v>
      </c>
      <c r="R45" s="5">
        <v>3.0372922848551358E-2</v>
      </c>
      <c r="S45" s="5">
        <v>6.6643026466953081E-2</v>
      </c>
      <c r="T45" s="5">
        <v>2.6006402675124225E-2</v>
      </c>
      <c r="U45" s="5">
        <v>4.9105434913556623E-2</v>
      </c>
    </row>
    <row r="46" spans="1:21" x14ac:dyDescent="0.2">
      <c r="A46" s="3" t="s">
        <v>3</v>
      </c>
      <c r="B46" s="5">
        <v>2.8927278299446923E-2</v>
      </c>
      <c r="C46" s="5">
        <v>9.2193061354547377E-3</v>
      </c>
      <c r="D46" s="5">
        <v>0.16841014674097099</v>
      </c>
      <c r="E46" s="5">
        <v>3.1129569350715602E-3</v>
      </c>
      <c r="F46" s="5">
        <v>1.7633704296584744E-3</v>
      </c>
      <c r="G46" s="5">
        <v>2.5695491671434999E-2</v>
      </c>
      <c r="H46" s="5">
        <v>3.710314696339854E-3</v>
      </c>
      <c r="I46" s="5">
        <v>4.9742793687042125E-2</v>
      </c>
      <c r="J46" s="5">
        <v>4.5340973612587286E-2</v>
      </c>
      <c r="K46" s="5">
        <v>1.3498852738329539E-2</v>
      </c>
      <c r="L46" s="5">
        <v>2.5969188632935197E-3</v>
      </c>
      <c r="M46" s="5">
        <v>3.101563039100012E-2</v>
      </c>
      <c r="N46" s="5">
        <v>1.000792066404261E-4</v>
      </c>
      <c r="O46" s="5">
        <v>4.5051284688627999E-3</v>
      </c>
      <c r="P46" s="5">
        <v>2.9692212109574427E-3</v>
      </c>
      <c r="Q46" s="5">
        <v>3.4245774901285796E-2</v>
      </c>
      <c r="R46" s="5">
        <v>2.0223017657242281E-2</v>
      </c>
      <c r="S46" s="5">
        <v>1.5465850061803905E-2</v>
      </c>
      <c r="T46" s="5">
        <v>4.306363093320241E-2</v>
      </c>
      <c r="U46" s="5">
        <v>1.3821276249595772E-2</v>
      </c>
    </row>
    <row r="47" spans="1:21" x14ac:dyDescent="0.2">
      <c r="A47" s="3" t="s">
        <v>4</v>
      </c>
      <c r="B47" s="5">
        <v>4.5498738137780852E-4</v>
      </c>
      <c r="C47" s="5">
        <v>1.0065916336613606E-3</v>
      </c>
      <c r="D47" s="5">
        <v>4.57252744136515E-3</v>
      </c>
      <c r="E47" s="5">
        <v>0.33929694967001656</v>
      </c>
      <c r="F47" s="5">
        <v>6.6321188329039192E-4</v>
      </c>
      <c r="G47" s="5">
        <v>2.1816749424883376E-3</v>
      </c>
      <c r="H47" s="5">
        <v>9.0776552921689193E-4</v>
      </c>
      <c r="I47" s="5">
        <v>1.4575480748337727E-2</v>
      </c>
      <c r="J47" s="5">
        <v>3.1317856275236517E-3</v>
      </c>
      <c r="K47" s="5">
        <v>1.0235186826385515E-3</v>
      </c>
      <c r="L47" s="5">
        <v>8.4588829676512987E-4</v>
      </c>
      <c r="M47" s="5">
        <v>5.5087940769453177E-2</v>
      </c>
      <c r="N47" s="5">
        <v>0.1010447113402895</v>
      </c>
      <c r="O47" s="5">
        <v>6.6655129426660504E-3</v>
      </c>
      <c r="P47" s="5">
        <v>1.539428167886152E-3</v>
      </c>
      <c r="Q47" s="5">
        <v>4.6816267578632014E-3</v>
      </c>
      <c r="R47" s="5">
        <v>6.5589286922315138E-3</v>
      </c>
      <c r="S47" s="5">
        <v>2.8319095340163403E-3</v>
      </c>
      <c r="T47" s="5">
        <v>1.0080644203563251E-2</v>
      </c>
      <c r="U47" s="5">
        <v>1.5782936751718216E-3</v>
      </c>
    </row>
    <row r="48" spans="1:21" x14ac:dyDescent="0.2">
      <c r="A48" s="3" t="s">
        <v>5</v>
      </c>
      <c r="B48" s="5">
        <v>7.8418746342648088E-2</v>
      </c>
      <c r="C48" s="5">
        <v>3.3204436065870049E-2</v>
      </c>
      <c r="D48" s="5">
        <v>8.8252756947952947E-3</v>
      </c>
      <c r="E48" s="5">
        <v>3.368137454026867E-2</v>
      </c>
      <c r="F48" s="5">
        <v>2.0633199981703737E-2</v>
      </c>
      <c r="G48" s="5">
        <v>2.5881766118207455E-2</v>
      </c>
      <c r="H48" s="5">
        <v>1.844738312288759E-2</v>
      </c>
      <c r="I48" s="5">
        <v>3.3670942193027818E-2</v>
      </c>
      <c r="J48" s="5">
        <v>6.224951948855334E-2</v>
      </c>
      <c r="K48" s="5">
        <v>3.9847835744347831E-2</v>
      </c>
      <c r="L48" s="5">
        <v>7.3968996412273648E-3</v>
      </c>
      <c r="M48" s="5">
        <v>1.189491379371996E-2</v>
      </c>
      <c r="N48" s="5">
        <v>1.8756536568412714E-3</v>
      </c>
      <c r="O48" s="5">
        <v>1.8799217853986156E-2</v>
      </c>
      <c r="P48" s="5">
        <v>1.9712024189795469E-2</v>
      </c>
      <c r="Q48" s="5">
        <v>2.7069007086296438E-2</v>
      </c>
      <c r="R48" s="5">
        <v>1.4386729487432954E-2</v>
      </c>
      <c r="S48" s="5">
        <v>2.3650205768589398E-2</v>
      </c>
      <c r="T48" s="5">
        <v>1.3269758365153664E-2</v>
      </c>
      <c r="U48" s="5">
        <v>2.851596778891817E-2</v>
      </c>
    </row>
    <row r="49" spans="1:63" x14ac:dyDescent="0.2">
      <c r="A49" s="3" t="s">
        <v>6</v>
      </c>
      <c r="B49" s="5">
        <v>1.9447476046450762E-4</v>
      </c>
      <c r="C49" s="5">
        <v>1.2944816308899576E-4</v>
      </c>
      <c r="D49" s="5">
        <v>1.4474118887070425E-4</v>
      </c>
      <c r="E49" s="5">
        <v>3.4082201435935685E-3</v>
      </c>
      <c r="F49" s="5">
        <v>1.5588593386438865E-3</v>
      </c>
      <c r="G49" s="5">
        <v>1.3163181915918795E-2</v>
      </c>
      <c r="H49" s="5">
        <v>7.8407149489195739E-4</v>
      </c>
      <c r="I49" s="5">
        <v>2.8797457980845125E-3</v>
      </c>
      <c r="J49" s="5">
        <v>1.3248388235112764E-2</v>
      </c>
      <c r="K49" s="5">
        <v>1.6268968890607719E-3</v>
      </c>
      <c r="L49" s="5">
        <v>4.5041198780285325E-4</v>
      </c>
      <c r="M49" s="5">
        <v>1.008791569033292E-3</v>
      </c>
      <c r="N49" s="5">
        <v>1.4694044145578572E-4</v>
      </c>
      <c r="O49" s="5">
        <v>1.5785507874140619E-3</v>
      </c>
      <c r="P49" s="5">
        <v>1.3976377300106634E-3</v>
      </c>
      <c r="Q49" s="5">
        <v>2.0997657260168412E-3</v>
      </c>
      <c r="R49" s="5">
        <v>1.4552084654585842E-3</v>
      </c>
      <c r="S49" s="5">
        <v>2.3760819203925867E-3</v>
      </c>
      <c r="T49" s="5">
        <v>1.6181812643632921E-3</v>
      </c>
      <c r="U49" s="5">
        <v>3.3059692017263602E-3</v>
      </c>
    </row>
    <row r="50" spans="1:63" x14ac:dyDescent="0.2">
      <c r="A50" s="3" t="s">
        <v>7</v>
      </c>
      <c r="B50" s="5">
        <v>3.8498724930208761E-3</v>
      </c>
      <c r="C50" s="5">
        <v>7.5138715441623967E-3</v>
      </c>
      <c r="D50" s="5">
        <v>5.8496087701366724E-3</v>
      </c>
      <c r="E50" s="5">
        <v>4.540960428273004E-3</v>
      </c>
      <c r="F50" s="5">
        <v>8.1882929609938315E-2</v>
      </c>
      <c r="G50" s="5">
        <v>5.1063284140353944E-2</v>
      </c>
      <c r="H50" s="5">
        <v>0.27071325167499649</v>
      </c>
      <c r="I50" s="5">
        <v>5.7815492365769581E-3</v>
      </c>
      <c r="J50" s="5">
        <v>1.1374525427868537E-2</v>
      </c>
      <c r="K50" s="5">
        <v>1.0732496251965347E-2</v>
      </c>
      <c r="L50" s="5">
        <v>6.6734186016539805E-3</v>
      </c>
      <c r="M50" s="5">
        <v>1.3036568227192208E-2</v>
      </c>
      <c r="N50" s="5">
        <v>1.9949768441811407E-3</v>
      </c>
      <c r="O50" s="5">
        <v>6.6669282870372854E-3</v>
      </c>
      <c r="P50" s="5">
        <v>1.7074133733450691E-2</v>
      </c>
      <c r="Q50" s="5">
        <v>5.6550154936910915E-2</v>
      </c>
      <c r="R50" s="5">
        <v>6.2229012369169343E-3</v>
      </c>
      <c r="S50" s="5">
        <v>6.2443486236673108E-3</v>
      </c>
      <c r="T50" s="5">
        <v>7.9164187276353042E-3</v>
      </c>
      <c r="U50" s="5">
        <v>7.6355033216052763E-3</v>
      </c>
    </row>
    <row r="51" spans="1:63" x14ac:dyDescent="0.2">
      <c r="A51" s="3" t="s">
        <v>8</v>
      </c>
      <c r="B51" s="5">
        <v>4.824806947075102E-5</v>
      </c>
      <c r="C51" s="5">
        <v>1.0843635910290468E-4</v>
      </c>
      <c r="D51" s="5">
        <v>4.4645285687549397E-4</v>
      </c>
      <c r="E51" s="5">
        <v>6.5358468298584672E-4</v>
      </c>
      <c r="F51" s="5">
        <v>8.0697063927083262E-4</v>
      </c>
      <c r="G51" s="5">
        <v>2.5605577982385397E-3</v>
      </c>
      <c r="H51" s="5">
        <v>9.883322016245445E-4</v>
      </c>
      <c r="I51" s="5">
        <v>1.2978060923233398E-3</v>
      </c>
      <c r="J51" s="5">
        <v>2.781196384323838E-3</v>
      </c>
      <c r="K51" s="5">
        <v>4.7264825064899108E-4</v>
      </c>
      <c r="L51" s="5">
        <v>1.2021929398519922E-3</v>
      </c>
      <c r="M51" s="5">
        <v>5.3569462927995656E-4</v>
      </c>
      <c r="N51" s="5">
        <v>1.1347563587575871E-5</v>
      </c>
      <c r="O51" s="5">
        <v>1.2030966578935223E-3</v>
      </c>
      <c r="P51" s="5">
        <v>1.4712329628872299E-3</v>
      </c>
      <c r="Q51" s="5">
        <v>2.2183514692039369E-3</v>
      </c>
      <c r="R51" s="5">
        <v>8.623175520102559E-4</v>
      </c>
      <c r="S51" s="5">
        <v>4.581616166035466E-4</v>
      </c>
      <c r="T51" s="5">
        <v>2.0760779582300569E-3</v>
      </c>
      <c r="U51" s="5">
        <v>1.7817349050333129E-3</v>
      </c>
    </row>
    <row r="52" spans="1:63" ht="19" x14ac:dyDescent="0.2">
      <c r="A52" s="3" t="s">
        <v>9</v>
      </c>
      <c r="B52" s="5">
        <v>3.6334300361213622E-4</v>
      </c>
      <c r="C52" s="5">
        <v>2.2146822419413995E-4</v>
      </c>
      <c r="D52" s="5">
        <v>1.0498510642064501E-3</v>
      </c>
      <c r="E52" s="5">
        <v>8.7253789405075221E-4</v>
      </c>
      <c r="F52" s="5">
        <v>2.88327315266294E-3</v>
      </c>
      <c r="G52" s="5">
        <v>5.3829034930372851E-3</v>
      </c>
      <c r="H52" s="5">
        <v>2.1394657433757452E-3</v>
      </c>
      <c r="I52" s="5">
        <v>2.3342551499657212E-3</v>
      </c>
      <c r="J52" s="5">
        <v>8.0051266798116978E-3</v>
      </c>
      <c r="K52" s="5">
        <v>1.330746559833019E-3</v>
      </c>
      <c r="L52" s="5">
        <v>4.1291036090703838E-3</v>
      </c>
      <c r="M52" s="5">
        <v>2.1630163660588848E-3</v>
      </c>
      <c r="N52" s="5">
        <v>5.2458234661795724E-5</v>
      </c>
      <c r="O52" s="5">
        <v>2.5622343905448474E-3</v>
      </c>
      <c r="P52" s="5">
        <v>3.9930095845002152E-3</v>
      </c>
      <c r="Q52" s="5">
        <v>2.3678746463727585E-3</v>
      </c>
      <c r="R52" s="5">
        <v>1.9178025533626787E-3</v>
      </c>
      <c r="S52" s="5">
        <v>1.369524653432769E-3</v>
      </c>
      <c r="T52" s="5">
        <v>7.6668528060773958E-3</v>
      </c>
      <c r="U52" s="5">
        <v>2.5247462169582595E-3</v>
      </c>
      <c r="AR52" s="23" t="s">
        <v>38</v>
      </c>
      <c r="AS52" s="23"/>
      <c r="AT52" s="23"/>
      <c r="AU52" s="23"/>
      <c r="AV52" s="23"/>
      <c r="AW52" s="23"/>
      <c r="AX52" s="23"/>
      <c r="AY52" s="23"/>
      <c r="AZ52" s="23"/>
      <c r="BA52" s="23"/>
      <c r="BB52" s="23"/>
      <c r="BC52" s="23"/>
      <c r="BD52" s="23"/>
      <c r="BE52" s="23"/>
      <c r="BF52" s="23"/>
      <c r="BG52" s="23"/>
      <c r="BH52" s="23"/>
      <c r="BI52" s="23"/>
      <c r="BJ52" s="23"/>
      <c r="BK52" s="23"/>
    </row>
    <row r="53" spans="1:63" x14ac:dyDescent="0.2">
      <c r="A53" s="3" t="s">
        <v>10</v>
      </c>
      <c r="B53" s="5">
        <v>2.7830241189134319E-3</v>
      </c>
      <c r="C53" s="5">
        <v>4.2423739893395927E-3</v>
      </c>
      <c r="D53" s="5">
        <v>9.3043748933156704E-3</v>
      </c>
      <c r="E53" s="5">
        <v>4.5554599608343535E-3</v>
      </c>
      <c r="F53" s="5">
        <v>2.0381249327093464E-2</v>
      </c>
      <c r="G53" s="5">
        <v>2.4789086202130071E-2</v>
      </c>
      <c r="H53" s="5">
        <v>6.1001162371582063E-3</v>
      </c>
      <c r="I53" s="5">
        <v>2.080806437123113E-2</v>
      </c>
      <c r="J53" s="5">
        <v>1.088637566906466E-2</v>
      </c>
      <c r="K53" s="5">
        <v>0.21847930680838923</v>
      </c>
      <c r="L53" s="5">
        <v>3.7399705017962526E-2</v>
      </c>
      <c r="M53" s="5">
        <v>2.887235131825585E-2</v>
      </c>
      <c r="N53" s="5">
        <v>4.554919298132178E-3</v>
      </c>
      <c r="O53" s="5">
        <v>4.713074023364703E-2</v>
      </c>
      <c r="P53" s="5">
        <v>2.5223361465603566E-2</v>
      </c>
      <c r="Q53" s="5">
        <v>6.9289403598128879E-2</v>
      </c>
      <c r="R53" s="5">
        <v>2.6750814286757577E-2</v>
      </c>
      <c r="S53" s="5">
        <v>2.8812555671515645E-2</v>
      </c>
      <c r="T53" s="5">
        <v>3.5250282699447286E-2</v>
      </c>
      <c r="U53" s="5">
        <v>2.2249844040366451E-2</v>
      </c>
      <c r="AR53" s="3">
        <v>0.24747378229554612</v>
      </c>
      <c r="AS53" s="3">
        <v>0</v>
      </c>
      <c r="AT53" s="3">
        <v>0</v>
      </c>
      <c r="AU53" s="3">
        <v>0</v>
      </c>
      <c r="AV53" s="3">
        <v>0</v>
      </c>
      <c r="AW53" s="3">
        <v>0</v>
      </c>
      <c r="AX53" s="3">
        <v>0</v>
      </c>
      <c r="AY53" s="3">
        <v>0</v>
      </c>
      <c r="AZ53" s="3">
        <v>0</v>
      </c>
      <c r="BA53" s="3">
        <v>0</v>
      </c>
      <c r="BB53" s="3">
        <v>0</v>
      </c>
      <c r="BC53" s="3">
        <v>0</v>
      </c>
      <c r="BD53" s="3">
        <v>0</v>
      </c>
      <c r="BE53" s="3">
        <v>0</v>
      </c>
      <c r="BF53" s="3">
        <v>0</v>
      </c>
      <c r="BG53" s="3">
        <v>0</v>
      </c>
      <c r="BH53" s="3">
        <v>0</v>
      </c>
      <c r="BI53" s="3">
        <v>0</v>
      </c>
      <c r="BJ53" s="3">
        <v>0</v>
      </c>
      <c r="BK53" s="3">
        <v>0</v>
      </c>
    </row>
    <row r="54" spans="1:63" x14ac:dyDescent="0.2">
      <c r="A54" s="3" t="s">
        <v>11</v>
      </c>
      <c r="B54" s="5">
        <v>5.5529754368808786E-3</v>
      </c>
      <c r="C54" s="5">
        <v>6.4283902861288376E-3</v>
      </c>
      <c r="D54" s="5">
        <v>1.5620799126238989E-2</v>
      </c>
      <c r="E54" s="5">
        <v>9.5278542829248785E-3</v>
      </c>
      <c r="F54" s="5">
        <v>2.6038790513058463E-2</v>
      </c>
      <c r="G54" s="5">
        <v>4.7192191462819048E-2</v>
      </c>
      <c r="H54" s="5">
        <v>6.5724194174035461E-3</v>
      </c>
      <c r="I54" s="5">
        <v>3.1755629245206661E-2</v>
      </c>
      <c r="J54" s="5">
        <v>1.9544221019809911E-2</v>
      </c>
      <c r="K54" s="5">
        <v>1.729325779018584E-2</v>
      </c>
      <c r="L54" s="5">
        <v>0.15876337936569102</v>
      </c>
      <c r="M54" s="5">
        <v>0.13731344054433919</v>
      </c>
      <c r="N54" s="5">
        <v>2.7517946769904707E-2</v>
      </c>
      <c r="O54" s="5">
        <v>2.072806123591454E-2</v>
      </c>
      <c r="P54" s="5">
        <v>2.5175608277901263E-2</v>
      </c>
      <c r="Q54" s="5">
        <v>0.13858952850796569</v>
      </c>
      <c r="R54" s="5">
        <v>1.1348797415204288E-2</v>
      </c>
      <c r="S54" s="5">
        <v>1.4929402535298944E-2</v>
      </c>
      <c r="T54" s="5">
        <v>2.2247863427795347E-2</v>
      </c>
      <c r="U54" s="5">
        <v>1.6826798545038879E-2</v>
      </c>
      <c r="AR54" s="3">
        <v>0</v>
      </c>
      <c r="AS54" s="3">
        <v>0.29036508014671125</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row>
    <row r="55" spans="1:63" x14ac:dyDescent="0.2">
      <c r="A55" s="3" t="s">
        <v>12</v>
      </c>
      <c r="B55" s="5">
        <v>3.8517592890336988E-4</v>
      </c>
      <c r="C55" s="5">
        <v>2.8419181398194079E-3</v>
      </c>
      <c r="D55" s="5">
        <v>7.4153013491239945E-3</v>
      </c>
      <c r="E55" s="5">
        <v>5.2904808949547598E-3</v>
      </c>
      <c r="F55" s="5">
        <v>1.4132153977804131E-2</v>
      </c>
      <c r="G55" s="5">
        <v>0.15825208121854006</v>
      </c>
      <c r="H55" s="5">
        <v>3.6123049785816786E-3</v>
      </c>
      <c r="I55" s="5">
        <v>5.3415390814962965E-2</v>
      </c>
      <c r="J55" s="5">
        <v>0.10492769477508591</v>
      </c>
      <c r="K55" s="5">
        <v>1.5912899296439232E-2</v>
      </c>
      <c r="L55" s="5">
        <v>1.624083737960727E-2</v>
      </c>
      <c r="M55" s="5">
        <v>4.2622755504087825E-2</v>
      </c>
      <c r="N55" s="5">
        <v>4.6651498864435406E-4</v>
      </c>
      <c r="O55" s="5">
        <v>2.4030455231196603E-2</v>
      </c>
      <c r="P55" s="5">
        <v>1.9876450406292868E-2</v>
      </c>
      <c r="Q55" s="5">
        <v>1.5791551123386441E-2</v>
      </c>
      <c r="R55" s="5">
        <v>2.1860358037873815E-2</v>
      </c>
      <c r="S55" s="5">
        <v>2.819241143182127E-2</v>
      </c>
      <c r="T55" s="5">
        <v>3.480750594651056E-2</v>
      </c>
      <c r="U55" s="5">
        <v>6.1622838721157869E-2</v>
      </c>
      <c r="AR55" s="3">
        <v>0</v>
      </c>
      <c r="AS55" s="3">
        <v>0</v>
      </c>
      <c r="AT55" s="3">
        <v>0.34246099079423004</v>
      </c>
      <c r="AU55" s="3">
        <v>0</v>
      </c>
      <c r="AV55" s="3">
        <v>0</v>
      </c>
      <c r="AW55" s="3">
        <v>0</v>
      </c>
      <c r="AX55" s="3">
        <v>0</v>
      </c>
      <c r="AY55" s="3">
        <v>0</v>
      </c>
      <c r="AZ55" s="3">
        <v>0</v>
      </c>
      <c r="BA55" s="3">
        <v>0</v>
      </c>
      <c r="BB55" s="3">
        <v>0</v>
      </c>
      <c r="BC55" s="3">
        <v>0</v>
      </c>
      <c r="BD55" s="3">
        <v>0</v>
      </c>
      <c r="BE55" s="3">
        <v>0</v>
      </c>
      <c r="BF55" s="3">
        <v>0</v>
      </c>
      <c r="BG55" s="3">
        <v>0</v>
      </c>
      <c r="BH55" s="3">
        <v>0</v>
      </c>
      <c r="BI55" s="3">
        <v>0</v>
      </c>
      <c r="BJ55" s="3">
        <v>0</v>
      </c>
      <c r="BK55" s="3">
        <v>0</v>
      </c>
    </row>
    <row r="56" spans="1:63" x14ac:dyDescent="0.2">
      <c r="A56" s="3" t="s">
        <v>13</v>
      </c>
      <c r="B56" s="5">
        <v>0</v>
      </c>
      <c r="C56" s="5">
        <v>0</v>
      </c>
      <c r="D56" s="5">
        <v>0</v>
      </c>
      <c r="E56" s="5">
        <v>0</v>
      </c>
      <c r="F56" s="5">
        <v>0</v>
      </c>
      <c r="G56" s="5">
        <v>0</v>
      </c>
      <c r="H56" s="5">
        <v>0</v>
      </c>
      <c r="I56" s="5">
        <v>0</v>
      </c>
      <c r="J56" s="5">
        <v>0</v>
      </c>
      <c r="K56" s="5">
        <v>0</v>
      </c>
      <c r="L56" s="5">
        <v>0</v>
      </c>
      <c r="M56" s="5">
        <v>0</v>
      </c>
      <c r="N56" s="5">
        <v>0</v>
      </c>
      <c r="O56" s="5">
        <v>0</v>
      </c>
      <c r="P56" s="5">
        <v>0</v>
      </c>
      <c r="Q56" s="5">
        <v>0</v>
      </c>
      <c r="R56" s="5">
        <v>0</v>
      </c>
      <c r="S56" s="5">
        <v>0</v>
      </c>
      <c r="T56" s="5">
        <v>0</v>
      </c>
      <c r="U56" s="5">
        <v>0</v>
      </c>
      <c r="AR56" s="3">
        <v>0</v>
      </c>
      <c r="AS56" s="3">
        <v>0</v>
      </c>
      <c r="AT56" s="3">
        <v>0</v>
      </c>
      <c r="AU56" s="3">
        <v>0.29852361840211517</v>
      </c>
      <c r="AV56" s="3">
        <v>0</v>
      </c>
      <c r="AW56" s="3">
        <v>0</v>
      </c>
      <c r="AX56" s="3">
        <v>0</v>
      </c>
      <c r="AY56" s="3">
        <v>0</v>
      </c>
      <c r="AZ56" s="3">
        <v>0</v>
      </c>
      <c r="BA56" s="3">
        <v>0</v>
      </c>
      <c r="BB56" s="3">
        <v>0</v>
      </c>
      <c r="BC56" s="3">
        <v>0</v>
      </c>
      <c r="BD56" s="3">
        <v>0</v>
      </c>
      <c r="BE56" s="3">
        <v>0</v>
      </c>
      <c r="BF56" s="3">
        <v>0</v>
      </c>
      <c r="BG56" s="3">
        <v>0</v>
      </c>
      <c r="BH56" s="3">
        <v>0</v>
      </c>
      <c r="BI56" s="3">
        <v>0</v>
      </c>
      <c r="BJ56" s="3">
        <v>0</v>
      </c>
      <c r="BK56" s="3">
        <v>0</v>
      </c>
    </row>
    <row r="57" spans="1:63" x14ac:dyDescent="0.2">
      <c r="A57" s="3" t="s">
        <v>14</v>
      </c>
      <c r="B57" s="5">
        <v>6.909446998956602E-3</v>
      </c>
      <c r="C57" s="5">
        <v>8.1945716631948769E-3</v>
      </c>
      <c r="D57" s="5">
        <v>8.2604751378298601E-3</v>
      </c>
      <c r="E57" s="5">
        <v>2.283001271623214E-2</v>
      </c>
      <c r="F57" s="5">
        <v>2.806958810548121E-2</v>
      </c>
      <c r="G57" s="5">
        <v>3.18843680432081E-2</v>
      </c>
      <c r="H57" s="5">
        <v>6.3450213667200737E-3</v>
      </c>
      <c r="I57" s="5">
        <v>4.7226448279506339E-2</v>
      </c>
      <c r="J57" s="5">
        <v>1.6640521300945035E-2</v>
      </c>
      <c r="K57" s="5">
        <v>4.0106761111167767E-2</v>
      </c>
      <c r="L57" s="5">
        <v>2.5552238121271581E-2</v>
      </c>
      <c r="M57" s="5">
        <v>6.7138804593182597E-2</v>
      </c>
      <c r="N57" s="5">
        <v>1.5768849968074875E-2</v>
      </c>
      <c r="O57" s="5">
        <v>5.5969228050180946E-2</v>
      </c>
      <c r="P57" s="5">
        <v>3.2076317799872994E-2</v>
      </c>
      <c r="Q57" s="5">
        <v>3.2959236528245735E-2</v>
      </c>
      <c r="R57" s="5">
        <v>2.0962115718018478E-2</v>
      </c>
      <c r="S57" s="5">
        <v>1.6519914674483646E-2</v>
      </c>
      <c r="T57" s="5">
        <v>3.4312568293905603E-2</v>
      </c>
      <c r="U57" s="5">
        <v>2.7008880512856954E-2</v>
      </c>
      <c r="AR57" s="3">
        <v>0</v>
      </c>
      <c r="AS57" s="3">
        <v>0</v>
      </c>
      <c r="AT57" s="3">
        <v>0</v>
      </c>
      <c r="AU57" s="3">
        <v>0</v>
      </c>
      <c r="AV57" s="3">
        <v>0.44869385392399086</v>
      </c>
      <c r="AW57" s="3">
        <v>0</v>
      </c>
      <c r="AX57" s="3">
        <v>0</v>
      </c>
      <c r="AY57" s="3">
        <v>0</v>
      </c>
      <c r="AZ57" s="3">
        <v>0</v>
      </c>
      <c r="BA57" s="3">
        <v>0</v>
      </c>
      <c r="BB57" s="3">
        <v>0</v>
      </c>
      <c r="BC57" s="3">
        <v>0</v>
      </c>
      <c r="BD57" s="3">
        <v>0</v>
      </c>
      <c r="BE57" s="3">
        <v>0</v>
      </c>
      <c r="BF57" s="3">
        <v>0</v>
      </c>
      <c r="BG57" s="3">
        <v>0</v>
      </c>
      <c r="BH57" s="3">
        <v>0</v>
      </c>
      <c r="BI57" s="3">
        <v>0</v>
      </c>
      <c r="BJ57" s="3">
        <v>0</v>
      </c>
      <c r="BK57" s="3">
        <v>0</v>
      </c>
    </row>
    <row r="58" spans="1:63" x14ac:dyDescent="0.2">
      <c r="A58" s="3" t="s">
        <v>15</v>
      </c>
      <c r="B58" s="5">
        <v>2.962269740131585E-4</v>
      </c>
      <c r="C58" s="5">
        <v>4.1951250206113781E-3</v>
      </c>
      <c r="D58" s="5">
        <v>1.053337668365445E-2</v>
      </c>
      <c r="E58" s="5">
        <v>7.7444103711134466E-3</v>
      </c>
      <c r="F58" s="5">
        <v>1.1880057190909203E-2</v>
      </c>
      <c r="G58" s="5">
        <v>1.6938026942198786E-2</v>
      </c>
      <c r="H58" s="5">
        <v>8.7790753853941896E-3</v>
      </c>
      <c r="I58" s="5">
        <v>1.4853296882241247E-2</v>
      </c>
      <c r="J58" s="5">
        <v>9.8640741000746573E-3</v>
      </c>
      <c r="K58" s="5">
        <v>1.5958932212335113E-2</v>
      </c>
      <c r="L58" s="5">
        <v>7.636341627249175E-3</v>
      </c>
      <c r="M58" s="5">
        <v>4.6006958174963308E-2</v>
      </c>
      <c r="N58" s="5">
        <v>1.2732604847769686E-2</v>
      </c>
      <c r="O58" s="5">
        <v>1.0264918623895603E-2</v>
      </c>
      <c r="P58" s="5">
        <v>5.946753236878291E-2</v>
      </c>
      <c r="Q58" s="5">
        <v>2.0159504443463497E-2</v>
      </c>
      <c r="R58" s="5">
        <v>1.212849438536418E-2</v>
      </c>
      <c r="S58" s="5">
        <v>2.1663314444619202E-2</v>
      </c>
      <c r="T58" s="5">
        <v>2.1334711684913965E-2</v>
      </c>
      <c r="U58" s="5">
        <v>1.2022414010521478E-2</v>
      </c>
      <c r="AR58" s="3">
        <v>0</v>
      </c>
      <c r="AS58" s="3">
        <v>0</v>
      </c>
      <c r="AT58" s="3">
        <v>0</v>
      </c>
      <c r="AU58" s="3">
        <v>0</v>
      </c>
      <c r="AV58" s="3">
        <v>0</v>
      </c>
      <c r="AW58" s="3">
        <v>0.47356878647237122</v>
      </c>
      <c r="AX58" s="3">
        <v>0</v>
      </c>
      <c r="AY58" s="3">
        <v>0</v>
      </c>
      <c r="AZ58" s="3">
        <v>0</v>
      </c>
      <c r="BA58" s="3">
        <v>0</v>
      </c>
      <c r="BB58" s="3">
        <v>0</v>
      </c>
      <c r="BC58" s="3">
        <v>0</v>
      </c>
      <c r="BD58" s="3">
        <v>0</v>
      </c>
      <c r="BE58" s="3">
        <v>0</v>
      </c>
      <c r="BF58" s="3">
        <v>0</v>
      </c>
      <c r="BG58" s="3">
        <v>0</v>
      </c>
      <c r="BH58" s="3">
        <v>0</v>
      </c>
      <c r="BI58" s="3">
        <v>0</v>
      </c>
      <c r="BJ58" s="3">
        <v>0</v>
      </c>
      <c r="BK58" s="3">
        <v>0</v>
      </c>
    </row>
    <row r="59" spans="1:63" x14ac:dyDescent="0.2">
      <c r="A59" s="3" t="s">
        <v>16</v>
      </c>
      <c r="B59" s="5">
        <v>3.132081381285625E-4</v>
      </c>
      <c r="C59" s="5">
        <v>2.6299164103834059E-4</v>
      </c>
      <c r="D59" s="5">
        <v>2.3097276243471618E-3</v>
      </c>
      <c r="E59" s="5">
        <v>1.8329465848784053E-3</v>
      </c>
      <c r="F59" s="5">
        <v>2.3317174250310027E-3</v>
      </c>
      <c r="G59" s="5">
        <v>9.1291147240095041E-3</v>
      </c>
      <c r="H59" s="5">
        <v>1.1764192886518012E-3</v>
      </c>
      <c r="I59" s="5">
        <v>4.1960301356316967E-3</v>
      </c>
      <c r="J59" s="5">
        <v>4.7386704351122227E-3</v>
      </c>
      <c r="K59" s="5">
        <v>3.4984030728706407E-3</v>
      </c>
      <c r="L59" s="5">
        <v>2.231950524695693E-3</v>
      </c>
      <c r="M59" s="5">
        <v>1.026359787975316E-2</v>
      </c>
      <c r="N59" s="5">
        <v>1.7868371495308218E-4</v>
      </c>
      <c r="O59" s="5">
        <v>3.9607063670377505E-3</v>
      </c>
      <c r="P59" s="5">
        <v>1.6616765931112942E-3</v>
      </c>
      <c r="Q59" s="5">
        <v>1.8581141270224383E-2</v>
      </c>
      <c r="R59" s="5">
        <v>1.5313445309500105E-3</v>
      </c>
      <c r="S59" s="5">
        <v>1.9126503151604577E-3</v>
      </c>
      <c r="T59" s="5">
        <v>1.0018113689234189E-2</v>
      </c>
      <c r="U59" s="5">
        <v>3.3060774779760447E-3</v>
      </c>
      <c r="AR59" s="3">
        <v>0</v>
      </c>
      <c r="AS59" s="3">
        <v>0</v>
      </c>
      <c r="AT59" s="3">
        <v>0</v>
      </c>
      <c r="AU59" s="3">
        <v>0</v>
      </c>
      <c r="AV59" s="3">
        <v>0</v>
      </c>
      <c r="AW59" s="3">
        <v>0</v>
      </c>
      <c r="AX59" s="3">
        <v>0.25263334541128529</v>
      </c>
      <c r="AY59" s="3">
        <v>0</v>
      </c>
      <c r="AZ59" s="3">
        <v>0</v>
      </c>
      <c r="BA59" s="3">
        <v>0</v>
      </c>
      <c r="BB59" s="3">
        <v>0</v>
      </c>
      <c r="BC59" s="3">
        <v>0</v>
      </c>
      <c r="BD59" s="3">
        <v>0</v>
      </c>
      <c r="BE59" s="3">
        <v>0</v>
      </c>
      <c r="BF59" s="3">
        <v>0</v>
      </c>
      <c r="BG59" s="3">
        <v>0</v>
      </c>
      <c r="BH59" s="3">
        <v>0</v>
      </c>
      <c r="BI59" s="3">
        <v>0</v>
      </c>
      <c r="BJ59" s="3">
        <v>0</v>
      </c>
      <c r="BK59" s="3">
        <v>0</v>
      </c>
    </row>
    <row r="60" spans="1:63" x14ac:dyDescent="0.2">
      <c r="A60" s="3" t="s">
        <v>17</v>
      </c>
      <c r="B60" s="5">
        <v>1.7210275059818174E-4</v>
      </c>
      <c r="C60" s="5">
        <v>2.3875461137299928E-4</v>
      </c>
      <c r="D60" s="5">
        <v>3.2664769342539664E-4</v>
      </c>
      <c r="E60" s="5">
        <v>2.7080658937200835E-4</v>
      </c>
      <c r="F60" s="5">
        <v>8.6928676296368153E-4</v>
      </c>
      <c r="G60" s="5">
        <v>1.734636510339241E-3</v>
      </c>
      <c r="H60" s="5">
        <v>3.1058947301645999E-4</v>
      </c>
      <c r="I60" s="5">
        <v>2.7443253469531461E-3</v>
      </c>
      <c r="J60" s="5">
        <v>1.2860183047651906E-3</v>
      </c>
      <c r="K60" s="5">
        <v>1.7199157753598456E-3</v>
      </c>
      <c r="L60" s="5">
        <v>9.7345122475169551E-4</v>
      </c>
      <c r="M60" s="5">
        <v>1.9517639238800801E-3</v>
      </c>
      <c r="N60" s="5">
        <v>2.8525705787742363E-4</v>
      </c>
      <c r="O60" s="5">
        <v>1.8902977237891113E-3</v>
      </c>
      <c r="P60" s="5">
        <v>1.3167663566298455E-3</v>
      </c>
      <c r="Q60" s="5">
        <v>6.2161425152710706E-3</v>
      </c>
      <c r="R60" s="5">
        <v>2.075376756898651E-2</v>
      </c>
      <c r="S60" s="5">
        <v>1.2190536287490644E-3</v>
      </c>
      <c r="T60" s="5">
        <v>1.7553961765736131E-3</v>
      </c>
      <c r="U60" s="5">
        <v>1.6118789991648257E-3</v>
      </c>
      <c r="AR60" s="3">
        <v>0</v>
      </c>
      <c r="AS60" s="3">
        <v>0</v>
      </c>
      <c r="AT60" s="3">
        <v>0</v>
      </c>
      <c r="AU60" s="3">
        <v>0</v>
      </c>
      <c r="AV60" s="3">
        <v>0</v>
      </c>
      <c r="AW60" s="3">
        <v>0</v>
      </c>
      <c r="AX60" s="3">
        <v>0</v>
      </c>
      <c r="AY60" s="3">
        <v>0.55916470255004214</v>
      </c>
      <c r="AZ60" s="3">
        <v>0</v>
      </c>
      <c r="BA60" s="3">
        <v>0</v>
      </c>
      <c r="BB60" s="3">
        <v>0</v>
      </c>
      <c r="BC60" s="3">
        <v>0</v>
      </c>
      <c r="BD60" s="3">
        <v>0</v>
      </c>
      <c r="BE60" s="3">
        <v>0</v>
      </c>
      <c r="BF60" s="3">
        <v>0</v>
      </c>
      <c r="BG60" s="3">
        <v>0</v>
      </c>
      <c r="BH60" s="3">
        <v>0</v>
      </c>
      <c r="BI60" s="3">
        <v>0</v>
      </c>
      <c r="BJ60" s="3">
        <v>0</v>
      </c>
      <c r="BK60" s="3">
        <v>0</v>
      </c>
    </row>
    <row r="61" spans="1:63" x14ac:dyDescent="0.2">
      <c r="A61" s="3" t="s">
        <v>18</v>
      </c>
      <c r="B61" s="5">
        <v>5.8355905253729589E-5</v>
      </c>
      <c r="C61" s="5">
        <v>5.7638425219569529E-5</v>
      </c>
      <c r="D61" s="5">
        <v>2.5173910244908248E-4</v>
      </c>
      <c r="E61" s="5">
        <v>1.7579223711373281E-4</v>
      </c>
      <c r="F61" s="5">
        <v>3.5778579526154699E-4</v>
      </c>
      <c r="G61" s="5">
        <v>1.156180268374265E-3</v>
      </c>
      <c r="H61" s="5">
        <v>2.3177357096838141E-4</v>
      </c>
      <c r="I61" s="5">
        <v>8.1391469380423368E-4</v>
      </c>
      <c r="J61" s="5">
        <v>9.6415249127036295E-4</v>
      </c>
      <c r="K61" s="5">
        <v>5.2977787413694712E-4</v>
      </c>
      <c r="L61" s="5">
        <v>5.543003159286516E-4</v>
      </c>
      <c r="M61" s="5">
        <v>8.3485233996688642E-4</v>
      </c>
      <c r="N61" s="5">
        <v>7.8208475110525596E-5</v>
      </c>
      <c r="O61" s="5">
        <v>5.4452266576721668E-3</v>
      </c>
      <c r="P61" s="5">
        <v>2.0895361548774584E-3</v>
      </c>
      <c r="Q61" s="5">
        <v>8.7503878122598428E-3</v>
      </c>
      <c r="R61" s="5">
        <v>1.1619733459472834E-3</v>
      </c>
      <c r="S61" s="5">
        <v>0.10781376179835866</v>
      </c>
      <c r="T61" s="5">
        <v>3.2161041251126565E-2</v>
      </c>
      <c r="U61" s="5">
        <v>5.8414052375170946E-3</v>
      </c>
      <c r="AR61" s="3">
        <v>0</v>
      </c>
      <c r="AS61" s="3">
        <v>0</v>
      </c>
      <c r="AT61" s="3">
        <v>0</v>
      </c>
      <c r="AU61" s="3">
        <v>0</v>
      </c>
      <c r="AV61" s="3">
        <v>0</v>
      </c>
      <c r="AW61" s="3">
        <v>0</v>
      </c>
      <c r="AX61" s="3">
        <v>0</v>
      </c>
      <c r="AY61" s="3">
        <v>0</v>
      </c>
      <c r="AZ61" s="3">
        <v>0.32619594817199443</v>
      </c>
      <c r="BA61" s="3">
        <v>0</v>
      </c>
      <c r="BB61" s="3">
        <v>0</v>
      </c>
      <c r="BC61" s="3">
        <v>0</v>
      </c>
      <c r="BD61" s="3">
        <v>0</v>
      </c>
      <c r="BE61" s="3">
        <v>0</v>
      </c>
      <c r="BF61" s="3">
        <v>0</v>
      </c>
      <c r="BG61" s="3">
        <v>0</v>
      </c>
      <c r="BH61" s="3">
        <v>0</v>
      </c>
      <c r="BI61" s="3">
        <v>0</v>
      </c>
      <c r="BJ61" s="3">
        <v>0</v>
      </c>
      <c r="BK61" s="3">
        <v>0</v>
      </c>
    </row>
    <row r="62" spans="1:63" x14ac:dyDescent="0.2">
      <c r="A62" s="3" t="s">
        <v>19</v>
      </c>
      <c r="B62" s="5">
        <v>2.4528348166694656E-5</v>
      </c>
      <c r="C62" s="5">
        <v>5.5802362903727833E-5</v>
      </c>
      <c r="D62" s="5">
        <v>1.5538737238081216E-4</v>
      </c>
      <c r="E62" s="5">
        <v>8.8698115598995523E-4</v>
      </c>
      <c r="F62" s="5">
        <v>4.5149223917303555E-4</v>
      </c>
      <c r="G62" s="5">
        <v>3.3800320174645912E-3</v>
      </c>
      <c r="H62" s="5">
        <v>2.2470395713283532E-4</v>
      </c>
      <c r="I62" s="5">
        <v>1.3656922283361045E-3</v>
      </c>
      <c r="J62" s="5">
        <v>1.1573232953206582E-3</v>
      </c>
      <c r="K62" s="5">
        <v>1.1608510453116891E-3</v>
      </c>
      <c r="L62" s="5">
        <v>1.9455853933568119E-3</v>
      </c>
      <c r="M62" s="5">
        <v>7.2131862348722917E-4</v>
      </c>
      <c r="N62" s="5">
        <v>2.9904547915976299E-5</v>
      </c>
      <c r="O62" s="5">
        <v>1.0541117555273357E-3</v>
      </c>
      <c r="P62" s="5">
        <v>1.9624634400410386E-3</v>
      </c>
      <c r="Q62" s="5">
        <v>5.8629926579653851E-4</v>
      </c>
      <c r="R62" s="5">
        <v>9.2560086830501317E-3</v>
      </c>
      <c r="S62" s="5">
        <v>8.3839288032069869E-4</v>
      </c>
      <c r="T62" s="5">
        <v>3.3923029953668908E-2</v>
      </c>
      <c r="U62" s="5">
        <v>2.2088748667426971E-3</v>
      </c>
      <c r="AR62" s="3">
        <v>0</v>
      </c>
      <c r="AS62" s="3">
        <v>0</v>
      </c>
      <c r="AT62" s="3">
        <v>0</v>
      </c>
      <c r="AU62" s="3">
        <v>0</v>
      </c>
      <c r="AV62" s="3">
        <v>0</v>
      </c>
      <c r="AW62" s="3">
        <v>0</v>
      </c>
      <c r="AX62" s="3">
        <v>0</v>
      </c>
      <c r="AY62" s="3">
        <v>0</v>
      </c>
      <c r="AZ62" s="3">
        <v>0</v>
      </c>
      <c r="BA62" s="3">
        <v>0.18614111578542775</v>
      </c>
      <c r="BB62" s="3">
        <v>0</v>
      </c>
      <c r="BC62" s="3">
        <v>0</v>
      </c>
      <c r="BD62" s="3">
        <v>0</v>
      </c>
      <c r="BE62" s="3">
        <v>0</v>
      </c>
      <c r="BF62" s="3">
        <v>0</v>
      </c>
      <c r="BG62" s="3">
        <v>0</v>
      </c>
      <c r="BH62" s="3">
        <v>0</v>
      </c>
      <c r="BI62" s="3">
        <v>0</v>
      </c>
      <c r="BJ62" s="3">
        <v>0</v>
      </c>
      <c r="BK62" s="3">
        <v>0</v>
      </c>
    </row>
    <row r="63" spans="1:63" x14ac:dyDescent="0.2">
      <c r="A63" s="3" t="s">
        <v>20</v>
      </c>
      <c r="B63" s="5">
        <v>1.130729896255869E-4</v>
      </c>
      <c r="C63" s="5">
        <v>2.3488925015202432E-4</v>
      </c>
      <c r="D63" s="5">
        <v>1.0622311265415716E-3</v>
      </c>
      <c r="E63" s="5">
        <v>8.5905685975023766E-4</v>
      </c>
      <c r="F63" s="5">
        <v>5.7852269664458939E-4</v>
      </c>
      <c r="G63" s="5">
        <v>2.5075287236851853E-3</v>
      </c>
      <c r="H63" s="5">
        <v>9.2584578625939235E-4</v>
      </c>
      <c r="I63" s="5">
        <v>1.0050834600997554E-2</v>
      </c>
      <c r="J63" s="5">
        <v>1.22578958051308E-3</v>
      </c>
      <c r="K63" s="5">
        <v>1.6842821566928497E-3</v>
      </c>
      <c r="L63" s="5">
        <v>1.2632601485382759E-3</v>
      </c>
      <c r="M63" s="5">
        <v>1.8597951704822377E-3</v>
      </c>
      <c r="N63" s="5">
        <v>2.8331245403186048E-3</v>
      </c>
      <c r="O63" s="5">
        <v>1.7021057273932821E-3</v>
      </c>
      <c r="P63" s="5">
        <v>3.8820476146002219E-3</v>
      </c>
      <c r="Q63" s="5">
        <v>6.4471032536203591E-3</v>
      </c>
      <c r="R63" s="5">
        <v>6.9573342764306908E-3</v>
      </c>
      <c r="S63" s="5">
        <v>6.0495597052994199E-3</v>
      </c>
      <c r="T63" s="5">
        <v>1.6908021668578518E-2</v>
      </c>
      <c r="U63" s="5">
        <v>9.6851333549485535E-3</v>
      </c>
      <c r="AR63" s="3">
        <v>0</v>
      </c>
      <c r="AS63" s="3">
        <v>0</v>
      </c>
      <c r="AT63" s="3">
        <v>0</v>
      </c>
      <c r="AU63" s="3">
        <v>0</v>
      </c>
      <c r="AV63" s="3">
        <v>0</v>
      </c>
      <c r="AW63" s="3">
        <v>0</v>
      </c>
      <c r="AX63" s="3">
        <v>0</v>
      </c>
      <c r="AY63" s="3">
        <v>0</v>
      </c>
      <c r="AZ63" s="3">
        <v>0</v>
      </c>
      <c r="BA63" s="3">
        <v>0</v>
      </c>
      <c r="BB63" s="3">
        <v>0.47579857738595777</v>
      </c>
      <c r="BC63" s="3">
        <v>0</v>
      </c>
      <c r="BD63" s="3">
        <v>0</v>
      </c>
      <c r="BE63" s="3">
        <v>0</v>
      </c>
      <c r="BF63" s="3">
        <v>0</v>
      </c>
      <c r="BG63" s="3">
        <v>0</v>
      </c>
      <c r="BH63" s="3">
        <v>0</v>
      </c>
      <c r="BI63" s="3">
        <v>0</v>
      </c>
      <c r="BJ63" s="3">
        <v>0</v>
      </c>
      <c r="BK63" s="3">
        <v>0</v>
      </c>
    </row>
    <row r="64" spans="1:63" x14ac:dyDescent="0.2">
      <c r="A64" s="3" t="s">
        <v>21</v>
      </c>
      <c r="B64" s="3">
        <v>0.36398828784852155</v>
      </c>
      <c r="C64" s="3">
        <v>0.46460815595623667</v>
      </c>
      <c r="D64" s="3">
        <v>0.38784372362522684</v>
      </c>
      <c r="E64" s="3">
        <v>0.18466716367318539</v>
      </c>
      <c r="F64" s="3">
        <v>0.32089446935482113</v>
      </c>
      <c r="G64" s="3">
        <v>7.7377664639560653E-2</v>
      </c>
      <c r="H64" s="3">
        <v>0.36469939366009002</v>
      </c>
      <c r="I64" s="3">
        <v>9.8364395370630534E-2</v>
      </c>
      <c r="J64" s="3">
        <v>0.21662714404214589</v>
      </c>
      <c r="K64" s="3">
        <v>0.37783112347865783</v>
      </c>
      <c r="L64" s="3">
        <v>0.2344540180191749</v>
      </c>
      <c r="M64" s="3">
        <v>2.3603587524771791E-2</v>
      </c>
      <c r="N64" s="3">
        <v>0</v>
      </c>
      <c r="O64" s="3">
        <v>0.25553461714957237</v>
      </c>
      <c r="P64" s="3">
        <v>0.12099969194032141</v>
      </c>
      <c r="Q64" s="3">
        <v>0.17931408211219602</v>
      </c>
      <c r="R64" s="3">
        <v>6.6553933972985424E-2</v>
      </c>
      <c r="S64" s="3">
        <v>9.8218995901779446E-2</v>
      </c>
      <c r="T64" s="3">
        <v>7.9031641587280502E-2</v>
      </c>
      <c r="U64" s="3">
        <v>0.110454009894264</v>
      </c>
      <c r="V64" s="4" t="s">
        <v>37</v>
      </c>
      <c r="AR64" s="3">
        <v>0</v>
      </c>
      <c r="AS64" s="3">
        <v>0</v>
      </c>
      <c r="AT64" s="3">
        <v>0</v>
      </c>
      <c r="AU64" s="3">
        <v>0</v>
      </c>
      <c r="AV64" s="3">
        <v>0</v>
      </c>
      <c r="AW64" s="3">
        <v>0</v>
      </c>
      <c r="AX64" s="3">
        <v>0</v>
      </c>
      <c r="AY64" s="3">
        <v>0</v>
      </c>
      <c r="AZ64" s="3">
        <v>0</v>
      </c>
      <c r="BA64" s="3">
        <v>0</v>
      </c>
      <c r="BB64" s="3">
        <v>0</v>
      </c>
      <c r="BC64" s="3">
        <v>0.48010113759762263</v>
      </c>
      <c r="BD64" s="3">
        <v>0</v>
      </c>
      <c r="BE64" s="3">
        <v>0</v>
      </c>
      <c r="BF64" s="3">
        <v>0</v>
      </c>
      <c r="BG64" s="3">
        <v>0</v>
      </c>
      <c r="BH64" s="3">
        <v>0</v>
      </c>
      <c r="BI64" s="3">
        <v>0</v>
      </c>
      <c r="BJ64" s="3">
        <v>0</v>
      </c>
      <c r="BK64" s="3">
        <v>0</v>
      </c>
    </row>
    <row r="65" spans="1:63" ht="19" x14ac:dyDescent="0.2">
      <c r="A65" s="3" t="s">
        <v>22</v>
      </c>
      <c r="B65" s="3">
        <v>3.6866646379117157E-3</v>
      </c>
      <c r="C65" s="3">
        <v>3.8236485539640237E-4</v>
      </c>
      <c r="D65" s="3">
        <v>9.0066000516285452E-3</v>
      </c>
      <c r="E65" s="3">
        <v>4.8252761872566002E-4</v>
      </c>
      <c r="F65" s="3">
        <v>3.5703522733389825E-4</v>
      </c>
      <c r="G65" s="3">
        <v>1.3387162487323147E-3</v>
      </c>
      <c r="H65" s="3">
        <v>1.574030013685233E-3</v>
      </c>
      <c r="I65" s="3">
        <v>3.7371486137193657E-3</v>
      </c>
      <c r="J65" s="3">
        <v>2.7196206162950123E-2</v>
      </c>
      <c r="K65" s="3">
        <v>4.4741622836592205E-3</v>
      </c>
      <c r="L65" s="3">
        <v>9.5325624598010961E-3</v>
      </c>
      <c r="M65" s="3">
        <v>1.0166197456092121E-2</v>
      </c>
      <c r="N65" s="3">
        <v>0</v>
      </c>
      <c r="O65" s="3">
        <v>2.1068364221972003E-3</v>
      </c>
      <c r="P65" s="3">
        <v>1.0134614819949008E-3</v>
      </c>
      <c r="Q65" s="3">
        <v>4.4921957711179525E-3</v>
      </c>
      <c r="R65" s="3">
        <v>6.5869507407727715E-3</v>
      </c>
      <c r="S65" s="3">
        <v>2.8547517839932417E-2</v>
      </c>
      <c r="T65" s="3">
        <v>1.2672781387053793E-2</v>
      </c>
      <c r="U65" s="3">
        <v>3.2686434254715329E-3</v>
      </c>
      <c r="W65" s="23" t="s">
        <v>36</v>
      </c>
      <c r="X65" s="23"/>
      <c r="Y65" s="23"/>
      <c r="Z65" s="23"/>
      <c r="AA65" s="23"/>
      <c r="AB65" s="23"/>
      <c r="AC65" s="23"/>
      <c r="AD65" s="23"/>
      <c r="AE65" s="23"/>
      <c r="AF65" s="23"/>
      <c r="AG65" s="23"/>
      <c r="AH65" s="23"/>
      <c r="AI65" s="23"/>
      <c r="AJ65" s="23"/>
      <c r="AK65" s="23"/>
      <c r="AL65" s="23"/>
      <c r="AM65" s="23"/>
      <c r="AN65" s="23"/>
      <c r="AO65" s="23"/>
      <c r="AP65" s="23"/>
      <c r="AR65" s="3">
        <v>0</v>
      </c>
      <c r="AS65" s="3">
        <v>0</v>
      </c>
      <c r="AT65" s="3">
        <v>0</v>
      </c>
      <c r="AU65" s="3">
        <v>0</v>
      </c>
      <c r="AV65" s="3">
        <v>0</v>
      </c>
      <c r="AW65" s="3">
        <v>0</v>
      </c>
      <c r="AX65" s="3">
        <v>0</v>
      </c>
      <c r="AY65" s="3">
        <v>0</v>
      </c>
      <c r="AZ65" s="3">
        <v>0</v>
      </c>
      <c r="BA65" s="3">
        <v>0</v>
      </c>
      <c r="BB65" s="3">
        <v>0</v>
      </c>
      <c r="BC65" s="3">
        <v>0</v>
      </c>
      <c r="BD65" s="3">
        <v>0.8284085122891528</v>
      </c>
      <c r="BE65" s="3">
        <v>0</v>
      </c>
      <c r="BF65" s="3">
        <v>0</v>
      </c>
      <c r="BG65" s="3">
        <v>0</v>
      </c>
      <c r="BH65" s="3">
        <v>0</v>
      </c>
      <c r="BI65" s="3">
        <v>0</v>
      </c>
      <c r="BJ65" s="3">
        <v>0</v>
      </c>
      <c r="BK65" s="3">
        <v>0</v>
      </c>
    </row>
    <row r="66" spans="1:63" x14ac:dyDescent="0.2">
      <c r="A66" s="3" t="s">
        <v>23</v>
      </c>
      <c r="B66" s="7">
        <v>0.11684658165123223</v>
      </c>
      <c r="C66" s="7">
        <v>6.0583982163822207E-2</v>
      </c>
      <c r="D66" s="7">
        <v>7.7984609279055234E-2</v>
      </c>
      <c r="E66" s="7">
        <v>0.20938418216099117</v>
      </c>
      <c r="F66" s="7">
        <v>8.2678910377921133E-2</v>
      </c>
      <c r="G66" s="7">
        <v>0.30767613713075798</v>
      </c>
      <c r="H66" s="7">
        <v>4.7113118239369797E-2</v>
      </c>
      <c r="I66" s="7">
        <v>0.2478964590496617</v>
      </c>
      <c r="J66" s="7">
        <v>0.25826320710083694</v>
      </c>
      <c r="K66" s="7">
        <v>0.12837000997554654</v>
      </c>
      <c r="L66" s="7">
        <v>0.20256296368261756</v>
      </c>
      <c r="M66" s="7">
        <v>8.9646550075402426E-2</v>
      </c>
      <c r="N66" s="7">
        <v>0</v>
      </c>
      <c r="O66" s="7">
        <v>0.3427715996561792</v>
      </c>
      <c r="P66" s="7">
        <v>0.31844186086787141</v>
      </c>
      <c r="Q66" s="7">
        <v>0.30713862066894904</v>
      </c>
      <c r="R66" s="7">
        <v>0.58727039733235564</v>
      </c>
      <c r="S66" s="7">
        <v>0.48073918430587953</v>
      </c>
      <c r="T66" s="7">
        <v>0.27430916613340389</v>
      </c>
      <c r="U66" s="7">
        <v>0.55364617170174035</v>
      </c>
      <c r="W66" s="7">
        <v>0.24747378229554612</v>
      </c>
      <c r="X66" s="7">
        <v>0.29036508014671125</v>
      </c>
      <c r="Y66" s="7">
        <v>0.34246099079423004</v>
      </c>
      <c r="Z66" s="7">
        <v>0.29852361840211517</v>
      </c>
      <c r="AA66" s="7">
        <v>0.44869385392399086</v>
      </c>
      <c r="AB66" s="7">
        <v>0.47356878647237122</v>
      </c>
      <c r="AC66" s="7">
        <v>0.25263334541128529</v>
      </c>
      <c r="AD66" s="7">
        <v>0.55916470255004214</v>
      </c>
      <c r="AE66" s="7">
        <v>0.32619594817199443</v>
      </c>
      <c r="AF66" s="7">
        <v>0.18614111578542775</v>
      </c>
      <c r="AG66" s="7">
        <v>0.47579857738595777</v>
      </c>
      <c r="AH66" s="7">
        <v>0.48010113759762263</v>
      </c>
      <c r="AI66" s="7">
        <v>0.8284085122891528</v>
      </c>
      <c r="AJ66" s="7">
        <v>0.43226298300561211</v>
      </c>
      <c r="AK66" s="7">
        <v>0.61034050676521912</v>
      </c>
      <c r="AL66" s="7">
        <v>0.32187929504047047</v>
      </c>
      <c r="AM66" s="7">
        <v>0.71212438798101729</v>
      </c>
      <c r="AN66" s="7">
        <v>0.52619075217044498</v>
      </c>
      <c r="AO66" s="7">
        <v>0.55376509064242385</v>
      </c>
      <c r="AP66" s="7">
        <v>0.61548632085601485</v>
      </c>
      <c r="AR66" s="3">
        <v>0</v>
      </c>
      <c r="AS66" s="3">
        <v>0</v>
      </c>
      <c r="AT66" s="3">
        <v>0</v>
      </c>
      <c r="AU66" s="3">
        <v>0</v>
      </c>
      <c r="AV66" s="3">
        <v>0</v>
      </c>
      <c r="AW66" s="3">
        <v>0</v>
      </c>
      <c r="AX66" s="3">
        <v>0</v>
      </c>
      <c r="AY66" s="3">
        <v>0</v>
      </c>
      <c r="AZ66" s="3">
        <v>0</v>
      </c>
      <c r="BA66" s="3">
        <v>0</v>
      </c>
      <c r="BB66" s="3">
        <v>0</v>
      </c>
      <c r="BC66" s="3">
        <v>0</v>
      </c>
      <c r="BD66" s="3">
        <v>0</v>
      </c>
      <c r="BE66" s="3">
        <v>0.43226298300561211</v>
      </c>
      <c r="BF66" s="3">
        <v>0</v>
      </c>
      <c r="BG66" s="3">
        <v>0</v>
      </c>
      <c r="BH66" s="3">
        <v>0</v>
      </c>
      <c r="BI66" s="3">
        <v>0</v>
      </c>
      <c r="BJ66" s="3">
        <v>0</v>
      </c>
      <c r="BK66" s="3">
        <v>0</v>
      </c>
    </row>
    <row r="67" spans="1:63" x14ac:dyDescent="0.2">
      <c r="A67" s="3" t="s">
        <v>24</v>
      </c>
      <c r="B67" s="7">
        <v>8.6253532014750438E-3</v>
      </c>
      <c r="C67" s="7">
        <v>1.8033316883395525E-3</v>
      </c>
      <c r="D67" s="7">
        <v>1.1337222172251053E-2</v>
      </c>
      <c r="E67" s="7">
        <v>2.4320162891296657E-2</v>
      </c>
      <c r="F67" s="7">
        <v>-2.8826618131872996E-4</v>
      </c>
      <c r="G67" s="7">
        <v>-3.8158550503704773E-3</v>
      </c>
      <c r="H67" s="7">
        <v>1.2881671655455308E-3</v>
      </c>
      <c r="I67" s="7">
        <v>1.252788314431144E-2</v>
      </c>
      <c r="J67" s="7">
        <v>-1.4942395377793823E-2</v>
      </c>
      <c r="K67" s="7">
        <v>-3.1367043807706605E-4</v>
      </c>
      <c r="L67" s="7">
        <v>-5.8339399781355366E-4</v>
      </c>
      <c r="M67" s="7">
        <v>4.5740516266499658E-2</v>
      </c>
      <c r="N67" s="7">
        <v>4.5620600192358987E-2</v>
      </c>
      <c r="O67" s="7">
        <v>-5.0680116959075597E-3</v>
      </c>
      <c r="P67" s="7">
        <v>-4.8110542488322651E-3</v>
      </c>
      <c r="Q67" s="7">
        <v>5.1386168541075496E-4</v>
      </c>
      <c r="R67" s="7">
        <v>-5.4584852894847477E-3</v>
      </c>
      <c r="S67" s="7">
        <v>-2.3269622468223708E-3</v>
      </c>
      <c r="T67" s="7">
        <v>1.9198269824580064E-2</v>
      </c>
      <c r="U67" s="7">
        <v>3.2620681041270638E-2</v>
      </c>
      <c r="AR67" s="3">
        <v>0</v>
      </c>
      <c r="AS67" s="3">
        <v>0</v>
      </c>
      <c r="AT67" s="3">
        <v>0</v>
      </c>
      <c r="AU67" s="3">
        <v>0</v>
      </c>
      <c r="AV67" s="3">
        <v>0</v>
      </c>
      <c r="AW67" s="3">
        <v>0</v>
      </c>
      <c r="AX67" s="3">
        <v>0</v>
      </c>
      <c r="AY67" s="3">
        <v>0</v>
      </c>
      <c r="AZ67" s="3">
        <v>0</v>
      </c>
      <c r="BA67" s="3">
        <v>0</v>
      </c>
      <c r="BB67" s="3">
        <v>0</v>
      </c>
      <c r="BC67" s="3">
        <v>0</v>
      </c>
      <c r="BD67" s="3">
        <v>0</v>
      </c>
      <c r="BE67" s="3">
        <v>0</v>
      </c>
      <c r="BF67" s="3">
        <v>0.61034050676521912</v>
      </c>
      <c r="BG67" s="3">
        <v>0</v>
      </c>
      <c r="BH67" s="3">
        <v>0</v>
      </c>
      <c r="BI67" s="3">
        <v>0</v>
      </c>
      <c r="BJ67" s="3">
        <v>0</v>
      </c>
      <c r="BK67" s="3">
        <v>0</v>
      </c>
    </row>
    <row r="68" spans="1:63" x14ac:dyDescent="0.2">
      <c r="A68" s="3" t="s">
        <v>25</v>
      </c>
      <c r="B68" s="7">
        <v>0.12200184744283883</v>
      </c>
      <c r="C68" s="7">
        <v>0.22797776629454949</v>
      </c>
      <c r="D68" s="7">
        <v>0.25313915934292375</v>
      </c>
      <c r="E68" s="7">
        <v>6.4819273349827358E-2</v>
      </c>
      <c r="F68" s="7">
        <v>0.36630320972738845</v>
      </c>
      <c r="G68" s="7">
        <v>0.16970850439198371</v>
      </c>
      <c r="H68" s="7">
        <v>0.20423206000636995</v>
      </c>
      <c r="I68" s="7">
        <v>0.29874036035606905</v>
      </c>
      <c r="J68" s="7">
        <v>8.2875136448951295E-2</v>
      </c>
      <c r="K68" s="7">
        <v>5.8084776247958277E-2</v>
      </c>
      <c r="L68" s="7">
        <v>0.27381900770115375</v>
      </c>
      <c r="M68" s="7">
        <v>0.34471407125572057</v>
      </c>
      <c r="N68" s="7">
        <v>0.78278791209679377</v>
      </c>
      <c r="O68" s="7">
        <v>9.4559395045340444E-2</v>
      </c>
      <c r="P68" s="7">
        <v>0.29670970014617998</v>
      </c>
      <c r="Q68" s="7">
        <v>1.422681268611071E-2</v>
      </c>
      <c r="R68" s="7">
        <v>0.13031247593814638</v>
      </c>
      <c r="S68" s="7">
        <v>4.7778530111387843E-2</v>
      </c>
      <c r="T68" s="7">
        <v>0.26025765468443984</v>
      </c>
      <c r="U68" s="7">
        <v>2.9219468113003751E-2</v>
      </c>
      <c r="AR68" s="3">
        <v>0</v>
      </c>
      <c r="AS68" s="3">
        <v>0</v>
      </c>
      <c r="AT68" s="3">
        <v>0</v>
      </c>
      <c r="AU68" s="3">
        <v>0</v>
      </c>
      <c r="AV68" s="3">
        <v>0</v>
      </c>
      <c r="AW68" s="3">
        <v>0</v>
      </c>
      <c r="AX68" s="3">
        <v>0</v>
      </c>
      <c r="AY68" s="3">
        <v>0</v>
      </c>
      <c r="AZ68" s="3">
        <v>0</v>
      </c>
      <c r="BA68" s="3">
        <v>0</v>
      </c>
      <c r="BB68" s="3">
        <v>0</v>
      </c>
      <c r="BC68" s="3">
        <v>0</v>
      </c>
      <c r="BD68" s="3">
        <v>0</v>
      </c>
      <c r="BE68" s="3">
        <v>0</v>
      </c>
      <c r="BF68" s="3">
        <v>0</v>
      </c>
      <c r="BG68" s="3">
        <v>0.32187929504047047</v>
      </c>
      <c r="BH68" s="3">
        <v>0</v>
      </c>
      <c r="BI68" s="3">
        <v>0</v>
      </c>
      <c r="BJ68" s="3">
        <v>0</v>
      </c>
      <c r="BK68" s="3">
        <v>0</v>
      </c>
    </row>
    <row r="69" spans="1:63" x14ac:dyDescent="0.2">
      <c r="AR69" s="3">
        <v>0</v>
      </c>
      <c r="AS69" s="3">
        <v>0</v>
      </c>
      <c r="AT69" s="3">
        <v>0</v>
      </c>
      <c r="AU69" s="3">
        <v>0</v>
      </c>
      <c r="AV69" s="3">
        <v>0</v>
      </c>
      <c r="AW69" s="3">
        <v>0</v>
      </c>
      <c r="AX69" s="3">
        <v>0</v>
      </c>
      <c r="AY69" s="3">
        <v>0</v>
      </c>
      <c r="AZ69" s="3">
        <v>0</v>
      </c>
      <c r="BA69" s="3">
        <v>0</v>
      </c>
      <c r="BB69" s="3">
        <v>0</v>
      </c>
      <c r="BC69" s="3">
        <v>0</v>
      </c>
      <c r="BD69" s="3">
        <v>0</v>
      </c>
      <c r="BE69" s="3">
        <v>0</v>
      </c>
      <c r="BF69" s="3">
        <v>0</v>
      </c>
      <c r="BG69" s="3">
        <v>0</v>
      </c>
      <c r="BH69" s="3">
        <v>0.71212438798101729</v>
      </c>
      <c r="BI69" s="3">
        <v>0</v>
      </c>
      <c r="BJ69" s="3">
        <v>0</v>
      </c>
      <c r="BK69" s="3">
        <v>0</v>
      </c>
    </row>
    <row r="70" spans="1:63" x14ac:dyDescent="0.2">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0.52619075217044498</v>
      </c>
      <c r="BJ70" s="3">
        <v>0</v>
      </c>
      <c r="BK70" s="3">
        <v>0</v>
      </c>
    </row>
    <row r="71" spans="1:63" x14ac:dyDescent="0.2">
      <c r="AR71" s="3">
        <v>0</v>
      </c>
      <c r="AS71" s="3">
        <v>0</v>
      </c>
      <c r="AT71" s="3">
        <v>0</v>
      </c>
      <c r="AU71" s="3">
        <v>0</v>
      </c>
      <c r="AV71" s="3">
        <v>0</v>
      </c>
      <c r="AW71" s="3">
        <v>0</v>
      </c>
      <c r="AX71" s="3">
        <v>0</v>
      </c>
      <c r="AY71" s="3">
        <v>0</v>
      </c>
      <c r="AZ71" s="3">
        <v>0</v>
      </c>
      <c r="BA71" s="3">
        <v>0</v>
      </c>
      <c r="BB71" s="3">
        <v>0</v>
      </c>
      <c r="BC71" s="3">
        <v>0</v>
      </c>
      <c r="BD71" s="3">
        <v>0</v>
      </c>
      <c r="BE71" s="3">
        <v>0</v>
      </c>
      <c r="BF71" s="3">
        <v>0</v>
      </c>
      <c r="BG71" s="3">
        <v>0</v>
      </c>
      <c r="BH71" s="3">
        <v>0</v>
      </c>
      <c r="BI71" s="3">
        <v>0</v>
      </c>
      <c r="BJ71" s="3">
        <v>0.55376509064242385</v>
      </c>
      <c r="BK71" s="3">
        <v>0</v>
      </c>
    </row>
    <row r="72" spans="1:63" x14ac:dyDescent="0.2">
      <c r="AR72" s="3">
        <v>0</v>
      </c>
      <c r="AS72" s="3">
        <v>0</v>
      </c>
      <c r="AT72" s="3">
        <v>0</v>
      </c>
      <c r="AU72" s="3">
        <v>0</v>
      </c>
      <c r="AV72" s="3">
        <v>0</v>
      </c>
      <c r="AW72" s="3">
        <v>0</v>
      </c>
      <c r="AX72" s="3">
        <v>0</v>
      </c>
      <c r="AY72" s="3">
        <v>0</v>
      </c>
      <c r="AZ72" s="3">
        <v>0</v>
      </c>
      <c r="BA72" s="3">
        <v>0</v>
      </c>
      <c r="BB72" s="3">
        <v>0</v>
      </c>
      <c r="BC72" s="3">
        <v>0</v>
      </c>
      <c r="BD72" s="3">
        <v>0</v>
      </c>
      <c r="BE72" s="3">
        <v>0</v>
      </c>
      <c r="BF72" s="3">
        <v>0</v>
      </c>
      <c r="BG72" s="3">
        <v>0</v>
      </c>
      <c r="BH72" s="3">
        <v>0</v>
      </c>
      <c r="BI72" s="3">
        <v>0</v>
      </c>
      <c r="BJ72" s="3">
        <v>0</v>
      </c>
      <c r="BK72" s="3">
        <v>0.61548632085601485</v>
      </c>
    </row>
    <row r="73" spans="1:63" ht="19" x14ac:dyDescent="0.2">
      <c r="B73" s="23" t="s">
        <v>31</v>
      </c>
      <c r="C73" s="23"/>
      <c r="D73" s="23"/>
      <c r="E73" s="23"/>
      <c r="F73" s="23"/>
      <c r="G73" s="23"/>
      <c r="H73" s="23"/>
      <c r="I73" s="23"/>
      <c r="J73" s="23"/>
      <c r="K73" s="23"/>
      <c r="L73" s="23"/>
      <c r="M73" s="23"/>
      <c r="N73" s="23"/>
      <c r="O73" s="23"/>
      <c r="P73" s="23"/>
      <c r="Q73" s="23"/>
      <c r="R73" s="23"/>
      <c r="S73" s="23"/>
      <c r="T73" s="23"/>
      <c r="U73" s="23"/>
      <c r="W73" s="23" t="s">
        <v>32</v>
      </c>
      <c r="X73" s="23"/>
      <c r="Y73" s="23"/>
      <c r="Z73" s="23"/>
      <c r="AA73" s="23"/>
      <c r="AB73" s="23"/>
      <c r="AC73" s="23"/>
      <c r="AD73" s="23"/>
      <c r="AE73" s="23"/>
      <c r="AF73" s="23"/>
      <c r="AG73" s="23"/>
      <c r="AH73" s="23"/>
      <c r="AI73" s="23"/>
      <c r="AJ73" s="23"/>
      <c r="AK73" s="23"/>
      <c r="AL73" s="23"/>
      <c r="AM73" s="23"/>
      <c r="AN73" s="23"/>
      <c r="AO73" s="23"/>
      <c r="AP73" s="23"/>
    </row>
    <row r="74" spans="1:63" x14ac:dyDescent="0.2">
      <c r="B74" s="5">
        <v>0.20263906158313505</v>
      </c>
      <c r="C74" s="5">
        <v>1.1132441735653982E-4</v>
      </c>
      <c r="D74" s="5">
        <v>6.5556534415310569E-5</v>
      </c>
      <c r="E74" s="5">
        <v>8.6233321672466102E-5</v>
      </c>
      <c r="F74" s="5">
        <v>2.0188441969611737E-5</v>
      </c>
      <c r="G74" s="5">
        <v>4.9106066007029751E-5</v>
      </c>
      <c r="H74" s="5">
        <v>1.2635533021495592E-5</v>
      </c>
      <c r="I74" s="5">
        <v>1.3922164644438407E-3</v>
      </c>
      <c r="J74" s="5">
        <v>4.8420045602192074E-3</v>
      </c>
      <c r="K74" s="5">
        <v>4.6104627636521217E-5</v>
      </c>
      <c r="L74" s="5">
        <v>2.0980969594094709E-5</v>
      </c>
      <c r="M74" s="5">
        <v>5.3400300796452786E-5</v>
      </c>
      <c r="N74" s="5">
        <v>1.1109135435272817E-5</v>
      </c>
      <c r="O74" s="5">
        <v>3.8265671684711059E-5</v>
      </c>
      <c r="P74" s="5">
        <v>1.8834913411711076E-4</v>
      </c>
      <c r="Q74" s="5">
        <v>3.6913455063910034E-5</v>
      </c>
      <c r="R74" s="5">
        <v>2.3890563434929484E-5</v>
      </c>
      <c r="S74" s="5">
        <v>5.2611877123691883E-5</v>
      </c>
      <c r="T74" s="5">
        <v>1.1398465813773006E-4</v>
      </c>
      <c r="U74" s="5">
        <v>1.3794394209787773E-4</v>
      </c>
      <c r="W74" s="6">
        <v>1</v>
      </c>
      <c r="X74" s="6">
        <v>0</v>
      </c>
      <c r="Y74" s="6">
        <v>0</v>
      </c>
      <c r="Z74" s="6">
        <v>0</v>
      </c>
      <c r="AA74" s="6">
        <v>0</v>
      </c>
      <c r="AB74" s="6">
        <v>0</v>
      </c>
      <c r="AC74" s="6">
        <v>0</v>
      </c>
      <c r="AD74" s="6">
        <v>0</v>
      </c>
      <c r="AE74" s="6">
        <v>0</v>
      </c>
      <c r="AF74" s="6">
        <v>0</v>
      </c>
      <c r="AG74" s="6">
        <v>0</v>
      </c>
      <c r="AH74" s="6">
        <v>0</v>
      </c>
      <c r="AI74" s="6">
        <v>0</v>
      </c>
      <c r="AJ74" s="6">
        <v>0</v>
      </c>
      <c r="AK74" s="6">
        <v>0</v>
      </c>
      <c r="AL74" s="6">
        <v>0</v>
      </c>
      <c r="AM74" s="6">
        <v>0</v>
      </c>
      <c r="AN74" s="6">
        <v>0</v>
      </c>
      <c r="AO74" s="6">
        <v>0</v>
      </c>
      <c r="AP74" s="6">
        <v>0</v>
      </c>
    </row>
    <row r="75" spans="1:63" x14ac:dyDescent="0.2">
      <c r="B75" s="5">
        <v>5.3346866153116734E-2</v>
      </c>
      <c r="C75" s="5">
        <v>0.16637706152860715</v>
      </c>
      <c r="D75" s="5">
        <v>1.6084456751745295E-2</v>
      </c>
      <c r="E75" s="5">
        <v>7.6700069630111903E-2</v>
      </c>
      <c r="F75" s="5">
        <v>1.4751993350439006E-2</v>
      </c>
      <c r="G75" s="5">
        <v>2.4773626333852671E-2</v>
      </c>
      <c r="H75" s="5">
        <v>4.9111741457298283E-2</v>
      </c>
      <c r="I75" s="5">
        <v>3.9829352793495379E-2</v>
      </c>
      <c r="J75" s="5">
        <v>0.10777234738704669</v>
      </c>
      <c r="K75" s="5">
        <v>4.6630110470069763E-2</v>
      </c>
      <c r="L75" s="5">
        <v>4.337977517467363E-3</v>
      </c>
      <c r="M75" s="5">
        <v>3.3747483302580997E-2</v>
      </c>
      <c r="N75" s="5">
        <v>1.9082051613633238E-3</v>
      </c>
      <c r="O75" s="5">
        <v>9.590077547193307E-2</v>
      </c>
      <c r="P75" s="5">
        <v>4.6569539312305522E-2</v>
      </c>
      <c r="Q75" s="5">
        <v>4.7674661893496402E-2</v>
      </c>
      <c r="R75" s="5">
        <v>3.0372922848551358E-2</v>
      </c>
      <c r="S75" s="5">
        <v>6.6643026466953081E-2</v>
      </c>
      <c r="T75" s="5">
        <v>2.6006402675124225E-2</v>
      </c>
      <c r="U75" s="5">
        <v>4.9105434913556623E-2</v>
      </c>
      <c r="W75" s="6">
        <v>0</v>
      </c>
      <c r="X75" s="6">
        <v>1</v>
      </c>
      <c r="Y75" s="6">
        <v>0</v>
      </c>
      <c r="Z75" s="6">
        <v>0</v>
      </c>
      <c r="AA75" s="6">
        <v>0</v>
      </c>
      <c r="AB75" s="6">
        <v>0</v>
      </c>
      <c r="AC75" s="6">
        <v>0</v>
      </c>
      <c r="AD75" s="6">
        <v>0</v>
      </c>
      <c r="AE75" s="6">
        <v>0</v>
      </c>
      <c r="AF75" s="6">
        <v>0</v>
      </c>
      <c r="AG75" s="6">
        <v>0</v>
      </c>
      <c r="AH75" s="6">
        <v>0</v>
      </c>
      <c r="AI75" s="6">
        <v>0</v>
      </c>
      <c r="AJ75" s="6">
        <v>0</v>
      </c>
      <c r="AK75" s="6">
        <v>0</v>
      </c>
      <c r="AL75" s="6">
        <v>0</v>
      </c>
      <c r="AM75" s="6">
        <v>0</v>
      </c>
      <c r="AN75" s="6">
        <v>0</v>
      </c>
      <c r="AO75" s="6">
        <v>0</v>
      </c>
      <c r="AP75" s="6">
        <v>0</v>
      </c>
    </row>
    <row r="76" spans="1:63" x14ac:dyDescent="0.2">
      <c r="B76" s="5">
        <v>2.8927278299446923E-2</v>
      </c>
      <c r="C76" s="5">
        <v>9.2193061354547377E-3</v>
      </c>
      <c r="D76" s="5">
        <v>0.16841014674097099</v>
      </c>
      <c r="E76" s="5">
        <v>3.1129569350715602E-3</v>
      </c>
      <c r="F76" s="5">
        <v>1.7633704296584744E-3</v>
      </c>
      <c r="G76" s="5">
        <v>2.5695491671434999E-2</v>
      </c>
      <c r="H76" s="5">
        <v>3.710314696339854E-3</v>
      </c>
      <c r="I76" s="5">
        <v>4.9742793687042125E-2</v>
      </c>
      <c r="J76" s="5">
        <v>4.5340973612587286E-2</v>
      </c>
      <c r="K76" s="5">
        <v>1.3498852738329539E-2</v>
      </c>
      <c r="L76" s="5">
        <v>2.5969188632935197E-3</v>
      </c>
      <c r="M76" s="5">
        <v>3.101563039100012E-2</v>
      </c>
      <c r="N76" s="5">
        <v>1.000792066404261E-4</v>
      </c>
      <c r="O76" s="5">
        <v>4.5051284688627999E-3</v>
      </c>
      <c r="P76" s="5">
        <v>2.9692212109574427E-3</v>
      </c>
      <c r="Q76" s="5">
        <v>3.4245774901285796E-2</v>
      </c>
      <c r="R76" s="5">
        <v>2.0223017657242281E-2</v>
      </c>
      <c r="S76" s="5">
        <v>1.5465850061803905E-2</v>
      </c>
      <c r="T76" s="5">
        <v>4.306363093320241E-2</v>
      </c>
      <c r="U76" s="5">
        <v>1.3821276249595772E-2</v>
      </c>
      <c r="W76" s="6">
        <v>0</v>
      </c>
      <c r="X76" s="6">
        <v>0</v>
      </c>
      <c r="Y76" s="6">
        <v>1</v>
      </c>
      <c r="Z76" s="6">
        <v>0</v>
      </c>
      <c r="AA76" s="6">
        <v>0</v>
      </c>
      <c r="AB76" s="6">
        <v>0</v>
      </c>
      <c r="AC76" s="6">
        <v>0</v>
      </c>
      <c r="AD76" s="6">
        <v>0</v>
      </c>
      <c r="AE76" s="6">
        <v>0</v>
      </c>
      <c r="AF76" s="6">
        <v>0</v>
      </c>
      <c r="AG76" s="6">
        <v>0</v>
      </c>
      <c r="AH76" s="6">
        <v>0</v>
      </c>
      <c r="AI76" s="6">
        <v>0</v>
      </c>
      <c r="AJ76" s="6">
        <v>0</v>
      </c>
      <c r="AK76" s="6">
        <v>0</v>
      </c>
      <c r="AL76" s="6">
        <v>0</v>
      </c>
      <c r="AM76" s="6">
        <v>0</v>
      </c>
      <c r="AN76" s="6">
        <v>0</v>
      </c>
      <c r="AO76" s="6">
        <v>0</v>
      </c>
      <c r="AP76" s="6">
        <v>0</v>
      </c>
    </row>
    <row r="77" spans="1:63" x14ac:dyDescent="0.2">
      <c r="B77" s="5">
        <v>4.5498738137780852E-4</v>
      </c>
      <c r="C77" s="5">
        <v>1.0065916336613606E-3</v>
      </c>
      <c r="D77" s="5">
        <v>4.57252744136515E-3</v>
      </c>
      <c r="E77" s="5">
        <v>0.33929694967001656</v>
      </c>
      <c r="F77" s="5">
        <v>6.6321188329039192E-4</v>
      </c>
      <c r="G77" s="5">
        <v>2.1816749424883376E-3</v>
      </c>
      <c r="H77" s="5">
        <v>9.0776552921689193E-4</v>
      </c>
      <c r="I77" s="5">
        <v>1.4575480748337727E-2</v>
      </c>
      <c r="J77" s="5">
        <v>3.1317856275236517E-3</v>
      </c>
      <c r="K77" s="5">
        <v>1.0235186826385515E-3</v>
      </c>
      <c r="L77" s="5">
        <v>8.4588829676512987E-4</v>
      </c>
      <c r="M77" s="5">
        <v>5.5087940769453177E-2</v>
      </c>
      <c r="N77" s="5">
        <v>0.1010447113402895</v>
      </c>
      <c r="O77" s="5">
        <v>6.6655129426660504E-3</v>
      </c>
      <c r="P77" s="5">
        <v>1.539428167886152E-3</v>
      </c>
      <c r="Q77" s="5">
        <v>4.6816267578632014E-3</v>
      </c>
      <c r="R77" s="5">
        <v>6.5589286922315138E-3</v>
      </c>
      <c r="S77" s="5">
        <v>2.8319095340163403E-3</v>
      </c>
      <c r="T77" s="5">
        <v>1.0080644203563251E-2</v>
      </c>
      <c r="U77" s="5">
        <v>1.5782936751718216E-3</v>
      </c>
      <c r="W77" s="6">
        <v>0</v>
      </c>
      <c r="X77" s="6">
        <v>0</v>
      </c>
      <c r="Y77" s="6">
        <v>0</v>
      </c>
      <c r="Z77" s="6">
        <v>1</v>
      </c>
      <c r="AA77" s="6">
        <v>0</v>
      </c>
      <c r="AB77" s="6">
        <v>0</v>
      </c>
      <c r="AC77" s="6">
        <v>0</v>
      </c>
      <c r="AD77" s="6">
        <v>0</v>
      </c>
      <c r="AE77" s="6">
        <v>0</v>
      </c>
      <c r="AF77" s="6">
        <v>0</v>
      </c>
      <c r="AG77" s="6">
        <v>0</v>
      </c>
      <c r="AH77" s="6">
        <v>0</v>
      </c>
      <c r="AI77" s="6">
        <v>0</v>
      </c>
      <c r="AJ77" s="6">
        <v>0</v>
      </c>
      <c r="AK77" s="6">
        <v>0</v>
      </c>
      <c r="AL77" s="6">
        <v>0</v>
      </c>
      <c r="AM77" s="6">
        <v>0</v>
      </c>
      <c r="AN77" s="6">
        <v>0</v>
      </c>
      <c r="AO77" s="6">
        <v>0</v>
      </c>
      <c r="AP77" s="6">
        <v>0</v>
      </c>
    </row>
    <row r="78" spans="1:63" x14ac:dyDescent="0.2">
      <c r="B78" s="5">
        <v>7.8418746342648088E-2</v>
      </c>
      <c r="C78" s="5">
        <v>3.3204436065870049E-2</v>
      </c>
      <c r="D78" s="5">
        <v>8.8252756947952947E-3</v>
      </c>
      <c r="E78" s="5">
        <v>3.368137454026867E-2</v>
      </c>
      <c r="F78" s="5">
        <v>2.0633199981703737E-2</v>
      </c>
      <c r="G78" s="5">
        <v>2.5881766118207455E-2</v>
      </c>
      <c r="H78" s="5">
        <v>1.844738312288759E-2</v>
      </c>
      <c r="I78" s="5">
        <v>3.3670942193027818E-2</v>
      </c>
      <c r="J78" s="5">
        <v>6.224951948855334E-2</v>
      </c>
      <c r="K78" s="5">
        <v>3.9847835744347831E-2</v>
      </c>
      <c r="L78" s="5">
        <v>7.3968996412273648E-3</v>
      </c>
      <c r="M78" s="5">
        <v>1.189491379371996E-2</v>
      </c>
      <c r="N78" s="5">
        <v>1.8756536568412714E-3</v>
      </c>
      <c r="O78" s="5">
        <v>1.8799217853986156E-2</v>
      </c>
      <c r="P78" s="5">
        <v>1.9712024189795469E-2</v>
      </c>
      <c r="Q78" s="5">
        <v>2.7069007086296438E-2</v>
      </c>
      <c r="R78" s="5">
        <v>1.4386729487432954E-2</v>
      </c>
      <c r="S78" s="5">
        <v>2.3650205768589398E-2</v>
      </c>
      <c r="T78" s="5">
        <v>1.3269758365153664E-2</v>
      </c>
      <c r="U78" s="5">
        <v>2.851596778891817E-2</v>
      </c>
      <c r="W78" s="6">
        <v>0</v>
      </c>
      <c r="X78" s="6">
        <v>0</v>
      </c>
      <c r="Y78" s="6">
        <v>0</v>
      </c>
      <c r="Z78" s="6">
        <v>0</v>
      </c>
      <c r="AA78" s="6">
        <v>1</v>
      </c>
      <c r="AB78" s="6">
        <v>0</v>
      </c>
      <c r="AC78" s="6">
        <v>0</v>
      </c>
      <c r="AD78" s="6">
        <v>0</v>
      </c>
      <c r="AE78" s="6">
        <v>0</v>
      </c>
      <c r="AF78" s="6">
        <v>0</v>
      </c>
      <c r="AG78" s="6">
        <v>0</v>
      </c>
      <c r="AH78" s="6">
        <v>0</v>
      </c>
      <c r="AI78" s="6">
        <v>0</v>
      </c>
      <c r="AJ78" s="6">
        <v>0</v>
      </c>
      <c r="AK78" s="6">
        <v>0</v>
      </c>
      <c r="AL78" s="6">
        <v>0</v>
      </c>
      <c r="AM78" s="6">
        <v>0</v>
      </c>
      <c r="AN78" s="6">
        <v>0</v>
      </c>
      <c r="AO78" s="6">
        <v>0</v>
      </c>
      <c r="AP78" s="6">
        <v>0</v>
      </c>
    </row>
    <row r="79" spans="1:63" x14ac:dyDescent="0.2">
      <c r="B79" s="5">
        <v>1.9447476046450762E-4</v>
      </c>
      <c r="C79" s="5">
        <v>1.2944816308899576E-4</v>
      </c>
      <c r="D79" s="5">
        <v>1.4474118887070425E-4</v>
      </c>
      <c r="E79" s="5">
        <v>3.4082201435935685E-3</v>
      </c>
      <c r="F79" s="5">
        <v>1.5588593386438865E-3</v>
      </c>
      <c r="G79" s="5">
        <v>1.3163181915918795E-2</v>
      </c>
      <c r="H79" s="5">
        <v>7.8407149489195739E-4</v>
      </c>
      <c r="I79" s="5">
        <v>2.8797457980845125E-3</v>
      </c>
      <c r="J79" s="5">
        <v>1.3248388235112764E-2</v>
      </c>
      <c r="K79" s="5">
        <v>1.6268968890607719E-3</v>
      </c>
      <c r="L79" s="5">
        <v>4.5041198780285325E-4</v>
      </c>
      <c r="M79" s="5">
        <v>1.008791569033292E-3</v>
      </c>
      <c r="N79" s="5">
        <v>1.4694044145578572E-4</v>
      </c>
      <c r="O79" s="5">
        <v>1.5785507874140619E-3</v>
      </c>
      <c r="P79" s="5">
        <v>1.3976377300106634E-3</v>
      </c>
      <c r="Q79" s="5">
        <v>2.0997657260168412E-3</v>
      </c>
      <c r="R79" s="5">
        <v>1.4552084654585842E-3</v>
      </c>
      <c r="S79" s="5">
        <v>2.3760819203925867E-3</v>
      </c>
      <c r="T79" s="5">
        <v>1.6181812643632921E-3</v>
      </c>
      <c r="U79" s="5">
        <v>3.3059692017263602E-3</v>
      </c>
      <c r="W79" s="6">
        <v>0</v>
      </c>
      <c r="X79" s="6">
        <v>0</v>
      </c>
      <c r="Y79" s="6">
        <v>0</v>
      </c>
      <c r="Z79" s="6">
        <v>0</v>
      </c>
      <c r="AA79" s="6">
        <v>0</v>
      </c>
      <c r="AB79" s="6">
        <v>1</v>
      </c>
      <c r="AC79" s="6">
        <v>0</v>
      </c>
      <c r="AD79" s="6">
        <v>0</v>
      </c>
      <c r="AE79" s="6">
        <v>0</v>
      </c>
      <c r="AF79" s="6">
        <v>0</v>
      </c>
      <c r="AG79" s="6">
        <v>0</v>
      </c>
      <c r="AH79" s="6">
        <v>0</v>
      </c>
      <c r="AI79" s="6">
        <v>0</v>
      </c>
      <c r="AJ79" s="6">
        <v>0</v>
      </c>
      <c r="AK79" s="6">
        <v>0</v>
      </c>
      <c r="AL79" s="6">
        <v>0</v>
      </c>
      <c r="AM79" s="6">
        <v>0</v>
      </c>
      <c r="AN79" s="6">
        <v>0</v>
      </c>
      <c r="AO79" s="6">
        <v>0</v>
      </c>
      <c r="AP79" s="6">
        <v>0</v>
      </c>
    </row>
    <row r="80" spans="1:63" x14ac:dyDescent="0.2">
      <c r="B80" s="5">
        <v>3.8498724930208761E-3</v>
      </c>
      <c r="C80" s="5">
        <v>7.5138715441623967E-3</v>
      </c>
      <c r="D80" s="5">
        <v>5.8496087701366724E-3</v>
      </c>
      <c r="E80" s="5">
        <v>4.540960428273004E-3</v>
      </c>
      <c r="F80" s="5">
        <v>8.1882929609938315E-2</v>
      </c>
      <c r="G80" s="5">
        <v>5.1063284140353944E-2</v>
      </c>
      <c r="H80" s="5">
        <v>0.27071325167499649</v>
      </c>
      <c r="I80" s="5">
        <v>5.7815492365769581E-3</v>
      </c>
      <c r="J80" s="5">
        <v>1.1374525427868537E-2</v>
      </c>
      <c r="K80" s="5">
        <v>1.0732496251965347E-2</v>
      </c>
      <c r="L80" s="5">
        <v>6.6734186016539805E-3</v>
      </c>
      <c r="M80" s="5">
        <v>1.3036568227192208E-2</v>
      </c>
      <c r="N80" s="5">
        <v>1.9949768441811407E-3</v>
      </c>
      <c r="O80" s="5">
        <v>6.6669282870372854E-3</v>
      </c>
      <c r="P80" s="5">
        <v>1.7074133733450691E-2</v>
      </c>
      <c r="Q80" s="5">
        <v>5.6550154936910915E-2</v>
      </c>
      <c r="R80" s="5">
        <v>6.2229012369169343E-3</v>
      </c>
      <c r="S80" s="5">
        <v>6.2443486236673108E-3</v>
      </c>
      <c r="T80" s="5">
        <v>7.9164187276353042E-3</v>
      </c>
      <c r="U80" s="5">
        <v>7.6355033216052763E-3</v>
      </c>
      <c r="W80" s="6">
        <v>0</v>
      </c>
      <c r="X80" s="6">
        <v>0</v>
      </c>
      <c r="Y80" s="6">
        <v>0</v>
      </c>
      <c r="Z80" s="6">
        <v>0</v>
      </c>
      <c r="AA80" s="6">
        <v>0</v>
      </c>
      <c r="AB80" s="6">
        <v>0</v>
      </c>
      <c r="AC80" s="6">
        <v>1</v>
      </c>
      <c r="AD80" s="6">
        <v>0</v>
      </c>
      <c r="AE80" s="6">
        <v>0</v>
      </c>
      <c r="AF80" s="6">
        <v>0</v>
      </c>
      <c r="AG80" s="6">
        <v>0</v>
      </c>
      <c r="AH80" s="6">
        <v>0</v>
      </c>
      <c r="AI80" s="6">
        <v>0</v>
      </c>
      <c r="AJ80" s="6">
        <v>0</v>
      </c>
      <c r="AK80" s="6">
        <v>0</v>
      </c>
      <c r="AL80" s="6">
        <v>0</v>
      </c>
      <c r="AM80" s="6">
        <v>0</v>
      </c>
      <c r="AN80" s="6">
        <v>0</v>
      </c>
      <c r="AO80" s="6">
        <v>0</v>
      </c>
      <c r="AP80" s="6">
        <v>0</v>
      </c>
    </row>
    <row r="81" spans="2:42" x14ac:dyDescent="0.2">
      <c r="B81" s="5">
        <v>4.824806947075102E-5</v>
      </c>
      <c r="C81" s="5">
        <v>1.0843635910290468E-4</v>
      </c>
      <c r="D81" s="5">
        <v>4.4645285687549397E-4</v>
      </c>
      <c r="E81" s="5">
        <v>6.5358468298584672E-4</v>
      </c>
      <c r="F81" s="5">
        <v>8.0697063927083262E-4</v>
      </c>
      <c r="G81" s="5">
        <v>2.5605577982385397E-3</v>
      </c>
      <c r="H81" s="5">
        <v>9.883322016245445E-4</v>
      </c>
      <c r="I81" s="5">
        <v>1.2978060923233398E-3</v>
      </c>
      <c r="J81" s="5">
        <v>2.781196384323838E-3</v>
      </c>
      <c r="K81" s="5">
        <v>4.7264825064899108E-4</v>
      </c>
      <c r="L81" s="5">
        <v>1.2021929398519922E-3</v>
      </c>
      <c r="M81" s="5">
        <v>5.3569462927995656E-4</v>
      </c>
      <c r="N81" s="5">
        <v>1.1347563587575871E-5</v>
      </c>
      <c r="O81" s="5">
        <v>1.2030966578935223E-3</v>
      </c>
      <c r="P81" s="5">
        <v>1.4712329628872299E-3</v>
      </c>
      <c r="Q81" s="5">
        <v>2.2183514692039369E-3</v>
      </c>
      <c r="R81" s="5">
        <v>8.623175520102559E-4</v>
      </c>
      <c r="S81" s="5">
        <v>4.581616166035466E-4</v>
      </c>
      <c r="T81" s="5">
        <v>2.0760779582300569E-3</v>
      </c>
      <c r="U81" s="5">
        <v>1.7817349050333129E-3</v>
      </c>
      <c r="W81" s="6">
        <v>0</v>
      </c>
      <c r="X81" s="6">
        <v>0</v>
      </c>
      <c r="Y81" s="6">
        <v>0</v>
      </c>
      <c r="Z81" s="6">
        <v>0</v>
      </c>
      <c r="AA81" s="6">
        <v>0</v>
      </c>
      <c r="AB81" s="6">
        <v>0</v>
      </c>
      <c r="AC81" s="6">
        <v>0</v>
      </c>
      <c r="AD81" s="6">
        <v>1</v>
      </c>
      <c r="AE81" s="6">
        <v>0</v>
      </c>
      <c r="AF81" s="6">
        <v>0</v>
      </c>
      <c r="AG81" s="6">
        <v>0</v>
      </c>
      <c r="AH81" s="6">
        <v>0</v>
      </c>
      <c r="AI81" s="6">
        <v>0</v>
      </c>
      <c r="AJ81" s="6">
        <v>0</v>
      </c>
      <c r="AK81" s="6">
        <v>0</v>
      </c>
      <c r="AL81" s="6">
        <v>0</v>
      </c>
      <c r="AM81" s="6">
        <v>0</v>
      </c>
      <c r="AN81" s="6">
        <v>0</v>
      </c>
      <c r="AO81" s="6">
        <v>0</v>
      </c>
      <c r="AP81" s="6">
        <v>0</v>
      </c>
    </row>
    <row r="82" spans="2:42" x14ac:dyDescent="0.2">
      <c r="B82" s="5">
        <v>3.6334300361213622E-4</v>
      </c>
      <c r="C82" s="5">
        <v>2.2146822419413995E-4</v>
      </c>
      <c r="D82" s="5">
        <v>1.0498510642064501E-3</v>
      </c>
      <c r="E82" s="5">
        <v>8.7253789405075221E-4</v>
      </c>
      <c r="F82" s="5">
        <v>2.88327315266294E-3</v>
      </c>
      <c r="G82" s="5">
        <v>5.3829034930372851E-3</v>
      </c>
      <c r="H82" s="5">
        <v>2.1394657433757452E-3</v>
      </c>
      <c r="I82" s="5">
        <v>2.3342551499657212E-3</v>
      </c>
      <c r="J82" s="5">
        <v>8.0051266798116978E-3</v>
      </c>
      <c r="K82" s="5">
        <v>1.330746559833019E-3</v>
      </c>
      <c r="L82" s="5">
        <v>4.1291036090703838E-3</v>
      </c>
      <c r="M82" s="5">
        <v>2.1630163660588848E-3</v>
      </c>
      <c r="N82" s="5">
        <v>5.2458234661795724E-5</v>
      </c>
      <c r="O82" s="5">
        <v>2.5622343905448474E-3</v>
      </c>
      <c r="P82" s="5">
        <v>3.9930095845002152E-3</v>
      </c>
      <c r="Q82" s="5">
        <v>2.3678746463727585E-3</v>
      </c>
      <c r="R82" s="5">
        <v>1.9178025533626787E-3</v>
      </c>
      <c r="S82" s="5">
        <v>1.369524653432769E-3</v>
      </c>
      <c r="T82" s="5">
        <v>7.6668528060773958E-3</v>
      </c>
      <c r="U82" s="5">
        <v>2.5247462169582595E-3</v>
      </c>
      <c r="W82" s="6">
        <v>0</v>
      </c>
      <c r="X82" s="6">
        <v>0</v>
      </c>
      <c r="Y82" s="6">
        <v>0</v>
      </c>
      <c r="Z82" s="6">
        <v>0</v>
      </c>
      <c r="AA82" s="6">
        <v>0</v>
      </c>
      <c r="AB82" s="6">
        <v>0</v>
      </c>
      <c r="AC82" s="6">
        <v>0</v>
      </c>
      <c r="AD82" s="6">
        <v>0</v>
      </c>
      <c r="AE82" s="6">
        <v>1</v>
      </c>
      <c r="AF82" s="6">
        <v>0</v>
      </c>
      <c r="AG82" s="6">
        <v>0</v>
      </c>
      <c r="AH82" s="6">
        <v>0</v>
      </c>
      <c r="AI82" s="6">
        <v>0</v>
      </c>
      <c r="AJ82" s="6">
        <v>0</v>
      </c>
      <c r="AK82" s="6">
        <v>0</v>
      </c>
      <c r="AL82" s="6">
        <v>0</v>
      </c>
      <c r="AM82" s="6">
        <v>0</v>
      </c>
      <c r="AN82" s="6">
        <v>0</v>
      </c>
      <c r="AO82" s="6">
        <v>0</v>
      </c>
      <c r="AP82" s="6">
        <v>0</v>
      </c>
    </row>
    <row r="83" spans="2:42" x14ac:dyDescent="0.2">
      <c r="B83" s="5">
        <v>2.7830241189134319E-3</v>
      </c>
      <c r="C83" s="5">
        <v>4.2423739893395927E-3</v>
      </c>
      <c r="D83" s="5">
        <v>9.3043748933156704E-3</v>
      </c>
      <c r="E83" s="5">
        <v>4.5554599608343535E-3</v>
      </c>
      <c r="F83" s="5">
        <v>2.0381249327093464E-2</v>
      </c>
      <c r="G83" s="5">
        <v>2.4789086202130071E-2</v>
      </c>
      <c r="H83" s="5">
        <v>6.1001162371582063E-3</v>
      </c>
      <c r="I83" s="5">
        <v>2.080806437123113E-2</v>
      </c>
      <c r="J83" s="5">
        <v>1.088637566906466E-2</v>
      </c>
      <c r="K83" s="5">
        <v>0.21847930680838923</v>
      </c>
      <c r="L83" s="5">
        <v>3.7399705017962526E-2</v>
      </c>
      <c r="M83" s="5">
        <v>2.887235131825585E-2</v>
      </c>
      <c r="N83" s="5">
        <v>4.554919298132178E-3</v>
      </c>
      <c r="O83" s="5">
        <v>4.713074023364703E-2</v>
      </c>
      <c r="P83" s="5">
        <v>2.5223361465603566E-2</v>
      </c>
      <c r="Q83" s="5">
        <v>6.9289403598128879E-2</v>
      </c>
      <c r="R83" s="5">
        <v>2.6750814286757577E-2</v>
      </c>
      <c r="S83" s="5">
        <v>2.8812555671515645E-2</v>
      </c>
      <c r="T83" s="5">
        <v>3.5250282699447286E-2</v>
      </c>
      <c r="U83" s="5">
        <v>2.2249844040366451E-2</v>
      </c>
      <c r="W83" s="6">
        <v>0</v>
      </c>
      <c r="X83" s="6">
        <v>0</v>
      </c>
      <c r="Y83" s="6">
        <v>0</v>
      </c>
      <c r="Z83" s="6">
        <v>0</v>
      </c>
      <c r="AA83" s="6">
        <v>0</v>
      </c>
      <c r="AB83" s="6">
        <v>0</v>
      </c>
      <c r="AC83" s="6">
        <v>0</v>
      </c>
      <c r="AD83" s="6">
        <v>0</v>
      </c>
      <c r="AE83" s="6">
        <v>0</v>
      </c>
      <c r="AF83" s="6">
        <v>1</v>
      </c>
      <c r="AG83" s="6">
        <v>0</v>
      </c>
      <c r="AH83" s="6">
        <v>0</v>
      </c>
      <c r="AI83" s="6">
        <v>0</v>
      </c>
      <c r="AJ83" s="6">
        <v>0</v>
      </c>
      <c r="AK83" s="6">
        <v>0</v>
      </c>
      <c r="AL83" s="6">
        <v>0</v>
      </c>
      <c r="AM83" s="6">
        <v>0</v>
      </c>
      <c r="AN83" s="6">
        <v>0</v>
      </c>
      <c r="AO83" s="6">
        <v>0</v>
      </c>
      <c r="AP83" s="6">
        <v>0</v>
      </c>
    </row>
    <row r="84" spans="2:42" x14ac:dyDescent="0.2">
      <c r="B84" s="5">
        <v>5.5529754368808786E-3</v>
      </c>
      <c r="C84" s="5">
        <v>6.4283902861288376E-3</v>
      </c>
      <c r="D84" s="5">
        <v>1.5620799126238989E-2</v>
      </c>
      <c r="E84" s="5">
        <v>9.5278542829248785E-3</v>
      </c>
      <c r="F84" s="5">
        <v>2.6038790513058463E-2</v>
      </c>
      <c r="G84" s="5">
        <v>4.7192191462819048E-2</v>
      </c>
      <c r="H84" s="5">
        <v>6.5724194174035461E-3</v>
      </c>
      <c r="I84" s="5">
        <v>3.1755629245206661E-2</v>
      </c>
      <c r="J84" s="5">
        <v>1.9544221019809911E-2</v>
      </c>
      <c r="K84" s="5">
        <v>1.729325779018584E-2</v>
      </c>
      <c r="L84" s="5">
        <v>0.15876337936569102</v>
      </c>
      <c r="M84" s="5">
        <v>0.13731344054433919</v>
      </c>
      <c r="N84" s="5">
        <v>2.7517946769904707E-2</v>
      </c>
      <c r="O84" s="5">
        <v>2.072806123591454E-2</v>
      </c>
      <c r="P84" s="5">
        <v>2.5175608277901263E-2</v>
      </c>
      <c r="Q84" s="5">
        <v>0.13858952850796569</v>
      </c>
      <c r="R84" s="5">
        <v>1.1348797415204288E-2</v>
      </c>
      <c r="S84" s="5">
        <v>1.4929402535298944E-2</v>
      </c>
      <c r="T84" s="5">
        <v>2.2247863427795347E-2</v>
      </c>
      <c r="U84" s="5">
        <v>1.6826798545038879E-2</v>
      </c>
      <c r="W84" s="6">
        <v>0</v>
      </c>
      <c r="X84" s="6">
        <v>0</v>
      </c>
      <c r="Y84" s="6">
        <v>0</v>
      </c>
      <c r="Z84" s="6">
        <v>0</v>
      </c>
      <c r="AA84" s="6">
        <v>0</v>
      </c>
      <c r="AB84" s="6">
        <v>0</v>
      </c>
      <c r="AC84" s="6">
        <v>0</v>
      </c>
      <c r="AD84" s="6">
        <v>0</v>
      </c>
      <c r="AE84" s="6">
        <v>0</v>
      </c>
      <c r="AF84" s="6">
        <v>0</v>
      </c>
      <c r="AG84" s="6">
        <v>1</v>
      </c>
      <c r="AH84" s="6">
        <v>0</v>
      </c>
      <c r="AI84" s="6">
        <v>0</v>
      </c>
      <c r="AJ84" s="6">
        <v>0</v>
      </c>
      <c r="AK84" s="6">
        <v>0</v>
      </c>
      <c r="AL84" s="6">
        <v>0</v>
      </c>
      <c r="AM84" s="6">
        <v>0</v>
      </c>
      <c r="AN84" s="6">
        <v>0</v>
      </c>
      <c r="AO84" s="6">
        <v>0</v>
      </c>
      <c r="AP84" s="6">
        <v>0</v>
      </c>
    </row>
    <row r="85" spans="2:42" x14ac:dyDescent="0.2">
      <c r="B85" s="5">
        <v>3.8517592890336988E-4</v>
      </c>
      <c r="C85" s="5">
        <v>2.8419181398194079E-3</v>
      </c>
      <c r="D85" s="5">
        <v>7.4153013491239945E-3</v>
      </c>
      <c r="E85" s="5">
        <v>5.2904808949547598E-3</v>
      </c>
      <c r="F85" s="5">
        <v>1.4132153977804131E-2</v>
      </c>
      <c r="G85" s="5">
        <v>0.15825208121854006</v>
      </c>
      <c r="H85" s="5">
        <v>3.6123049785816786E-3</v>
      </c>
      <c r="I85" s="5">
        <v>5.3415390814962965E-2</v>
      </c>
      <c r="J85" s="5">
        <v>0.10492769477508591</v>
      </c>
      <c r="K85" s="5">
        <v>1.5912899296439232E-2</v>
      </c>
      <c r="L85" s="5">
        <v>1.624083737960727E-2</v>
      </c>
      <c r="M85" s="5">
        <v>4.2622755504087825E-2</v>
      </c>
      <c r="N85" s="5">
        <v>4.6651498864435406E-4</v>
      </c>
      <c r="O85" s="5">
        <v>2.4030455231196603E-2</v>
      </c>
      <c r="P85" s="5">
        <v>1.9876450406292868E-2</v>
      </c>
      <c r="Q85" s="5">
        <v>1.5791551123386441E-2</v>
      </c>
      <c r="R85" s="5">
        <v>2.1860358037873815E-2</v>
      </c>
      <c r="S85" s="5">
        <v>2.819241143182127E-2</v>
      </c>
      <c r="T85" s="5">
        <v>3.480750594651056E-2</v>
      </c>
      <c r="U85" s="5">
        <v>6.1622838721157869E-2</v>
      </c>
      <c r="W85" s="6">
        <v>0</v>
      </c>
      <c r="X85" s="6">
        <v>0</v>
      </c>
      <c r="Y85" s="6">
        <v>0</v>
      </c>
      <c r="Z85" s="6">
        <v>0</v>
      </c>
      <c r="AA85" s="6">
        <v>0</v>
      </c>
      <c r="AB85" s="6">
        <v>0</v>
      </c>
      <c r="AC85" s="6">
        <v>0</v>
      </c>
      <c r="AD85" s="6">
        <v>0</v>
      </c>
      <c r="AE85" s="6">
        <v>0</v>
      </c>
      <c r="AF85" s="6">
        <v>0</v>
      </c>
      <c r="AG85" s="6">
        <v>0</v>
      </c>
      <c r="AH85" s="6">
        <v>1</v>
      </c>
      <c r="AI85" s="6">
        <v>0</v>
      </c>
      <c r="AJ85" s="6">
        <v>0</v>
      </c>
      <c r="AK85" s="6">
        <v>0</v>
      </c>
      <c r="AL85" s="6">
        <v>0</v>
      </c>
      <c r="AM85" s="6">
        <v>0</v>
      </c>
      <c r="AN85" s="6">
        <v>0</v>
      </c>
      <c r="AO85" s="6">
        <v>0</v>
      </c>
      <c r="AP85" s="6">
        <v>0</v>
      </c>
    </row>
    <row r="86" spans="2:42" x14ac:dyDescent="0.2">
      <c r="B86" s="5">
        <v>0</v>
      </c>
      <c r="C86" s="5">
        <v>0</v>
      </c>
      <c r="D86" s="5">
        <v>0</v>
      </c>
      <c r="E86" s="5">
        <v>0</v>
      </c>
      <c r="F86" s="5">
        <v>0</v>
      </c>
      <c r="G86" s="5">
        <v>0</v>
      </c>
      <c r="H86" s="5">
        <v>0</v>
      </c>
      <c r="I86" s="5">
        <v>0</v>
      </c>
      <c r="J86" s="5">
        <v>0</v>
      </c>
      <c r="K86" s="5">
        <v>0</v>
      </c>
      <c r="L86" s="5">
        <v>0</v>
      </c>
      <c r="M86" s="5">
        <v>0</v>
      </c>
      <c r="N86" s="5">
        <v>0</v>
      </c>
      <c r="O86" s="5">
        <v>0</v>
      </c>
      <c r="P86" s="5">
        <v>0</v>
      </c>
      <c r="Q86" s="5">
        <v>0</v>
      </c>
      <c r="R86" s="5">
        <v>0</v>
      </c>
      <c r="S86" s="5">
        <v>0</v>
      </c>
      <c r="T86" s="5">
        <v>0</v>
      </c>
      <c r="U86" s="5">
        <v>0</v>
      </c>
      <c r="W86" s="6">
        <v>0</v>
      </c>
      <c r="X86" s="6">
        <v>0</v>
      </c>
      <c r="Y86" s="6">
        <v>0</v>
      </c>
      <c r="Z86" s="6">
        <v>0</v>
      </c>
      <c r="AA86" s="6">
        <v>0</v>
      </c>
      <c r="AB86" s="6">
        <v>0</v>
      </c>
      <c r="AC86" s="6">
        <v>0</v>
      </c>
      <c r="AD86" s="6">
        <v>0</v>
      </c>
      <c r="AE86" s="6">
        <v>0</v>
      </c>
      <c r="AF86" s="6">
        <v>0</v>
      </c>
      <c r="AG86" s="6">
        <v>0</v>
      </c>
      <c r="AH86" s="6">
        <v>0</v>
      </c>
      <c r="AI86" s="6">
        <v>1</v>
      </c>
      <c r="AJ86" s="6">
        <v>0</v>
      </c>
      <c r="AK86" s="6">
        <v>0</v>
      </c>
      <c r="AL86" s="6">
        <v>0</v>
      </c>
      <c r="AM86" s="6">
        <v>0</v>
      </c>
      <c r="AN86" s="6">
        <v>0</v>
      </c>
      <c r="AO86" s="6">
        <v>0</v>
      </c>
      <c r="AP86" s="6">
        <v>0</v>
      </c>
    </row>
    <row r="87" spans="2:42" x14ac:dyDescent="0.2">
      <c r="B87" s="5">
        <v>6.909446998956602E-3</v>
      </c>
      <c r="C87" s="5">
        <v>8.1945716631948769E-3</v>
      </c>
      <c r="D87" s="5">
        <v>8.2604751378298601E-3</v>
      </c>
      <c r="E87" s="5">
        <v>2.283001271623214E-2</v>
      </c>
      <c r="F87" s="5">
        <v>2.806958810548121E-2</v>
      </c>
      <c r="G87" s="5">
        <v>3.18843680432081E-2</v>
      </c>
      <c r="H87" s="5">
        <v>6.3450213667200737E-3</v>
      </c>
      <c r="I87" s="5">
        <v>4.7226448279506339E-2</v>
      </c>
      <c r="J87" s="5">
        <v>1.6640521300945035E-2</v>
      </c>
      <c r="K87" s="5">
        <v>4.0106761111167767E-2</v>
      </c>
      <c r="L87" s="5">
        <v>2.5552238121271581E-2</v>
      </c>
      <c r="M87" s="5">
        <v>6.7138804593182597E-2</v>
      </c>
      <c r="N87" s="5">
        <v>1.5768849968074875E-2</v>
      </c>
      <c r="O87" s="5">
        <v>5.5969228050180946E-2</v>
      </c>
      <c r="P87" s="5">
        <v>3.2076317799872994E-2</v>
      </c>
      <c r="Q87" s="5">
        <v>3.2959236528245735E-2</v>
      </c>
      <c r="R87" s="5">
        <v>2.0962115718018478E-2</v>
      </c>
      <c r="S87" s="5">
        <v>1.6519914674483646E-2</v>
      </c>
      <c r="T87" s="5">
        <v>3.4312568293905603E-2</v>
      </c>
      <c r="U87" s="5">
        <v>2.7008880512856954E-2</v>
      </c>
      <c r="W87" s="6">
        <v>0</v>
      </c>
      <c r="X87" s="6">
        <v>0</v>
      </c>
      <c r="Y87" s="6">
        <v>0</v>
      </c>
      <c r="Z87" s="6">
        <v>0</v>
      </c>
      <c r="AA87" s="6">
        <v>0</v>
      </c>
      <c r="AB87" s="6">
        <v>0</v>
      </c>
      <c r="AC87" s="6">
        <v>0</v>
      </c>
      <c r="AD87" s="6">
        <v>0</v>
      </c>
      <c r="AE87" s="6">
        <v>0</v>
      </c>
      <c r="AF87" s="6">
        <v>0</v>
      </c>
      <c r="AG87" s="6">
        <v>0</v>
      </c>
      <c r="AH87" s="6">
        <v>0</v>
      </c>
      <c r="AI87" s="6">
        <v>0</v>
      </c>
      <c r="AJ87" s="6">
        <v>1</v>
      </c>
      <c r="AK87" s="6">
        <v>0</v>
      </c>
      <c r="AL87" s="6">
        <v>0</v>
      </c>
      <c r="AM87" s="6">
        <v>0</v>
      </c>
      <c r="AN87" s="6">
        <v>0</v>
      </c>
      <c r="AO87" s="6">
        <v>0</v>
      </c>
      <c r="AP87" s="6">
        <v>0</v>
      </c>
    </row>
    <row r="88" spans="2:42" x14ac:dyDescent="0.2">
      <c r="B88" s="5">
        <v>2.962269740131585E-4</v>
      </c>
      <c r="C88" s="5">
        <v>4.1951250206113781E-3</v>
      </c>
      <c r="D88" s="5">
        <v>1.053337668365445E-2</v>
      </c>
      <c r="E88" s="5">
        <v>7.7444103711134466E-3</v>
      </c>
      <c r="F88" s="5">
        <v>1.1880057190909203E-2</v>
      </c>
      <c r="G88" s="5">
        <v>1.6938026942198786E-2</v>
      </c>
      <c r="H88" s="5">
        <v>8.7790753853941896E-3</v>
      </c>
      <c r="I88" s="5">
        <v>1.4853296882241247E-2</v>
      </c>
      <c r="J88" s="5">
        <v>9.8640741000746573E-3</v>
      </c>
      <c r="K88" s="5">
        <v>1.5958932212335113E-2</v>
      </c>
      <c r="L88" s="5">
        <v>7.636341627249175E-3</v>
      </c>
      <c r="M88" s="5">
        <v>4.6006958174963308E-2</v>
      </c>
      <c r="N88" s="5">
        <v>1.2732604847769686E-2</v>
      </c>
      <c r="O88" s="5">
        <v>1.0264918623895603E-2</v>
      </c>
      <c r="P88" s="5">
        <v>5.946753236878291E-2</v>
      </c>
      <c r="Q88" s="5">
        <v>2.0159504443463497E-2</v>
      </c>
      <c r="R88" s="5">
        <v>1.212849438536418E-2</v>
      </c>
      <c r="S88" s="5">
        <v>2.1663314444619202E-2</v>
      </c>
      <c r="T88" s="5">
        <v>2.1334711684913965E-2</v>
      </c>
      <c r="U88" s="5">
        <v>1.2022414010521478E-2</v>
      </c>
      <c r="W88" s="6">
        <v>0</v>
      </c>
      <c r="X88" s="6">
        <v>0</v>
      </c>
      <c r="Y88" s="6">
        <v>0</v>
      </c>
      <c r="Z88" s="6">
        <v>0</v>
      </c>
      <c r="AA88" s="6">
        <v>0</v>
      </c>
      <c r="AB88" s="6">
        <v>0</v>
      </c>
      <c r="AC88" s="6">
        <v>0</v>
      </c>
      <c r="AD88" s="6">
        <v>0</v>
      </c>
      <c r="AE88" s="6">
        <v>0</v>
      </c>
      <c r="AF88" s="6">
        <v>0</v>
      </c>
      <c r="AG88" s="6">
        <v>0</v>
      </c>
      <c r="AH88" s="6">
        <v>0</v>
      </c>
      <c r="AI88" s="6">
        <v>0</v>
      </c>
      <c r="AJ88" s="6">
        <v>0</v>
      </c>
      <c r="AK88" s="6">
        <v>1</v>
      </c>
      <c r="AL88" s="6">
        <v>0</v>
      </c>
      <c r="AM88" s="6">
        <v>0</v>
      </c>
      <c r="AN88" s="6">
        <v>0</v>
      </c>
      <c r="AO88" s="6">
        <v>0</v>
      </c>
      <c r="AP88" s="6">
        <v>0</v>
      </c>
    </row>
    <row r="89" spans="2:42" x14ac:dyDescent="0.2">
      <c r="B89" s="5">
        <v>3.132081381285625E-4</v>
      </c>
      <c r="C89" s="5">
        <v>2.6299164103834059E-4</v>
      </c>
      <c r="D89" s="5">
        <v>2.3097276243471618E-3</v>
      </c>
      <c r="E89" s="5">
        <v>1.8329465848784053E-3</v>
      </c>
      <c r="F89" s="5">
        <v>2.3317174250310027E-3</v>
      </c>
      <c r="G89" s="5">
        <v>9.1291147240095041E-3</v>
      </c>
      <c r="H89" s="5">
        <v>1.1764192886518012E-3</v>
      </c>
      <c r="I89" s="5">
        <v>4.1960301356316967E-3</v>
      </c>
      <c r="J89" s="5">
        <v>4.7386704351122227E-3</v>
      </c>
      <c r="K89" s="5">
        <v>3.4984030728706407E-3</v>
      </c>
      <c r="L89" s="5">
        <v>2.231950524695693E-3</v>
      </c>
      <c r="M89" s="5">
        <v>1.026359787975316E-2</v>
      </c>
      <c r="N89" s="5">
        <v>1.7868371495308218E-4</v>
      </c>
      <c r="O89" s="5">
        <v>3.9607063670377505E-3</v>
      </c>
      <c r="P89" s="5">
        <v>1.6616765931112942E-3</v>
      </c>
      <c r="Q89" s="5">
        <v>1.8581141270224383E-2</v>
      </c>
      <c r="R89" s="5">
        <v>1.5313445309500105E-3</v>
      </c>
      <c r="S89" s="5">
        <v>1.9126503151604577E-3</v>
      </c>
      <c r="T89" s="5">
        <v>1.0018113689234189E-2</v>
      </c>
      <c r="U89" s="5">
        <v>3.3060774779760447E-3</v>
      </c>
      <c r="W89" s="6">
        <v>0</v>
      </c>
      <c r="X89" s="6">
        <v>0</v>
      </c>
      <c r="Y89" s="6">
        <v>0</v>
      </c>
      <c r="Z89" s="6">
        <v>0</v>
      </c>
      <c r="AA89" s="6">
        <v>0</v>
      </c>
      <c r="AB89" s="6">
        <v>0</v>
      </c>
      <c r="AC89" s="6">
        <v>0</v>
      </c>
      <c r="AD89" s="6">
        <v>0</v>
      </c>
      <c r="AE89" s="6">
        <v>0</v>
      </c>
      <c r="AF89" s="6">
        <v>0</v>
      </c>
      <c r="AG89" s="6">
        <v>0</v>
      </c>
      <c r="AH89" s="6">
        <v>0</v>
      </c>
      <c r="AI89" s="6">
        <v>0</v>
      </c>
      <c r="AJ89" s="6">
        <v>0</v>
      </c>
      <c r="AK89" s="6">
        <v>0</v>
      </c>
      <c r="AL89" s="6">
        <v>1</v>
      </c>
      <c r="AM89" s="6">
        <v>0</v>
      </c>
      <c r="AN89" s="6">
        <v>0</v>
      </c>
      <c r="AO89" s="6">
        <v>0</v>
      </c>
      <c r="AP89" s="6">
        <v>0</v>
      </c>
    </row>
    <row r="90" spans="2:42" x14ac:dyDescent="0.2">
      <c r="B90" s="5">
        <v>1.7210275059818174E-4</v>
      </c>
      <c r="C90" s="5">
        <v>2.3875461137299928E-4</v>
      </c>
      <c r="D90" s="5">
        <v>3.2664769342539664E-4</v>
      </c>
      <c r="E90" s="5">
        <v>2.7080658937200835E-4</v>
      </c>
      <c r="F90" s="5">
        <v>8.6928676296368153E-4</v>
      </c>
      <c r="G90" s="5">
        <v>1.734636510339241E-3</v>
      </c>
      <c r="H90" s="5">
        <v>3.1058947301645999E-4</v>
      </c>
      <c r="I90" s="5">
        <v>2.7443253469531461E-3</v>
      </c>
      <c r="J90" s="5">
        <v>1.2860183047651906E-3</v>
      </c>
      <c r="K90" s="5">
        <v>1.7199157753598456E-3</v>
      </c>
      <c r="L90" s="5">
        <v>9.7345122475169551E-4</v>
      </c>
      <c r="M90" s="5">
        <v>1.9517639238800801E-3</v>
      </c>
      <c r="N90" s="5">
        <v>2.8525705787742363E-4</v>
      </c>
      <c r="O90" s="5">
        <v>1.8902977237891113E-3</v>
      </c>
      <c r="P90" s="5">
        <v>1.3167663566298455E-3</v>
      </c>
      <c r="Q90" s="5">
        <v>6.2161425152710706E-3</v>
      </c>
      <c r="R90" s="5">
        <v>2.075376756898651E-2</v>
      </c>
      <c r="S90" s="5">
        <v>1.2190536287490644E-3</v>
      </c>
      <c r="T90" s="5">
        <v>1.7553961765736131E-3</v>
      </c>
      <c r="U90" s="5">
        <v>1.6118789991648257E-3</v>
      </c>
      <c r="W90" s="6">
        <v>0</v>
      </c>
      <c r="X90" s="6">
        <v>0</v>
      </c>
      <c r="Y90" s="6">
        <v>0</v>
      </c>
      <c r="Z90" s="6">
        <v>0</v>
      </c>
      <c r="AA90" s="6">
        <v>0</v>
      </c>
      <c r="AB90" s="6">
        <v>0</v>
      </c>
      <c r="AC90" s="6">
        <v>0</v>
      </c>
      <c r="AD90" s="6">
        <v>0</v>
      </c>
      <c r="AE90" s="6">
        <v>0</v>
      </c>
      <c r="AF90" s="6">
        <v>0</v>
      </c>
      <c r="AG90" s="6">
        <v>0</v>
      </c>
      <c r="AH90" s="6">
        <v>0</v>
      </c>
      <c r="AI90" s="6">
        <v>0</v>
      </c>
      <c r="AJ90" s="6">
        <v>0</v>
      </c>
      <c r="AK90" s="6">
        <v>0</v>
      </c>
      <c r="AL90" s="6">
        <v>0</v>
      </c>
      <c r="AM90" s="6">
        <v>1</v>
      </c>
      <c r="AN90" s="6">
        <v>0</v>
      </c>
      <c r="AO90" s="6">
        <v>0</v>
      </c>
      <c r="AP90" s="6">
        <v>0</v>
      </c>
    </row>
    <row r="91" spans="2:42" x14ac:dyDescent="0.2">
      <c r="B91" s="5">
        <v>5.8355905253729589E-5</v>
      </c>
      <c r="C91" s="5">
        <v>5.7638425219569529E-5</v>
      </c>
      <c r="D91" s="5">
        <v>2.5173910244908248E-4</v>
      </c>
      <c r="E91" s="5">
        <v>1.7579223711373281E-4</v>
      </c>
      <c r="F91" s="5">
        <v>3.5778579526154699E-4</v>
      </c>
      <c r="G91" s="5">
        <v>1.156180268374265E-3</v>
      </c>
      <c r="H91" s="5">
        <v>2.3177357096838141E-4</v>
      </c>
      <c r="I91" s="5">
        <v>8.1391469380423368E-4</v>
      </c>
      <c r="J91" s="5">
        <v>9.6415249127036295E-4</v>
      </c>
      <c r="K91" s="5">
        <v>5.2977787413694712E-4</v>
      </c>
      <c r="L91" s="5">
        <v>5.543003159286516E-4</v>
      </c>
      <c r="M91" s="5">
        <v>8.3485233996688642E-4</v>
      </c>
      <c r="N91" s="5">
        <v>7.8208475110525596E-5</v>
      </c>
      <c r="O91" s="5">
        <v>5.4452266576721668E-3</v>
      </c>
      <c r="P91" s="5">
        <v>2.0895361548774584E-3</v>
      </c>
      <c r="Q91" s="5">
        <v>8.7503878122598428E-3</v>
      </c>
      <c r="R91" s="5">
        <v>1.1619733459472834E-3</v>
      </c>
      <c r="S91" s="5">
        <v>0.10781376179835866</v>
      </c>
      <c r="T91" s="5">
        <v>3.2161041251126565E-2</v>
      </c>
      <c r="U91" s="5">
        <v>5.8414052375170946E-3</v>
      </c>
      <c r="W91" s="6">
        <v>0</v>
      </c>
      <c r="X91" s="6">
        <v>0</v>
      </c>
      <c r="Y91" s="6">
        <v>0</v>
      </c>
      <c r="Z91" s="6">
        <v>0</v>
      </c>
      <c r="AA91" s="6">
        <v>0</v>
      </c>
      <c r="AB91" s="6">
        <v>0</v>
      </c>
      <c r="AC91" s="6">
        <v>0</v>
      </c>
      <c r="AD91" s="6">
        <v>0</v>
      </c>
      <c r="AE91" s="6">
        <v>0</v>
      </c>
      <c r="AF91" s="6">
        <v>0</v>
      </c>
      <c r="AG91" s="6">
        <v>0</v>
      </c>
      <c r="AH91" s="6">
        <v>0</v>
      </c>
      <c r="AI91" s="6">
        <v>0</v>
      </c>
      <c r="AJ91" s="6">
        <v>0</v>
      </c>
      <c r="AK91" s="6">
        <v>0</v>
      </c>
      <c r="AL91" s="6">
        <v>0</v>
      </c>
      <c r="AM91" s="6">
        <v>0</v>
      </c>
      <c r="AN91" s="6">
        <v>1</v>
      </c>
      <c r="AO91" s="6">
        <v>0</v>
      </c>
      <c r="AP91" s="6">
        <v>0</v>
      </c>
    </row>
    <row r="92" spans="2:42" x14ac:dyDescent="0.2">
      <c r="B92" s="5">
        <v>2.4528348166694656E-5</v>
      </c>
      <c r="C92" s="5">
        <v>5.5802362903727833E-5</v>
      </c>
      <c r="D92" s="5">
        <v>1.5538737238081216E-4</v>
      </c>
      <c r="E92" s="5">
        <v>8.8698115598995523E-4</v>
      </c>
      <c r="F92" s="5">
        <v>4.5149223917303555E-4</v>
      </c>
      <c r="G92" s="5">
        <v>3.3800320174645912E-3</v>
      </c>
      <c r="H92" s="5">
        <v>2.2470395713283532E-4</v>
      </c>
      <c r="I92" s="5">
        <v>1.3656922283361045E-3</v>
      </c>
      <c r="J92" s="5">
        <v>1.1573232953206582E-3</v>
      </c>
      <c r="K92" s="5">
        <v>1.1608510453116891E-3</v>
      </c>
      <c r="L92" s="5">
        <v>1.9455853933568119E-3</v>
      </c>
      <c r="M92" s="5">
        <v>7.2131862348722917E-4</v>
      </c>
      <c r="N92" s="5">
        <v>2.9904547915976299E-5</v>
      </c>
      <c r="O92" s="5">
        <v>1.0541117555273357E-3</v>
      </c>
      <c r="P92" s="5">
        <v>1.9624634400410386E-3</v>
      </c>
      <c r="Q92" s="5">
        <v>5.8629926579653851E-4</v>
      </c>
      <c r="R92" s="5">
        <v>9.2560086830501317E-3</v>
      </c>
      <c r="S92" s="5">
        <v>8.3839288032069869E-4</v>
      </c>
      <c r="T92" s="5">
        <v>3.3923029953668908E-2</v>
      </c>
      <c r="U92" s="5">
        <v>2.2088748667426971E-3</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0</v>
      </c>
      <c r="AN92" s="6">
        <v>0</v>
      </c>
      <c r="AO92" s="6">
        <v>1</v>
      </c>
      <c r="AP92" s="6">
        <v>0</v>
      </c>
    </row>
    <row r="93" spans="2:42" x14ac:dyDescent="0.2">
      <c r="B93" s="5">
        <v>1.130729896255869E-4</v>
      </c>
      <c r="C93" s="5">
        <v>2.3488925015202432E-4</v>
      </c>
      <c r="D93" s="5">
        <v>1.0622311265415716E-3</v>
      </c>
      <c r="E93" s="5">
        <v>8.5905685975023766E-4</v>
      </c>
      <c r="F93" s="5">
        <v>5.7852269664458939E-4</v>
      </c>
      <c r="G93" s="5">
        <v>2.5075287236851853E-3</v>
      </c>
      <c r="H93" s="5">
        <v>9.2584578625939235E-4</v>
      </c>
      <c r="I93" s="5">
        <v>1.0050834600997554E-2</v>
      </c>
      <c r="J93" s="5">
        <v>1.22578958051308E-3</v>
      </c>
      <c r="K93" s="5">
        <v>1.6842821566928497E-3</v>
      </c>
      <c r="L93" s="5">
        <v>1.2632601485382759E-3</v>
      </c>
      <c r="M93" s="5">
        <v>1.8597951704822377E-3</v>
      </c>
      <c r="N93" s="5">
        <v>2.8331245403186048E-3</v>
      </c>
      <c r="O93" s="5">
        <v>1.7021057273932821E-3</v>
      </c>
      <c r="P93" s="5">
        <v>3.8820476146002219E-3</v>
      </c>
      <c r="Q93" s="5">
        <v>6.4471032536203591E-3</v>
      </c>
      <c r="R93" s="5">
        <v>6.9573342764306908E-3</v>
      </c>
      <c r="S93" s="5">
        <v>6.0495597052994199E-3</v>
      </c>
      <c r="T93" s="5">
        <v>1.6908021668578518E-2</v>
      </c>
      <c r="U93" s="5">
        <v>9.6851333549485535E-3</v>
      </c>
      <c r="W93" s="6">
        <v>0</v>
      </c>
      <c r="X93" s="6">
        <v>0</v>
      </c>
      <c r="Y93" s="6">
        <v>0</v>
      </c>
      <c r="Z93" s="6">
        <v>0</v>
      </c>
      <c r="AA93" s="6">
        <v>0</v>
      </c>
      <c r="AB93" s="6">
        <v>0</v>
      </c>
      <c r="AC93" s="6">
        <v>0</v>
      </c>
      <c r="AD93" s="6">
        <v>0</v>
      </c>
      <c r="AE93" s="6">
        <v>0</v>
      </c>
      <c r="AF93" s="6">
        <v>0</v>
      </c>
      <c r="AG93" s="6">
        <v>0</v>
      </c>
      <c r="AH93" s="6">
        <v>0</v>
      </c>
      <c r="AI93" s="6">
        <v>0</v>
      </c>
      <c r="AJ93" s="6">
        <v>0</v>
      </c>
      <c r="AK93" s="6">
        <v>0</v>
      </c>
      <c r="AL93" s="6">
        <v>0</v>
      </c>
      <c r="AM93" s="6">
        <v>0</v>
      </c>
      <c r="AN93" s="6">
        <v>0</v>
      </c>
      <c r="AO93" s="6">
        <v>0</v>
      </c>
      <c r="AP93" s="6">
        <v>1</v>
      </c>
    </row>
    <row r="100" spans="2:21" ht="19" x14ac:dyDescent="0.2">
      <c r="B100" s="23" t="s">
        <v>33</v>
      </c>
      <c r="C100" s="23"/>
      <c r="D100" s="23"/>
      <c r="E100" s="23"/>
      <c r="F100" s="23"/>
      <c r="G100" s="23"/>
      <c r="H100" s="23"/>
      <c r="I100" s="23"/>
      <c r="J100" s="23"/>
      <c r="K100" s="23"/>
      <c r="L100" s="23"/>
      <c r="M100" s="23"/>
      <c r="N100" s="23"/>
      <c r="O100" s="23"/>
      <c r="P100" s="23"/>
      <c r="Q100" s="23"/>
      <c r="R100" s="23"/>
      <c r="S100" s="23"/>
      <c r="T100" s="23"/>
      <c r="U100" s="23"/>
    </row>
    <row r="101" spans="2:21" x14ac:dyDescent="0.2">
      <c r="B101" s="6">
        <v>0.79736093841686495</v>
      </c>
      <c r="C101" s="6">
        <v>-1.1132441735653982E-4</v>
      </c>
      <c r="D101" s="6">
        <v>-6.5556534415310569E-5</v>
      </c>
      <c r="E101" s="6">
        <v>-8.6233321672466102E-5</v>
      </c>
      <c r="F101" s="6">
        <v>-2.0188441969611737E-5</v>
      </c>
      <c r="G101" s="6">
        <v>-4.9106066007029751E-5</v>
      </c>
      <c r="H101" s="6">
        <v>-1.2635533021495592E-5</v>
      </c>
      <c r="I101" s="6">
        <v>-1.3922164644438407E-3</v>
      </c>
      <c r="J101" s="6">
        <v>-4.8420045602192074E-3</v>
      </c>
      <c r="K101" s="6">
        <v>-4.6104627636521217E-5</v>
      </c>
      <c r="L101" s="6">
        <v>-2.0980969594094709E-5</v>
      </c>
      <c r="M101" s="6">
        <v>-5.3400300796452786E-5</v>
      </c>
      <c r="N101" s="6">
        <v>-1.1109135435272817E-5</v>
      </c>
      <c r="O101" s="6">
        <v>-3.8265671684711059E-5</v>
      </c>
      <c r="P101" s="6">
        <v>-1.8834913411711076E-4</v>
      </c>
      <c r="Q101" s="6">
        <v>-3.6913455063910034E-5</v>
      </c>
      <c r="R101" s="6">
        <v>-2.3890563434929484E-5</v>
      </c>
      <c r="S101" s="6">
        <v>-5.2611877123691883E-5</v>
      </c>
      <c r="T101" s="6">
        <v>-1.1398465813773006E-4</v>
      </c>
      <c r="U101" s="6">
        <v>-1.3794394209787773E-4</v>
      </c>
    </row>
    <row r="102" spans="2:21" x14ac:dyDescent="0.2">
      <c r="B102" s="6">
        <v>-5.3346866153116734E-2</v>
      </c>
      <c r="C102" s="6">
        <v>0.8336229384713929</v>
      </c>
      <c r="D102" s="6">
        <v>-1.6084456751745295E-2</v>
      </c>
      <c r="E102" s="6">
        <v>-7.6700069630111903E-2</v>
      </c>
      <c r="F102" s="6">
        <v>-1.4751993350439006E-2</v>
      </c>
      <c r="G102" s="6">
        <v>-2.4773626333852671E-2</v>
      </c>
      <c r="H102" s="6">
        <v>-4.9111741457298283E-2</v>
      </c>
      <c r="I102" s="6">
        <v>-3.9829352793495379E-2</v>
      </c>
      <c r="J102" s="6">
        <v>-0.10777234738704669</v>
      </c>
      <c r="K102" s="6">
        <v>-4.6630110470069763E-2</v>
      </c>
      <c r="L102" s="6">
        <v>-4.337977517467363E-3</v>
      </c>
      <c r="M102" s="6">
        <v>-3.3747483302580997E-2</v>
      </c>
      <c r="N102" s="6">
        <v>-1.9082051613633238E-3</v>
      </c>
      <c r="O102" s="6">
        <v>-9.590077547193307E-2</v>
      </c>
      <c r="P102" s="6">
        <v>-4.6569539312305522E-2</v>
      </c>
      <c r="Q102" s="6">
        <v>-4.7674661893496402E-2</v>
      </c>
      <c r="R102" s="6">
        <v>-3.0372922848551358E-2</v>
      </c>
      <c r="S102" s="6">
        <v>-6.6643026466953081E-2</v>
      </c>
      <c r="T102" s="6">
        <v>-2.6006402675124225E-2</v>
      </c>
      <c r="U102" s="6">
        <v>-4.9105434913556623E-2</v>
      </c>
    </row>
    <row r="103" spans="2:21" x14ac:dyDescent="0.2">
      <c r="B103" s="6">
        <v>-2.8927278299446923E-2</v>
      </c>
      <c r="C103" s="6">
        <v>-9.2193061354547377E-3</v>
      </c>
      <c r="D103" s="6">
        <v>0.83158985325902901</v>
      </c>
      <c r="E103" s="6">
        <v>-3.1129569350715602E-3</v>
      </c>
      <c r="F103" s="6">
        <v>-1.7633704296584744E-3</v>
      </c>
      <c r="G103" s="6">
        <v>-2.5695491671434999E-2</v>
      </c>
      <c r="H103" s="6">
        <v>-3.710314696339854E-3</v>
      </c>
      <c r="I103" s="6">
        <v>-4.9742793687042125E-2</v>
      </c>
      <c r="J103" s="6">
        <v>-4.5340973612587286E-2</v>
      </c>
      <c r="K103" s="6">
        <v>-1.3498852738329539E-2</v>
      </c>
      <c r="L103" s="6">
        <v>-2.5969188632935197E-3</v>
      </c>
      <c r="M103" s="6">
        <v>-3.101563039100012E-2</v>
      </c>
      <c r="N103" s="6">
        <v>-1.000792066404261E-4</v>
      </c>
      <c r="O103" s="6">
        <v>-4.5051284688627999E-3</v>
      </c>
      <c r="P103" s="6">
        <v>-2.9692212109574427E-3</v>
      </c>
      <c r="Q103" s="6">
        <v>-3.4245774901285796E-2</v>
      </c>
      <c r="R103" s="6">
        <v>-2.0223017657242281E-2</v>
      </c>
      <c r="S103" s="6">
        <v>-1.5465850061803905E-2</v>
      </c>
      <c r="T103" s="6">
        <v>-4.306363093320241E-2</v>
      </c>
      <c r="U103" s="6">
        <v>-1.3821276249595772E-2</v>
      </c>
    </row>
    <row r="104" spans="2:21" x14ac:dyDescent="0.2">
      <c r="B104" s="6">
        <v>-4.5498738137780852E-4</v>
      </c>
      <c r="C104" s="6">
        <v>-1.0065916336613606E-3</v>
      </c>
      <c r="D104" s="6">
        <v>-4.57252744136515E-3</v>
      </c>
      <c r="E104" s="6">
        <v>0.66070305032998344</v>
      </c>
      <c r="F104" s="6">
        <v>-6.6321188329039192E-4</v>
      </c>
      <c r="G104" s="6">
        <v>-2.1816749424883376E-3</v>
      </c>
      <c r="H104" s="6">
        <v>-9.0776552921689193E-4</v>
      </c>
      <c r="I104" s="6">
        <v>-1.4575480748337727E-2</v>
      </c>
      <c r="J104" s="6">
        <v>-3.1317856275236517E-3</v>
      </c>
      <c r="K104" s="6">
        <v>-1.0235186826385515E-3</v>
      </c>
      <c r="L104" s="6">
        <v>-8.4588829676512987E-4</v>
      </c>
      <c r="M104" s="6">
        <v>-5.5087940769453177E-2</v>
      </c>
      <c r="N104" s="6">
        <v>-0.1010447113402895</v>
      </c>
      <c r="O104" s="6">
        <v>-6.6655129426660504E-3</v>
      </c>
      <c r="P104" s="6">
        <v>-1.539428167886152E-3</v>
      </c>
      <c r="Q104" s="6">
        <v>-4.6816267578632014E-3</v>
      </c>
      <c r="R104" s="6">
        <v>-6.5589286922315138E-3</v>
      </c>
      <c r="S104" s="6">
        <v>-2.8319095340163403E-3</v>
      </c>
      <c r="T104" s="6">
        <v>-1.0080644203563251E-2</v>
      </c>
      <c r="U104" s="6">
        <v>-1.5782936751718216E-3</v>
      </c>
    </row>
    <row r="105" spans="2:21" x14ac:dyDescent="0.2">
      <c r="B105" s="6">
        <v>-7.8418746342648088E-2</v>
      </c>
      <c r="C105" s="6">
        <v>-3.3204436065870049E-2</v>
      </c>
      <c r="D105" s="6">
        <v>-8.8252756947952947E-3</v>
      </c>
      <c r="E105" s="6">
        <v>-3.368137454026867E-2</v>
      </c>
      <c r="F105" s="6">
        <v>0.97936680001829624</v>
      </c>
      <c r="G105" s="6">
        <v>-2.5881766118207455E-2</v>
      </c>
      <c r="H105" s="6">
        <v>-1.844738312288759E-2</v>
      </c>
      <c r="I105" s="6">
        <v>-3.3670942193027818E-2</v>
      </c>
      <c r="J105" s="6">
        <v>-6.224951948855334E-2</v>
      </c>
      <c r="K105" s="6">
        <v>-3.9847835744347831E-2</v>
      </c>
      <c r="L105" s="6">
        <v>-7.3968996412273648E-3</v>
      </c>
      <c r="M105" s="6">
        <v>-1.189491379371996E-2</v>
      </c>
      <c r="N105" s="6">
        <v>-1.8756536568412714E-3</v>
      </c>
      <c r="O105" s="6">
        <v>-1.8799217853986156E-2</v>
      </c>
      <c r="P105" s="6">
        <v>-1.9712024189795469E-2</v>
      </c>
      <c r="Q105" s="6">
        <v>-2.7069007086296438E-2</v>
      </c>
      <c r="R105" s="6">
        <v>-1.4386729487432954E-2</v>
      </c>
      <c r="S105" s="6">
        <v>-2.3650205768589398E-2</v>
      </c>
      <c r="T105" s="6">
        <v>-1.3269758365153664E-2</v>
      </c>
      <c r="U105" s="6">
        <v>-2.851596778891817E-2</v>
      </c>
    </row>
    <row r="106" spans="2:21" x14ac:dyDescent="0.2">
      <c r="B106" s="6">
        <v>-1.9447476046450762E-4</v>
      </c>
      <c r="C106" s="6">
        <v>-1.2944816308899576E-4</v>
      </c>
      <c r="D106" s="6">
        <v>-1.4474118887070425E-4</v>
      </c>
      <c r="E106" s="6">
        <v>-3.4082201435935685E-3</v>
      </c>
      <c r="F106" s="6">
        <v>-1.5588593386438865E-3</v>
      </c>
      <c r="G106" s="6">
        <v>0.98683681808408119</v>
      </c>
      <c r="H106" s="6">
        <v>-7.8407149489195739E-4</v>
      </c>
      <c r="I106" s="6">
        <v>-2.8797457980845125E-3</v>
      </c>
      <c r="J106" s="6">
        <v>-1.3248388235112764E-2</v>
      </c>
      <c r="K106" s="6">
        <v>-1.6268968890607719E-3</v>
      </c>
      <c r="L106" s="6">
        <v>-4.5041198780285325E-4</v>
      </c>
      <c r="M106" s="6">
        <v>-1.008791569033292E-3</v>
      </c>
      <c r="N106" s="6">
        <v>-1.4694044145578572E-4</v>
      </c>
      <c r="O106" s="6">
        <v>-1.5785507874140619E-3</v>
      </c>
      <c r="P106" s="6">
        <v>-1.3976377300106634E-3</v>
      </c>
      <c r="Q106" s="6">
        <v>-2.0997657260168412E-3</v>
      </c>
      <c r="R106" s="6">
        <v>-1.4552084654585842E-3</v>
      </c>
      <c r="S106" s="6">
        <v>-2.3760819203925867E-3</v>
      </c>
      <c r="T106" s="6">
        <v>-1.6181812643632921E-3</v>
      </c>
      <c r="U106" s="6">
        <v>-3.3059692017263602E-3</v>
      </c>
    </row>
    <row r="107" spans="2:21" x14ac:dyDescent="0.2">
      <c r="B107" s="6">
        <v>-3.8498724930208761E-3</v>
      </c>
      <c r="C107" s="6">
        <v>-7.5138715441623967E-3</v>
      </c>
      <c r="D107" s="6">
        <v>-5.8496087701366724E-3</v>
      </c>
      <c r="E107" s="6">
        <v>-4.540960428273004E-3</v>
      </c>
      <c r="F107" s="6">
        <v>-8.1882929609938315E-2</v>
      </c>
      <c r="G107" s="6">
        <v>-5.1063284140353944E-2</v>
      </c>
      <c r="H107" s="6">
        <v>0.72928674832500351</v>
      </c>
      <c r="I107" s="6">
        <v>-5.7815492365769581E-3</v>
      </c>
      <c r="J107" s="6">
        <v>-1.1374525427868537E-2</v>
      </c>
      <c r="K107" s="6">
        <v>-1.0732496251965347E-2</v>
      </c>
      <c r="L107" s="6">
        <v>-6.6734186016539805E-3</v>
      </c>
      <c r="M107" s="6">
        <v>-1.3036568227192208E-2</v>
      </c>
      <c r="N107" s="6">
        <v>-1.9949768441811407E-3</v>
      </c>
      <c r="O107" s="6">
        <v>-6.6669282870372854E-3</v>
      </c>
      <c r="P107" s="6">
        <v>-1.7074133733450691E-2</v>
      </c>
      <c r="Q107" s="6">
        <v>-5.6550154936910915E-2</v>
      </c>
      <c r="R107" s="6">
        <v>-6.2229012369169343E-3</v>
      </c>
      <c r="S107" s="6">
        <v>-6.2443486236673108E-3</v>
      </c>
      <c r="T107" s="6">
        <v>-7.9164187276353042E-3</v>
      </c>
      <c r="U107" s="6">
        <v>-7.6355033216052763E-3</v>
      </c>
    </row>
    <row r="108" spans="2:21" x14ac:dyDescent="0.2">
      <c r="B108" s="6">
        <v>-4.824806947075102E-5</v>
      </c>
      <c r="C108" s="6">
        <v>-1.0843635910290468E-4</v>
      </c>
      <c r="D108" s="6">
        <v>-4.4645285687549397E-4</v>
      </c>
      <c r="E108" s="6">
        <v>-6.5358468298584672E-4</v>
      </c>
      <c r="F108" s="6">
        <v>-8.0697063927083262E-4</v>
      </c>
      <c r="G108" s="6">
        <v>-2.5605577982385397E-3</v>
      </c>
      <c r="H108" s="6">
        <v>-9.883322016245445E-4</v>
      </c>
      <c r="I108" s="6">
        <v>0.99870219390767667</v>
      </c>
      <c r="J108" s="6">
        <v>-2.781196384323838E-3</v>
      </c>
      <c r="K108" s="6">
        <v>-4.7264825064899108E-4</v>
      </c>
      <c r="L108" s="6">
        <v>-1.2021929398519922E-3</v>
      </c>
      <c r="M108" s="6">
        <v>-5.3569462927995656E-4</v>
      </c>
      <c r="N108" s="6">
        <v>-1.1347563587575871E-5</v>
      </c>
      <c r="O108" s="6">
        <v>-1.2030966578935223E-3</v>
      </c>
      <c r="P108" s="6">
        <v>-1.4712329628872299E-3</v>
      </c>
      <c r="Q108" s="6">
        <v>-2.2183514692039369E-3</v>
      </c>
      <c r="R108" s="6">
        <v>-8.623175520102559E-4</v>
      </c>
      <c r="S108" s="6">
        <v>-4.581616166035466E-4</v>
      </c>
      <c r="T108" s="6">
        <v>-2.0760779582300569E-3</v>
      </c>
      <c r="U108" s="6">
        <v>-1.7817349050333129E-3</v>
      </c>
    </row>
    <row r="109" spans="2:21" x14ac:dyDescent="0.2">
      <c r="B109" s="6">
        <v>-3.6334300361213622E-4</v>
      </c>
      <c r="C109" s="6">
        <v>-2.2146822419413995E-4</v>
      </c>
      <c r="D109" s="6">
        <v>-1.0498510642064501E-3</v>
      </c>
      <c r="E109" s="6">
        <v>-8.7253789405075221E-4</v>
      </c>
      <c r="F109" s="6">
        <v>-2.88327315266294E-3</v>
      </c>
      <c r="G109" s="6">
        <v>-5.3829034930372851E-3</v>
      </c>
      <c r="H109" s="6">
        <v>-2.1394657433757452E-3</v>
      </c>
      <c r="I109" s="6">
        <v>-2.3342551499657212E-3</v>
      </c>
      <c r="J109" s="6">
        <v>0.99199487332018832</v>
      </c>
      <c r="K109" s="6">
        <v>-1.330746559833019E-3</v>
      </c>
      <c r="L109" s="6">
        <v>-4.1291036090703838E-3</v>
      </c>
      <c r="M109" s="6">
        <v>-2.1630163660588848E-3</v>
      </c>
      <c r="N109" s="6">
        <v>-5.2458234661795724E-5</v>
      </c>
      <c r="O109" s="6">
        <v>-2.5622343905448474E-3</v>
      </c>
      <c r="P109" s="6">
        <v>-3.9930095845002152E-3</v>
      </c>
      <c r="Q109" s="6">
        <v>-2.3678746463727585E-3</v>
      </c>
      <c r="R109" s="6">
        <v>-1.9178025533626787E-3</v>
      </c>
      <c r="S109" s="6">
        <v>-1.369524653432769E-3</v>
      </c>
      <c r="T109" s="6">
        <v>-7.6668528060773958E-3</v>
      </c>
      <c r="U109" s="6">
        <v>-2.5247462169582595E-3</v>
      </c>
    </row>
    <row r="110" spans="2:21" x14ac:dyDescent="0.2">
      <c r="B110" s="6">
        <v>-2.7830241189134319E-3</v>
      </c>
      <c r="C110" s="6">
        <v>-4.2423739893395927E-3</v>
      </c>
      <c r="D110" s="6">
        <v>-9.3043748933156704E-3</v>
      </c>
      <c r="E110" s="6">
        <v>-4.5554599608343535E-3</v>
      </c>
      <c r="F110" s="6">
        <v>-2.0381249327093464E-2</v>
      </c>
      <c r="G110" s="6">
        <v>-2.4789086202130071E-2</v>
      </c>
      <c r="H110" s="6">
        <v>-6.1001162371582063E-3</v>
      </c>
      <c r="I110" s="6">
        <v>-2.080806437123113E-2</v>
      </c>
      <c r="J110" s="6">
        <v>-1.088637566906466E-2</v>
      </c>
      <c r="K110" s="6">
        <v>0.78152069319161077</v>
      </c>
      <c r="L110" s="6">
        <v>-3.7399705017962526E-2</v>
      </c>
      <c r="M110" s="6">
        <v>-2.887235131825585E-2</v>
      </c>
      <c r="N110" s="6">
        <v>-4.554919298132178E-3</v>
      </c>
      <c r="O110" s="6">
        <v>-4.713074023364703E-2</v>
      </c>
      <c r="P110" s="6">
        <v>-2.5223361465603566E-2</v>
      </c>
      <c r="Q110" s="6">
        <v>-6.9289403598128879E-2</v>
      </c>
      <c r="R110" s="6">
        <v>-2.6750814286757577E-2</v>
      </c>
      <c r="S110" s="6">
        <v>-2.8812555671515645E-2</v>
      </c>
      <c r="T110" s="6">
        <v>-3.5250282699447286E-2</v>
      </c>
      <c r="U110" s="6">
        <v>-2.2249844040366451E-2</v>
      </c>
    </row>
    <row r="111" spans="2:21" x14ac:dyDescent="0.2">
      <c r="B111" s="6">
        <v>-5.5529754368808786E-3</v>
      </c>
      <c r="C111" s="6">
        <v>-6.4283902861288376E-3</v>
      </c>
      <c r="D111" s="6">
        <v>-1.5620799126238989E-2</v>
      </c>
      <c r="E111" s="6">
        <v>-9.5278542829248785E-3</v>
      </c>
      <c r="F111" s="6">
        <v>-2.6038790513058463E-2</v>
      </c>
      <c r="G111" s="6">
        <v>-4.7192191462819048E-2</v>
      </c>
      <c r="H111" s="6">
        <v>-6.5724194174035461E-3</v>
      </c>
      <c r="I111" s="6">
        <v>-3.1755629245206661E-2</v>
      </c>
      <c r="J111" s="6">
        <v>-1.9544221019809911E-2</v>
      </c>
      <c r="K111" s="6">
        <v>-1.729325779018584E-2</v>
      </c>
      <c r="L111" s="6">
        <v>0.84123662063430893</v>
      </c>
      <c r="M111" s="6">
        <v>-0.13731344054433919</v>
      </c>
      <c r="N111" s="6">
        <v>-2.7517946769904707E-2</v>
      </c>
      <c r="O111" s="6">
        <v>-2.072806123591454E-2</v>
      </c>
      <c r="P111" s="6">
        <v>-2.5175608277901263E-2</v>
      </c>
      <c r="Q111" s="6">
        <v>-0.13858952850796569</v>
      </c>
      <c r="R111" s="6">
        <v>-1.1348797415204288E-2</v>
      </c>
      <c r="S111" s="6">
        <v>-1.4929402535298944E-2</v>
      </c>
      <c r="T111" s="6">
        <v>-2.2247863427795347E-2</v>
      </c>
      <c r="U111" s="6">
        <v>-1.6826798545038879E-2</v>
      </c>
    </row>
    <row r="112" spans="2:21" x14ac:dyDescent="0.2">
      <c r="B112" s="6">
        <v>-3.8517592890336988E-4</v>
      </c>
      <c r="C112" s="6">
        <v>-2.8419181398194079E-3</v>
      </c>
      <c r="D112" s="6">
        <v>-7.4153013491239945E-3</v>
      </c>
      <c r="E112" s="6">
        <v>-5.2904808949547598E-3</v>
      </c>
      <c r="F112" s="6">
        <v>-1.4132153977804131E-2</v>
      </c>
      <c r="G112" s="6">
        <v>-0.15825208121854006</v>
      </c>
      <c r="H112" s="6">
        <v>-3.6123049785816786E-3</v>
      </c>
      <c r="I112" s="6">
        <v>-5.3415390814962965E-2</v>
      </c>
      <c r="J112" s="6">
        <v>-0.10492769477508591</v>
      </c>
      <c r="K112" s="6">
        <v>-1.5912899296439232E-2</v>
      </c>
      <c r="L112" s="6">
        <v>-1.624083737960727E-2</v>
      </c>
      <c r="M112" s="6">
        <v>0.95737724449591222</v>
      </c>
      <c r="N112" s="6">
        <v>-4.6651498864435406E-4</v>
      </c>
      <c r="O112" s="6">
        <v>-2.4030455231196603E-2</v>
      </c>
      <c r="P112" s="6">
        <v>-1.9876450406292868E-2</v>
      </c>
      <c r="Q112" s="6">
        <v>-1.5791551123386441E-2</v>
      </c>
      <c r="R112" s="6">
        <v>-2.1860358037873815E-2</v>
      </c>
      <c r="S112" s="6">
        <v>-2.819241143182127E-2</v>
      </c>
      <c r="T112" s="6">
        <v>-3.480750594651056E-2</v>
      </c>
      <c r="U112" s="6">
        <v>-6.1622838721157869E-2</v>
      </c>
    </row>
    <row r="113" spans="1:21" x14ac:dyDescent="0.2">
      <c r="B113" s="6">
        <v>0</v>
      </c>
      <c r="C113" s="6">
        <v>0</v>
      </c>
      <c r="D113" s="6">
        <v>0</v>
      </c>
      <c r="E113" s="6">
        <v>0</v>
      </c>
      <c r="F113" s="6">
        <v>0</v>
      </c>
      <c r="G113" s="6">
        <v>0</v>
      </c>
      <c r="H113" s="6">
        <v>0</v>
      </c>
      <c r="I113" s="6">
        <v>0</v>
      </c>
      <c r="J113" s="6">
        <v>0</v>
      </c>
      <c r="K113" s="6">
        <v>0</v>
      </c>
      <c r="L113" s="6">
        <v>0</v>
      </c>
      <c r="M113" s="6">
        <v>0</v>
      </c>
      <c r="N113" s="6">
        <v>1</v>
      </c>
      <c r="O113" s="6">
        <v>0</v>
      </c>
      <c r="P113" s="6">
        <v>0</v>
      </c>
      <c r="Q113" s="6">
        <v>0</v>
      </c>
      <c r="R113" s="6">
        <v>0</v>
      </c>
      <c r="S113" s="6">
        <v>0</v>
      </c>
      <c r="T113" s="6">
        <v>0</v>
      </c>
      <c r="U113" s="6">
        <v>0</v>
      </c>
    </row>
    <row r="114" spans="1:21" x14ac:dyDescent="0.2">
      <c r="B114" s="6">
        <v>-6.909446998956602E-3</v>
      </c>
      <c r="C114" s="6">
        <v>-8.1945716631948769E-3</v>
      </c>
      <c r="D114" s="6">
        <v>-8.2604751378298601E-3</v>
      </c>
      <c r="E114" s="6">
        <v>-2.283001271623214E-2</v>
      </c>
      <c r="F114" s="6">
        <v>-2.806958810548121E-2</v>
      </c>
      <c r="G114" s="6">
        <v>-3.18843680432081E-2</v>
      </c>
      <c r="H114" s="6">
        <v>-6.3450213667200737E-3</v>
      </c>
      <c r="I114" s="6">
        <v>-4.7226448279506339E-2</v>
      </c>
      <c r="J114" s="6">
        <v>-1.6640521300945035E-2</v>
      </c>
      <c r="K114" s="6">
        <v>-4.0106761111167767E-2</v>
      </c>
      <c r="L114" s="6">
        <v>-2.5552238121271581E-2</v>
      </c>
      <c r="M114" s="6">
        <v>-6.7138804593182597E-2</v>
      </c>
      <c r="N114" s="6">
        <v>-1.5768849968074875E-2</v>
      </c>
      <c r="O114" s="6">
        <v>0.9440307719498191</v>
      </c>
      <c r="P114" s="6">
        <v>-3.2076317799872994E-2</v>
      </c>
      <c r="Q114" s="6">
        <v>-3.2959236528245735E-2</v>
      </c>
      <c r="R114" s="6">
        <v>-2.0962115718018478E-2</v>
      </c>
      <c r="S114" s="6">
        <v>-1.6519914674483646E-2</v>
      </c>
      <c r="T114" s="6">
        <v>-3.4312568293905603E-2</v>
      </c>
      <c r="U114" s="6">
        <v>-2.7008880512856954E-2</v>
      </c>
    </row>
    <row r="115" spans="1:21" x14ac:dyDescent="0.2">
      <c r="B115" s="6">
        <v>-2.962269740131585E-4</v>
      </c>
      <c r="C115" s="6">
        <v>-4.1951250206113781E-3</v>
      </c>
      <c r="D115" s="6">
        <v>-1.053337668365445E-2</v>
      </c>
      <c r="E115" s="6">
        <v>-7.7444103711134466E-3</v>
      </c>
      <c r="F115" s="6">
        <v>-1.1880057190909203E-2</v>
      </c>
      <c r="G115" s="6">
        <v>-1.6938026942198786E-2</v>
      </c>
      <c r="H115" s="6">
        <v>-8.7790753853941896E-3</v>
      </c>
      <c r="I115" s="6">
        <v>-1.4853296882241247E-2</v>
      </c>
      <c r="J115" s="6">
        <v>-9.8640741000746573E-3</v>
      </c>
      <c r="K115" s="6">
        <v>-1.5958932212335113E-2</v>
      </c>
      <c r="L115" s="6">
        <v>-7.636341627249175E-3</v>
      </c>
      <c r="M115" s="6">
        <v>-4.6006958174963308E-2</v>
      </c>
      <c r="N115" s="6">
        <v>-1.2732604847769686E-2</v>
      </c>
      <c r="O115" s="6">
        <v>-1.0264918623895603E-2</v>
      </c>
      <c r="P115" s="6">
        <v>0.94053246763121712</v>
      </c>
      <c r="Q115" s="6">
        <v>-2.0159504443463497E-2</v>
      </c>
      <c r="R115" s="6">
        <v>-1.212849438536418E-2</v>
      </c>
      <c r="S115" s="6">
        <v>-2.1663314444619202E-2</v>
      </c>
      <c r="T115" s="6">
        <v>-2.1334711684913965E-2</v>
      </c>
      <c r="U115" s="6">
        <v>-1.2022414010521478E-2</v>
      </c>
    </row>
    <row r="116" spans="1:21" x14ac:dyDescent="0.2">
      <c r="B116" s="6">
        <v>-3.132081381285625E-4</v>
      </c>
      <c r="C116" s="6">
        <v>-2.6299164103834059E-4</v>
      </c>
      <c r="D116" s="6">
        <v>-2.3097276243471618E-3</v>
      </c>
      <c r="E116" s="6">
        <v>-1.8329465848784053E-3</v>
      </c>
      <c r="F116" s="6">
        <v>-2.3317174250310027E-3</v>
      </c>
      <c r="G116" s="6">
        <v>-9.1291147240095041E-3</v>
      </c>
      <c r="H116" s="6">
        <v>-1.1764192886518012E-3</v>
      </c>
      <c r="I116" s="6">
        <v>-4.1960301356316967E-3</v>
      </c>
      <c r="J116" s="6">
        <v>-4.7386704351122227E-3</v>
      </c>
      <c r="K116" s="6">
        <v>-3.4984030728706407E-3</v>
      </c>
      <c r="L116" s="6">
        <v>-2.231950524695693E-3</v>
      </c>
      <c r="M116" s="6">
        <v>-1.026359787975316E-2</v>
      </c>
      <c r="N116" s="6">
        <v>-1.7868371495308218E-4</v>
      </c>
      <c r="O116" s="6">
        <v>-3.9607063670377505E-3</v>
      </c>
      <c r="P116" s="6">
        <v>-1.6616765931112942E-3</v>
      </c>
      <c r="Q116" s="6">
        <v>0.98141885872977563</v>
      </c>
      <c r="R116" s="6">
        <v>-1.5313445309500105E-3</v>
      </c>
      <c r="S116" s="6">
        <v>-1.9126503151604577E-3</v>
      </c>
      <c r="T116" s="6">
        <v>-1.0018113689234189E-2</v>
      </c>
      <c r="U116" s="6">
        <v>-3.3060774779760447E-3</v>
      </c>
    </row>
    <row r="117" spans="1:21" x14ac:dyDescent="0.2">
      <c r="B117" s="6">
        <v>-1.7210275059818174E-4</v>
      </c>
      <c r="C117" s="6">
        <v>-2.3875461137299928E-4</v>
      </c>
      <c r="D117" s="6">
        <v>-3.2664769342539664E-4</v>
      </c>
      <c r="E117" s="6">
        <v>-2.7080658937200835E-4</v>
      </c>
      <c r="F117" s="6">
        <v>-8.6928676296368153E-4</v>
      </c>
      <c r="G117" s="6">
        <v>-1.734636510339241E-3</v>
      </c>
      <c r="H117" s="6">
        <v>-3.1058947301645999E-4</v>
      </c>
      <c r="I117" s="6">
        <v>-2.7443253469531461E-3</v>
      </c>
      <c r="J117" s="6">
        <v>-1.2860183047651906E-3</v>
      </c>
      <c r="K117" s="6">
        <v>-1.7199157753598456E-3</v>
      </c>
      <c r="L117" s="6">
        <v>-9.7345122475169551E-4</v>
      </c>
      <c r="M117" s="6">
        <v>-1.9517639238800801E-3</v>
      </c>
      <c r="N117" s="6">
        <v>-2.8525705787742363E-4</v>
      </c>
      <c r="O117" s="6">
        <v>-1.8902977237891113E-3</v>
      </c>
      <c r="P117" s="6">
        <v>-1.3167663566298455E-3</v>
      </c>
      <c r="Q117" s="6">
        <v>-6.2161425152710706E-3</v>
      </c>
      <c r="R117" s="6">
        <v>0.9792462324310135</v>
      </c>
      <c r="S117" s="6">
        <v>-1.2190536287490644E-3</v>
      </c>
      <c r="T117" s="6">
        <v>-1.7553961765736131E-3</v>
      </c>
      <c r="U117" s="6">
        <v>-1.6118789991648257E-3</v>
      </c>
    </row>
    <row r="118" spans="1:21" x14ac:dyDescent="0.2">
      <c r="B118" s="6">
        <v>-5.8355905253729589E-5</v>
      </c>
      <c r="C118" s="6">
        <v>-5.7638425219569529E-5</v>
      </c>
      <c r="D118" s="6">
        <v>-2.5173910244908248E-4</v>
      </c>
      <c r="E118" s="6">
        <v>-1.7579223711373281E-4</v>
      </c>
      <c r="F118" s="6">
        <v>-3.5778579526154699E-4</v>
      </c>
      <c r="G118" s="6">
        <v>-1.156180268374265E-3</v>
      </c>
      <c r="H118" s="6">
        <v>-2.3177357096838141E-4</v>
      </c>
      <c r="I118" s="6">
        <v>-8.1391469380423368E-4</v>
      </c>
      <c r="J118" s="6">
        <v>-9.6415249127036295E-4</v>
      </c>
      <c r="K118" s="6">
        <v>-5.2977787413694712E-4</v>
      </c>
      <c r="L118" s="6">
        <v>-5.543003159286516E-4</v>
      </c>
      <c r="M118" s="6">
        <v>-8.3485233996688642E-4</v>
      </c>
      <c r="N118" s="6">
        <v>-7.8208475110525596E-5</v>
      </c>
      <c r="O118" s="6">
        <v>-5.4452266576721668E-3</v>
      </c>
      <c r="P118" s="6">
        <v>-2.0895361548774584E-3</v>
      </c>
      <c r="Q118" s="6">
        <v>-8.7503878122598428E-3</v>
      </c>
      <c r="R118" s="6">
        <v>-1.1619733459472834E-3</v>
      </c>
      <c r="S118" s="6">
        <v>0.89218623820164134</v>
      </c>
      <c r="T118" s="6">
        <v>-3.2161041251126565E-2</v>
      </c>
      <c r="U118" s="6">
        <v>-5.8414052375170946E-3</v>
      </c>
    </row>
    <row r="119" spans="1:21" x14ac:dyDescent="0.2">
      <c r="B119" s="6">
        <v>-2.4528348166694656E-5</v>
      </c>
      <c r="C119" s="6">
        <v>-5.5802362903727833E-5</v>
      </c>
      <c r="D119" s="6">
        <v>-1.5538737238081216E-4</v>
      </c>
      <c r="E119" s="6">
        <v>-8.8698115598995523E-4</v>
      </c>
      <c r="F119" s="6">
        <v>-4.5149223917303555E-4</v>
      </c>
      <c r="G119" s="6">
        <v>-3.3800320174645912E-3</v>
      </c>
      <c r="H119" s="6">
        <v>-2.2470395713283532E-4</v>
      </c>
      <c r="I119" s="6">
        <v>-1.3656922283361045E-3</v>
      </c>
      <c r="J119" s="6">
        <v>-1.1573232953206582E-3</v>
      </c>
      <c r="K119" s="6">
        <v>-1.1608510453116891E-3</v>
      </c>
      <c r="L119" s="6">
        <v>-1.9455853933568119E-3</v>
      </c>
      <c r="M119" s="6">
        <v>-7.2131862348722917E-4</v>
      </c>
      <c r="N119" s="6">
        <v>-2.9904547915976299E-5</v>
      </c>
      <c r="O119" s="6">
        <v>-1.0541117555273357E-3</v>
      </c>
      <c r="P119" s="6">
        <v>-1.9624634400410386E-3</v>
      </c>
      <c r="Q119" s="6">
        <v>-5.8629926579653851E-4</v>
      </c>
      <c r="R119" s="6">
        <v>-9.2560086830501317E-3</v>
      </c>
      <c r="S119" s="6">
        <v>-8.3839288032069869E-4</v>
      </c>
      <c r="T119" s="6">
        <v>0.96607697004633108</v>
      </c>
      <c r="U119" s="6">
        <v>-2.2088748667426971E-3</v>
      </c>
    </row>
    <row r="120" spans="1:21" x14ac:dyDescent="0.2">
      <c r="B120" s="6">
        <v>-1.130729896255869E-4</v>
      </c>
      <c r="C120" s="6">
        <v>-2.3488925015202432E-4</v>
      </c>
      <c r="D120" s="6">
        <v>-1.0622311265415716E-3</v>
      </c>
      <c r="E120" s="6">
        <v>-8.5905685975023766E-4</v>
      </c>
      <c r="F120" s="6">
        <v>-5.7852269664458939E-4</v>
      </c>
      <c r="G120" s="6">
        <v>-2.5075287236851853E-3</v>
      </c>
      <c r="H120" s="6">
        <v>-9.2584578625939235E-4</v>
      </c>
      <c r="I120" s="6">
        <v>-1.0050834600997554E-2</v>
      </c>
      <c r="J120" s="6">
        <v>-1.22578958051308E-3</v>
      </c>
      <c r="K120" s="6">
        <v>-1.6842821566928497E-3</v>
      </c>
      <c r="L120" s="6">
        <v>-1.2632601485382759E-3</v>
      </c>
      <c r="M120" s="6">
        <v>-1.8597951704822377E-3</v>
      </c>
      <c r="N120" s="6">
        <v>-2.8331245403186048E-3</v>
      </c>
      <c r="O120" s="6">
        <v>-1.7021057273932821E-3</v>
      </c>
      <c r="P120" s="6">
        <v>-3.8820476146002219E-3</v>
      </c>
      <c r="Q120" s="6">
        <v>-6.4471032536203591E-3</v>
      </c>
      <c r="R120" s="6">
        <v>-6.9573342764306908E-3</v>
      </c>
      <c r="S120" s="6">
        <v>-6.0495597052994199E-3</v>
      </c>
      <c r="T120" s="6">
        <v>-1.6908021668578518E-2</v>
      </c>
      <c r="U120" s="6">
        <v>0.99031486664505142</v>
      </c>
    </row>
    <row r="123" spans="1:21" x14ac:dyDescent="0.2">
      <c r="K123" s="4" t="s">
        <v>35</v>
      </c>
    </row>
    <row r="125" spans="1:21" x14ac:dyDescent="0.2">
      <c r="S125" t="s">
        <v>82</v>
      </c>
    </row>
    <row r="127" spans="1:21" ht="19" x14ac:dyDescent="0.2">
      <c r="A127" s="24" t="s">
        <v>34</v>
      </c>
      <c r="B127" s="25"/>
      <c r="C127" s="25"/>
      <c r="D127" s="25"/>
      <c r="E127" s="25"/>
      <c r="F127" s="25"/>
      <c r="G127" s="25"/>
      <c r="H127" s="25"/>
      <c r="I127" s="25"/>
      <c r="J127" s="25"/>
      <c r="K127" s="25"/>
      <c r="L127" s="25"/>
      <c r="M127" s="25"/>
      <c r="N127" s="25"/>
      <c r="O127" s="25"/>
      <c r="P127" s="25"/>
      <c r="Q127" s="25"/>
      <c r="R127" s="25"/>
      <c r="S127" s="25"/>
      <c r="T127" s="25"/>
      <c r="U127" s="26"/>
    </row>
    <row r="128" spans="1:21" x14ac:dyDescent="0.2">
      <c r="A128" s="3" t="s">
        <v>0</v>
      </c>
      <c r="B128" s="3" t="s">
        <v>1</v>
      </c>
      <c r="C128" s="3" t="s">
        <v>2</v>
      </c>
      <c r="D128" s="3" t="s">
        <v>3</v>
      </c>
      <c r="E128" s="3" t="s">
        <v>4</v>
      </c>
      <c r="F128" s="3" t="s">
        <v>5</v>
      </c>
      <c r="G128" s="3" t="s">
        <v>6</v>
      </c>
      <c r="H128" s="3" t="s">
        <v>7</v>
      </c>
      <c r="I128" s="3" t="s">
        <v>8</v>
      </c>
      <c r="J128" s="3" t="s">
        <v>9</v>
      </c>
      <c r="K128" s="3" t="s">
        <v>10</v>
      </c>
      <c r="L128" s="3" t="s">
        <v>11</v>
      </c>
      <c r="M128" s="3" t="s">
        <v>12</v>
      </c>
      <c r="N128" s="3" t="s">
        <v>13</v>
      </c>
      <c r="O128" s="3" t="s">
        <v>14</v>
      </c>
      <c r="P128" s="3" t="s">
        <v>15</v>
      </c>
      <c r="Q128" s="3" t="s">
        <v>16</v>
      </c>
      <c r="R128" s="3" t="s">
        <v>17</v>
      </c>
      <c r="S128" s="3" t="s">
        <v>18</v>
      </c>
      <c r="T128" s="3" t="s">
        <v>19</v>
      </c>
      <c r="U128" s="3" t="s">
        <v>20</v>
      </c>
    </row>
    <row r="129" spans="1:23" x14ac:dyDescent="0.2">
      <c r="A129" s="3" t="s">
        <v>1</v>
      </c>
      <c r="B129" s="5">
        <v>1.2541660326087349</v>
      </c>
      <c r="C129" s="5">
        <v>1.7886807220650339E-4</v>
      </c>
      <c r="D129" s="5">
        <v>1.2345619329382735E-4</v>
      </c>
      <c r="E129" s="5">
        <v>2.113933840519567E-4</v>
      </c>
      <c r="F129" s="5">
        <v>6.8695845240066868E-5</v>
      </c>
      <c r="G129" s="5">
        <v>1.5680285387602164E-4</v>
      </c>
      <c r="H129" s="5">
        <v>6.4956813524326618E-5</v>
      </c>
      <c r="I129" s="5">
        <v>1.8086778126234213E-3</v>
      </c>
      <c r="J129" s="5">
        <v>6.1846859045946766E-3</v>
      </c>
      <c r="K129" s="5">
        <v>1.2183017780910537E-4</v>
      </c>
      <c r="L129" s="5">
        <v>8.2760928883912063E-5</v>
      </c>
      <c r="M129" s="5">
        <v>1.4948482325069176E-4</v>
      </c>
      <c r="N129" s="5">
        <v>4.552084627883739E-5</v>
      </c>
      <c r="O129" s="5">
        <v>1.0938338040398795E-4</v>
      </c>
      <c r="P129" s="5">
        <v>3.0711894254159186E-4</v>
      </c>
      <c r="Q129" s="5">
        <v>1.2207188745299609E-4</v>
      </c>
      <c r="R129" s="5">
        <v>7.3547925331078151E-5</v>
      </c>
      <c r="S129" s="5">
        <v>1.2492213123303298E-4</v>
      </c>
      <c r="T129" s="5">
        <v>2.4718843647382688E-4</v>
      </c>
      <c r="U129" s="5">
        <v>2.2962199774376565E-4</v>
      </c>
    </row>
    <row r="130" spans="1:23" x14ac:dyDescent="0.2">
      <c r="A130" s="3" t="s">
        <v>2</v>
      </c>
      <c r="B130" s="5">
        <v>8.7422417866123606E-2</v>
      </c>
      <c r="C130" s="5">
        <v>1.2049250998156755</v>
      </c>
      <c r="D130" s="5">
        <v>2.9990552486623592E-2</v>
      </c>
      <c r="E130" s="5">
        <v>0.15037718039581399</v>
      </c>
      <c r="F130" s="5">
        <v>3.4604742608457424E-2</v>
      </c>
      <c r="G130" s="5">
        <v>5.9630510979735284E-2</v>
      </c>
      <c r="H130" s="5">
        <v>8.6571630795660728E-2</v>
      </c>
      <c r="I130" s="5">
        <v>6.9257177375278353E-2</v>
      </c>
      <c r="J130" s="5">
        <v>0.15016290703597931</v>
      </c>
      <c r="K130" s="5">
        <v>8.7090237406681092E-2</v>
      </c>
      <c r="L130" s="5">
        <v>1.8945831719871322E-2</v>
      </c>
      <c r="M130" s="5">
        <v>7.3703449237077154E-2</v>
      </c>
      <c r="N130" s="5">
        <v>2.2003570984669263E-2</v>
      </c>
      <c r="O130" s="5">
        <v>0.13419315047113056</v>
      </c>
      <c r="P130" s="5">
        <v>7.3004881981531031E-2</v>
      </c>
      <c r="Q130" s="5">
        <v>8.4671278766740479E-2</v>
      </c>
      <c r="R130" s="5">
        <v>4.9847340688778156E-2</v>
      </c>
      <c r="S130" s="5">
        <v>0.10348298503222671</v>
      </c>
      <c r="T130" s="5">
        <v>5.6356983938254439E-2</v>
      </c>
      <c r="U130" s="5">
        <v>7.5298727843556165E-2</v>
      </c>
    </row>
    <row r="131" spans="1:23" x14ac:dyDescent="0.2">
      <c r="A131" s="3" t="s">
        <v>3</v>
      </c>
      <c r="B131" s="5">
        <v>4.5534924803110652E-2</v>
      </c>
      <c r="C131" s="5">
        <v>1.416565006877267E-2</v>
      </c>
      <c r="D131" s="5">
        <v>1.2042812337853339</v>
      </c>
      <c r="E131" s="5">
        <v>9.3706158800572602E-3</v>
      </c>
      <c r="F131" s="5">
        <v>5.3249433680962613E-3</v>
      </c>
      <c r="G131" s="5">
        <v>4.2111957539427834E-2</v>
      </c>
      <c r="H131" s="5">
        <v>8.3684824114284573E-3</v>
      </c>
      <c r="I131" s="5">
        <v>6.5573257457060885E-2</v>
      </c>
      <c r="J131" s="5">
        <v>6.372517660234929E-2</v>
      </c>
      <c r="K131" s="5">
        <v>2.4484849533650106E-2</v>
      </c>
      <c r="L131" s="5">
        <v>7.0326314877732481E-3</v>
      </c>
      <c r="M131" s="5">
        <v>4.402910460095822E-2</v>
      </c>
      <c r="N131" s="5">
        <v>1.8116222842717703E-3</v>
      </c>
      <c r="O131" s="5">
        <v>1.0842747135647033E-2</v>
      </c>
      <c r="P131" s="5">
        <v>7.7720396471642134E-3</v>
      </c>
      <c r="Q131" s="5">
        <v>4.8323796290123198E-2</v>
      </c>
      <c r="R131" s="5">
        <v>2.8644412489440416E-2</v>
      </c>
      <c r="S131" s="5">
        <v>2.545047318348562E-2</v>
      </c>
      <c r="T131" s="5">
        <v>6.001714224411038E-2</v>
      </c>
      <c r="U131" s="5">
        <v>2.2461393583184355E-2</v>
      </c>
    </row>
    <row r="132" spans="1:23" x14ac:dyDescent="0.2">
      <c r="A132" s="3" t="s">
        <v>4</v>
      </c>
      <c r="B132" s="5">
        <v>1.9959888366362843E-3</v>
      </c>
      <c r="C132" s="5">
        <v>2.664343342632958E-3</v>
      </c>
      <c r="D132" s="5">
        <v>9.6983535700075549E-3</v>
      </c>
      <c r="E132" s="5">
        <v>1.5157024991932089</v>
      </c>
      <c r="F132" s="5">
        <v>3.5054234943467425E-3</v>
      </c>
      <c r="G132" s="5">
        <v>1.9659160333753242E-2</v>
      </c>
      <c r="H132" s="5">
        <v>3.0802915778232656E-3</v>
      </c>
      <c r="I132" s="5">
        <v>2.8979849015090715E-2</v>
      </c>
      <c r="J132" s="5">
        <v>1.6206034354565961E-2</v>
      </c>
      <c r="K132" s="5">
        <v>5.527481081108016E-3</v>
      </c>
      <c r="L132" s="5">
        <v>4.3342749645285256E-3</v>
      </c>
      <c r="M132" s="5">
        <v>9.0025978577764301E-2</v>
      </c>
      <c r="N132" s="5">
        <v>0.15369210810444209</v>
      </c>
      <c r="O132" s="5">
        <v>1.4116673255753312E-2</v>
      </c>
      <c r="P132" s="5">
        <v>5.707136761808727E-3</v>
      </c>
      <c r="Q132" s="5">
        <v>1.1401307984288952E-2</v>
      </c>
      <c r="R132" s="5">
        <v>1.3473830743550456E-2</v>
      </c>
      <c r="S132" s="5">
        <v>9.0072009639579776E-3</v>
      </c>
      <c r="T132" s="5">
        <v>2.139656107681211E-2</v>
      </c>
      <c r="U132" s="5">
        <v>9.3820175407280364E-3</v>
      </c>
      <c r="W132" s="4"/>
    </row>
    <row r="133" spans="1:23" x14ac:dyDescent="0.2">
      <c r="A133" s="3" t="s">
        <v>5</v>
      </c>
      <c r="B133" s="5">
        <v>0.10533782544158661</v>
      </c>
      <c r="C133" s="5">
        <v>4.2495680135835906E-2</v>
      </c>
      <c r="D133" s="5">
        <v>1.4457364653610796E-2</v>
      </c>
      <c r="E133" s="5">
        <v>6.0437513254244561E-2</v>
      </c>
      <c r="F133" s="5">
        <v>1.028091889115925</v>
      </c>
      <c r="G133" s="5">
        <v>3.9327622241228176E-2</v>
      </c>
      <c r="H133" s="5">
        <v>3.086511727243587E-2</v>
      </c>
      <c r="I133" s="5">
        <v>4.4278481097207861E-2</v>
      </c>
      <c r="J133" s="5">
        <v>7.6432944011461931E-2</v>
      </c>
      <c r="K133" s="5">
        <v>5.9368317450931275E-2</v>
      </c>
      <c r="L133" s="5">
        <v>1.469911763868827E-2</v>
      </c>
      <c r="M133" s="5">
        <v>2.6937442180583918E-2</v>
      </c>
      <c r="N133" s="5">
        <v>9.8522628021950522E-3</v>
      </c>
      <c r="O133" s="5">
        <v>3.0648249323234143E-2</v>
      </c>
      <c r="P133" s="5">
        <v>2.8822131564839634E-2</v>
      </c>
      <c r="Q133" s="5">
        <v>4.240604653879132E-2</v>
      </c>
      <c r="R133" s="5">
        <v>2.159141775351512E-2</v>
      </c>
      <c r="S133" s="5">
        <v>3.6017000525192015E-2</v>
      </c>
      <c r="T133" s="5">
        <v>2.5109262472333079E-2</v>
      </c>
      <c r="U133" s="5">
        <v>3.755822809758582E-2</v>
      </c>
    </row>
    <row r="134" spans="1:23" x14ac:dyDescent="0.2">
      <c r="A134" s="3" t="s">
        <v>6</v>
      </c>
      <c r="B134" s="5">
        <v>5.3150933983534194E-4</v>
      </c>
      <c r="C134" s="5">
        <v>3.2344728888394599E-4</v>
      </c>
      <c r="D134" s="5">
        <v>3.8675540552080153E-4</v>
      </c>
      <c r="E134" s="5">
        <v>5.5630497435731948E-3</v>
      </c>
      <c r="F134" s="5">
        <v>1.9800446094507475E-3</v>
      </c>
      <c r="G134" s="5">
        <v>1.0141534523445714</v>
      </c>
      <c r="H134" s="5">
        <v>1.3099611303947001E-3</v>
      </c>
      <c r="I134" s="5">
        <v>3.5240192919298785E-3</v>
      </c>
      <c r="J134" s="5">
        <v>1.4103433136694866E-2</v>
      </c>
      <c r="K134" s="5">
        <v>2.5291089655173613E-3</v>
      </c>
      <c r="L134" s="5">
        <v>9.0940692431785389E-4</v>
      </c>
      <c r="M134" s="5">
        <v>1.9831870604576944E-3</v>
      </c>
      <c r="N134" s="5">
        <v>8.2636417132060712E-4</v>
      </c>
      <c r="O134" s="5">
        <v>2.1223282581424295E-3</v>
      </c>
      <c r="P134" s="5">
        <v>1.9062712861085847E-3</v>
      </c>
      <c r="Q134" s="5">
        <v>2.913364380967922E-3</v>
      </c>
      <c r="R134" s="5">
        <v>1.8821130071449963E-3</v>
      </c>
      <c r="S134" s="5">
        <v>3.1168645573537439E-3</v>
      </c>
      <c r="T134" s="5">
        <v>2.4469303988943333E-3</v>
      </c>
      <c r="U134" s="5">
        <v>3.8386729907011361E-3</v>
      </c>
    </row>
    <row r="135" spans="1:23" x14ac:dyDescent="0.2">
      <c r="A135" s="3" t="s">
        <v>7</v>
      </c>
      <c r="B135" s="5">
        <v>2.0451400042461373E-2</v>
      </c>
      <c r="C135" s="5">
        <v>1.8064717351224377E-2</v>
      </c>
      <c r="D135" s="5">
        <v>1.3219945646201388E-2</v>
      </c>
      <c r="E135" s="5">
        <v>2.0112596524774564E-2</v>
      </c>
      <c r="F135" s="5">
        <v>0.11827999316522389</v>
      </c>
      <c r="G135" s="5">
        <v>8.3760535072648315E-2</v>
      </c>
      <c r="H135" s="5">
        <v>1.3769696716889905</v>
      </c>
      <c r="I135" s="5">
        <v>1.8637076550403069E-2</v>
      </c>
      <c r="J135" s="5">
        <v>3.1996773104943171E-2</v>
      </c>
      <c r="K135" s="5">
        <v>2.9540061665619361E-2</v>
      </c>
      <c r="L135" s="5">
        <v>1.5405086796118126E-2</v>
      </c>
      <c r="M135" s="5">
        <v>2.9553069764879765E-2</v>
      </c>
      <c r="N135" s="5">
        <v>6.3845673656064634E-3</v>
      </c>
      <c r="O135" s="5">
        <v>1.7853171231391528E-2</v>
      </c>
      <c r="P135" s="5">
        <v>3.1521653278786692E-2</v>
      </c>
      <c r="Q135" s="5">
        <v>9.0718850839775531E-2</v>
      </c>
      <c r="R135" s="5">
        <v>1.4573767217318092E-2</v>
      </c>
      <c r="S135" s="5">
        <v>1.830636058488325E-2</v>
      </c>
      <c r="T135" s="5">
        <v>2.0378370014597358E-2</v>
      </c>
      <c r="U135" s="5">
        <v>1.9646407399547105E-2</v>
      </c>
    </row>
    <row r="136" spans="1:23" x14ac:dyDescent="0.2">
      <c r="A136" s="3" t="s">
        <v>8</v>
      </c>
      <c r="B136" s="5">
        <v>2.5334830571573699E-4</v>
      </c>
      <c r="C136" s="5">
        <v>2.4641596975642571E-4</v>
      </c>
      <c r="D136" s="5">
        <v>6.7790058406235159E-4</v>
      </c>
      <c r="E136" s="5">
        <v>1.2389827202444938E-3</v>
      </c>
      <c r="F136" s="5">
        <v>1.1262932219972422E-3</v>
      </c>
      <c r="G136" s="5">
        <v>3.1673513537047201E-3</v>
      </c>
      <c r="H136" s="5">
        <v>1.4926951130351089E-3</v>
      </c>
      <c r="I136" s="5">
        <v>1.0016991169954952</v>
      </c>
      <c r="J136" s="5">
        <v>3.2356248383556344E-3</v>
      </c>
      <c r="K136" s="5">
        <v>9.2346892951719281E-4</v>
      </c>
      <c r="L136" s="5">
        <v>1.6208423949305001E-3</v>
      </c>
      <c r="M136" s="5">
        <v>1.2014119082553584E-3</v>
      </c>
      <c r="N136" s="5">
        <v>2.4622355834568116E-4</v>
      </c>
      <c r="O136" s="5">
        <v>1.5182324920500316E-3</v>
      </c>
      <c r="P136" s="5">
        <v>1.8202045933006267E-3</v>
      </c>
      <c r="Q136" s="5">
        <v>2.8686614015362871E-3</v>
      </c>
      <c r="R136" s="5">
        <v>1.1195554820603382E-3</v>
      </c>
      <c r="S136" s="5">
        <v>7.9373586568124018E-4</v>
      </c>
      <c r="T136" s="5">
        <v>2.5644611342372516E-3</v>
      </c>
      <c r="U136" s="5">
        <v>2.0970213357222179E-3</v>
      </c>
    </row>
    <row r="137" spans="1:23" x14ac:dyDescent="0.2">
      <c r="A137" s="3" t="s">
        <v>9</v>
      </c>
      <c r="B137" s="5">
        <v>1.0259546224647195E-3</v>
      </c>
      <c r="C137" s="5">
        <v>5.9806731726766307E-4</v>
      </c>
      <c r="D137" s="5">
        <v>1.6435360663667267E-3</v>
      </c>
      <c r="E137" s="5">
        <v>1.9938161972193535E-3</v>
      </c>
      <c r="F137" s="5">
        <v>3.7062005071895523E-3</v>
      </c>
      <c r="G137" s="5">
        <v>7.0828594930683036E-3</v>
      </c>
      <c r="H137" s="5">
        <v>3.3123330083786452E-3</v>
      </c>
      <c r="I137" s="5">
        <v>3.403642822009295E-3</v>
      </c>
      <c r="J137" s="5">
        <v>1.0092956854528423</v>
      </c>
      <c r="K137" s="5">
        <v>2.5582332503200278E-3</v>
      </c>
      <c r="L137" s="5">
        <v>5.4110945963303366E-3</v>
      </c>
      <c r="M137" s="5">
        <v>3.963146500502706E-3</v>
      </c>
      <c r="N137" s="5">
        <v>5.606205965936039E-4</v>
      </c>
      <c r="O137" s="5">
        <v>3.3885419453718573E-3</v>
      </c>
      <c r="P137" s="5">
        <v>4.938444846313601E-3</v>
      </c>
      <c r="Q137" s="5">
        <v>4.1353714187363118E-3</v>
      </c>
      <c r="R137" s="5">
        <v>2.6045837104590854E-3</v>
      </c>
      <c r="S137" s="5">
        <v>2.2957976469614137E-3</v>
      </c>
      <c r="T137" s="5">
        <v>8.9909100817382476E-3</v>
      </c>
      <c r="U137" s="5">
        <v>3.3911140493806577E-3</v>
      </c>
    </row>
    <row r="138" spans="1:23" x14ac:dyDescent="0.2">
      <c r="A138" s="3" t="s">
        <v>10</v>
      </c>
      <c r="B138" s="5">
        <v>1.0447258282413966E-2</v>
      </c>
      <c r="C138" s="5">
        <v>9.9592605599474159E-3</v>
      </c>
      <c r="D138" s="5">
        <v>1.8592447247944881E-2</v>
      </c>
      <c r="E138" s="5">
        <v>1.7104316289139183E-2</v>
      </c>
      <c r="F138" s="5">
        <v>3.3920337904688708E-2</v>
      </c>
      <c r="G138" s="5">
        <v>5.2017357526634236E-2</v>
      </c>
      <c r="H138" s="5">
        <v>1.4894005674689252E-2</v>
      </c>
      <c r="I138" s="5">
        <v>4.0135855286923525E-2</v>
      </c>
      <c r="J138" s="5">
        <v>2.912611863047462E-2</v>
      </c>
      <c r="K138" s="5">
        <v>1.2904850580708989</v>
      </c>
      <c r="L138" s="5">
        <v>6.238871902068608E-2</v>
      </c>
      <c r="M138" s="5">
        <v>5.8998089330321177E-2</v>
      </c>
      <c r="N138" s="5">
        <v>1.1281625174181638E-2</v>
      </c>
      <c r="O138" s="5">
        <v>7.0944057583490608E-2</v>
      </c>
      <c r="P138" s="5">
        <v>4.2419726969859364E-2</v>
      </c>
      <c r="Q138" s="5">
        <v>0.10840780739216835</v>
      </c>
      <c r="R138" s="5">
        <v>4.198146571202864E-2</v>
      </c>
      <c r="S138" s="5">
        <v>4.986768048184996E-2</v>
      </c>
      <c r="T138" s="5">
        <v>5.9922474030157193E-2</v>
      </c>
      <c r="U138" s="5">
        <v>3.9226750793459643E-2</v>
      </c>
    </row>
    <row r="139" spans="1:23" x14ac:dyDescent="0.2">
      <c r="A139" s="3" t="s">
        <v>11</v>
      </c>
      <c r="B139" s="5">
        <v>1.4817984024317348E-2</v>
      </c>
      <c r="C139" s="5">
        <v>1.2774767923340711E-2</v>
      </c>
      <c r="D139" s="5">
        <v>2.7046782190878811E-2</v>
      </c>
      <c r="E139" s="5">
        <v>2.5729600386199161E-2</v>
      </c>
      <c r="F139" s="5">
        <v>3.924974969579155E-2</v>
      </c>
      <c r="G139" s="5">
        <v>9.4868845844407232E-2</v>
      </c>
      <c r="H139" s="5">
        <v>1.5563680663530241E-2</v>
      </c>
      <c r="I139" s="5">
        <v>5.6393384189961995E-2</v>
      </c>
      <c r="J139" s="5">
        <v>5.2300703383731599E-2</v>
      </c>
      <c r="K139" s="5">
        <v>3.7811979882766161E-2</v>
      </c>
      <c r="L139" s="5">
        <v>1.1971756018957158</v>
      </c>
      <c r="M139" s="5">
        <v>0.1833286359487428</v>
      </c>
      <c r="N139" s="5">
        <v>3.7213433902916836E-2</v>
      </c>
      <c r="O139" s="5">
        <v>3.727619012519745E-2</v>
      </c>
      <c r="P139" s="5">
        <v>4.1199703884584354E-2</v>
      </c>
      <c r="Q139" s="20">
        <v>0.18161203380538049</v>
      </c>
      <c r="R139" s="5">
        <v>2.3418095702034455E-2</v>
      </c>
      <c r="S139" s="5">
        <v>3.2474893783580726E-2</v>
      </c>
      <c r="T139" s="5">
        <v>4.4640574928920734E-2</v>
      </c>
      <c r="U139" s="5">
        <v>3.7906914107752467E-2</v>
      </c>
    </row>
    <row r="140" spans="1:23" x14ac:dyDescent="0.2">
      <c r="A140" s="3" t="s">
        <v>12</v>
      </c>
      <c r="B140" s="5">
        <v>3.9173204354170195E-3</v>
      </c>
      <c r="C140" s="5">
        <v>5.4602129476380452E-3</v>
      </c>
      <c r="D140" s="5">
        <v>1.1669786456123753E-2</v>
      </c>
      <c r="E140" s="5">
        <v>1.3488088981234814E-2</v>
      </c>
      <c r="F140" s="5">
        <v>1.9283105383743431E-2</v>
      </c>
      <c r="G140" s="5">
        <v>0.17538771980017198</v>
      </c>
      <c r="H140" s="5">
        <v>7.9930200112196988E-3</v>
      </c>
      <c r="I140" s="5">
        <v>6.3121991696672888E-2</v>
      </c>
      <c r="J140" s="5">
        <v>0.11851925379459601</v>
      </c>
      <c r="K140" s="5">
        <v>2.685737703989749E-2</v>
      </c>
      <c r="L140" s="5">
        <v>2.4183499129719222E-2</v>
      </c>
      <c r="M140" s="5">
        <v>1.0550424302052717</v>
      </c>
      <c r="N140" s="5">
        <v>3.796035881084037E-3</v>
      </c>
      <c r="O140" s="5">
        <v>3.143519811061625E-2</v>
      </c>
      <c r="P140" s="5">
        <v>2.703864335879624E-2</v>
      </c>
      <c r="Q140" s="5">
        <v>2.7441357043424056E-2</v>
      </c>
      <c r="R140" s="5">
        <v>2.7986575391676934E-2</v>
      </c>
      <c r="S140" s="5">
        <v>3.8369058617390789E-2</v>
      </c>
      <c r="T140" s="5">
        <v>4.6616880101876756E-2</v>
      </c>
      <c r="U140" s="5">
        <v>7.0391676433559619E-2</v>
      </c>
    </row>
    <row r="141" spans="1:23" x14ac:dyDescent="0.2">
      <c r="A141" s="3" t="s">
        <v>13</v>
      </c>
      <c r="B141" s="5">
        <v>0</v>
      </c>
      <c r="C141" s="5">
        <v>0</v>
      </c>
      <c r="D141" s="5">
        <v>0</v>
      </c>
      <c r="E141" s="5">
        <v>0</v>
      </c>
      <c r="F141" s="5">
        <v>0</v>
      </c>
      <c r="G141" s="5">
        <v>0</v>
      </c>
      <c r="H141" s="5">
        <v>0</v>
      </c>
      <c r="I141" s="5">
        <v>0</v>
      </c>
      <c r="J141" s="5">
        <v>0</v>
      </c>
      <c r="K141" s="5">
        <v>0</v>
      </c>
      <c r="L141" s="5">
        <v>0</v>
      </c>
      <c r="M141" s="5">
        <v>0</v>
      </c>
      <c r="N141" s="5">
        <v>1</v>
      </c>
      <c r="O141" s="5">
        <v>0</v>
      </c>
      <c r="P141" s="5">
        <v>0</v>
      </c>
      <c r="Q141" s="5">
        <v>0</v>
      </c>
      <c r="R141" s="5">
        <v>0</v>
      </c>
      <c r="S141" s="5">
        <v>0</v>
      </c>
      <c r="T141" s="5">
        <v>0</v>
      </c>
      <c r="U141" s="5">
        <v>0</v>
      </c>
    </row>
    <row r="142" spans="1:23" x14ac:dyDescent="0.2">
      <c r="A142" s="3" t="s">
        <v>14</v>
      </c>
      <c r="B142" s="5">
        <v>1.501524835563659E-2</v>
      </c>
      <c r="C142" s="5">
        <v>1.3519742591704546E-2</v>
      </c>
      <c r="D142" s="5">
        <v>1.4699126882958413E-2</v>
      </c>
      <c r="E142" s="5">
        <v>4.345804302338456E-2</v>
      </c>
      <c r="F142" s="5">
        <v>3.6644257836563748E-2</v>
      </c>
      <c r="G142" s="5">
        <v>5.6759854545431442E-2</v>
      </c>
      <c r="H142" s="5">
        <v>1.3533353927497537E-2</v>
      </c>
      <c r="I142" s="5">
        <v>6.2825936373166233E-2</v>
      </c>
      <c r="J142" s="5">
        <v>3.5457668639934499E-2</v>
      </c>
      <c r="K142" s="5">
        <v>6.2323905992207336E-2</v>
      </c>
      <c r="L142" s="5">
        <v>3.8632805979891181E-2</v>
      </c>
      <c r="M142" s="5">
        <v>8.9550350966977763E-2</v>
      </c>
      <c r="N142" s="5">
        <v>2.3469939915429876E-2</v>
      </c>
      <c r="O142" s="5">
        <v>1.0694288759974022</v>
      </c>
      <c r="P142" s="5">
        <v>4.367891513490918E-2</v>
      </c>
      <c r="Q142" s="5">
        <v>5.237595251986036E-2</v>
      </c>
      <c r="R142" s="5">
        <v>3.0309044681358036E-2</v>
      </c>
      <c r="S142" s="5">
        <v>2.9533092130292756E-2</v>
      </c>
      <c r="T142" s="5">
        <v>5.0225631251036532E-2</v>
      </c>
      <c r="U142" s="5">
        <v>4.0335540554032198E-2</v>
      </c>
    </row>
    <row r="143" spans="1:23" x14ac:dyDescent="0.2">
      <c r="A143" s="3" t="s">
        <v>15</v>
      </c>
      <c r="B143" s="5">
        <v>3.5532016807248113E-3</v>
      </c>
      <c r="C143" s="5">
        <v>6.9993041103737072E-3</v>
      </c>
      <c r="D143" s="5">
        <v>1.5427130849718631E-2</v>
      </c>
      <c r="E143" s="5">
        <v>1.6145995749452365E-2</v>
      </c>
      <c r="F143" s="5">
        <v>1.6798609502449807E-2</v>
      </c>
      <c r="G143" s="5">
        <v>3.191550316986741E-2</v>
      </c>
      <c r="H143" s="5">
        <v>1.4843446212920906E-2</v>
      </c>
      <c r="I143" s="5">
        <v>2.3240000280585496E-2</v>
      </c>
      <c r="J143" s="5">
        <v>2.1060448062222181E-2</v>
      </c>
      <c r="K143" s="5">
        <v>2.6283888138289406E-2</v>
      </c>
      <c r="L143" s="5">
        <v>1.3218678502621125E-2</v>
      </c>
      <c r="M143" s="5">
        <v>5.7780656213106879E-2</v>
      </c>
      <c r="N143" s="5">
        <v>1.6147550101414356E-2</v>
      </c>
      <c r="O143" s="5">
        <v>1.6569035608414658E-2</v>
      </c>
      <c r="P143" s="5">
        <v>1.0675809872891846</v>
      </c>
      <c r="Q143" s="5">
        <v>3.0116092143178758E-2</v>
      </c>
      <c r="R143" s="5">
        <v>1.7347483342076152E-2</v>
      </c>
      <c r="S143" s="5">
        <v>3.0895032633534509E-2</v>
      </c>
      <c r="T143" s="5">
        <v>3.0893204961333905E-2</v>
      </c>
      <c r="U143" s="5">
        <v>1.9591602364394639E-2</v>
      </c>
    </row>
    <row r="144" spans="1:23" x14ac:dyDescent="0.2">
      <c r="A144" s="3" t="s">
        <v>16</v>
      </c>
      <c r="B144" s="5">
        <v>1.0032733159769814E-3</v>
      </c>
      <c r="C144" s="5">
        <v>6.8336742975366629E-4</v>
      </c>
      <c r="D144" s="5">
        <v>3.271270224416244E-3</v>
      </c>
      <c r="E144" s="5">
        <v>3.616106434212119E-3</v>
      </c>
      <c r="F144" s="5">
        <v>3.2569066052445853E-3</v>
      </c>
      <c r="G144" s="5">
        <v>1.2409581550544137E-2</v>
      </c>
      <c r="H144" s="5">
        <v>2.0709527627958317E-3</v>
      </c>
      <c r="I144" s="5">
        <v>5.9760206845541914E-3</v>
      </c>
      <c r="J144" s="5">
        <v>7.1324129560852269E-3</v>
      </c>
      <c r="K144" s="5">
        <v>5.6058524914269119E-3</v>
      </c>
      <c r="L144" s="5">
        <v>3.5389849557219727E-3</v>
      </c>
      <c r="M144" s="5">
        <v>1.2588923409982966E-2</v>
      </c>
      <c r="N144" s="5">
        <v>8.2427475624902451E-4</v>
      </c>
      <c r="O144" s="5">
        <v>5.2751921389051649E-3</v>
      </c>
      <c r="P144" s="5">
        <v>2.765053934457337E-3</v>
      </c>
      <c r="Q144" s="5">
        <v>1.0207811325050069</v>
      </c>
      <c r="R144" s="5">
        <v>2.583491773016422E-3</v>
      </c>
      <c r="S144" s="5">
        <v>3.3063409180238367E-3</v>
      </c>
      <c r="T144" s="5">
        <v>1.212745455782396E-2</v>
      </c>
      <c r="U144" s="5">
        <v>4.8709708621124141E-3</v>
      </c>
    </row>
    <row r="145" spans="1:23" x14ac:dyDescent="0.2">
      <c r="A145" s="3" t="s">
        <v>17</v>
      </c>
      <c r="B145" s="5">
        <v>4.4282516981990834E-4</v>
      </c>
      <c r="C145" s="5">
        <v>4.2706157041734564E-4</v>
      </c>
      <c r="D145" s="5">
        <v>5.9009953302165607E-4</v>
      </c>
      <c r="E145" s="5">
        <v>7.527963439675591E-4</v>
      </c>
      <c r="F145" s="5">
        <v>1.2280816056022882E-3</v>
      </c>
      <c r="G145" s="5">
        <v>2.6932524046034789E-3</v>
      </c>
      <c r="H145" s="5">
        <v>6.2061653296772415E-4</v>
      </c>
      <c r="I145" s="5">
        <v>3.3765706667437849E-3</v>
      </c>
      <c r="J145" s="5">
        <v>1.9910237750784105E-3</v>
      </c>
      <c r="K145" s="5">
        <v>2.6620221297261994E-3</v>
      </c>
      <c r="L145" s="5">
        <v>1.511504845356292E-3</v>
      </c>
      <c r="M145" s="5">
        <v>2.832626933317978E-3</v>
      </c>
      <c r="N145" s="5">
        <v>4.9645609948079713E-4</v>
      </c>
      <c r="O145" s="5">
        <v>2.4450875950471824E-3</v>
      </c>
      <c r="P145" s="5">
        <v>1.7951254934654092E-3</v>
      </c>
      <c r="Q145" s="5">
        <v>7.2006912511672766E-3</v>
      </c>
      <c r="R145" s="5">
        <v>1.0215371343710673</v>
      </c>
      <c r="S145" s="5">
        <v>1.8111411918982855E-3</v>
      </c>
      <c r="T145" s="5">
        <v>2.4843758578087459E-3</v>
      </c>
      <c r="U145" s="5">
        <v>2.144154340426922E-3</v>
      </c>
    </row>
    <row r="146" spans="1:23" x14ac:dyDescent="0.2">
      <c r="A146" s="3" t="s">
        <v>18</v>
      </c>
      <c r="B146" s="5">
        <v>2.890020226614219E-4</v>
      </c>
      <c r="C146" s="5">
        <v>2.398898807644896E-4</v>
      </c>
      <c r="D146" s="5">
        <v>5.7645787976188698E-4</v>
      </c>
      <c r="E146" s="5">
        <v>7.9950489154147317E-4</v>
      </c>
      <c r="F146" s="5">
        <v>8.4827228853064963E-4</v>
      </c>
      <c r="G146" s="5">
        <v>2.3574737228824788E-3</v>
      </c>
      <c r="H146" s="5">
        <v>5.7658474903308663E-4</v>
      </c>
      <c r="I146" s="5">
        <v>1.7316129427264488E-3</v>
      </c>
      <c r="J146" s="5">
        <v>1.7554187054553826E-3</v>
      </c>
      <c r="K146" s="5">
        <v>1.4524677422357072E-3</v>
      </c>
      <c r="L146" s="5">
        <v>1.2366815510250083E-3</v>
      </c>
      <c r="M146" s="5">
        <v>2.0846693107737548E-3</v>
      </c>
      <c r="N146" s="5">
        <v>3.8407079265171231E-4</v>
      </c>
      <c r="O146" s="5">
        <v>6.8233668943461466E-3</v>
      </c>
      <c r="P146" s="5">
        <v>3.0283330552231887E-3</v>
      </c>
      <c r="Q146" s="5">
        <v>1.078892900545452E-2</v>
      </c>
      <c r="R146" s="5">
        <v>2.0924012078630877E-3</v>
      </c>
      <c r="S146" s="5">
        <v>1.1213531132827648</v>
      </c>
      <c r="T146" s="5">
        <v>3.8116439483793882E-2</v>
      </c>
      <c r="U146" s="5">
        <v>7.210590664441404E-3</v>
      </c>
    </row>
    <row r="147" spans="1:23" x14ac:dyDescent="0.2">
      <c r="A147" s="3" t="s">
        <v>19</v>
      </c>
      <c r="B147" s="5">
        <v>1.7841748872672892E-4</v>
      </c>
      <c r="C147" s="5">
        <v>1.77082754813937E-4</v>
      </c>
      <c r="D147" s="5">
        <v>3.6302946767044004E-4</v>
      </c>
      <c r="E147" s="5">
        <v>1.6350478486031237E-3</v>
      </c>
      <c r="F147" s="5">
        <v>7.5225596241841456E-4</v>
      </c>
      <c r="G147" s="5">
        <v>4.1825301665015212E-3</v>
      </c>
      <c r="H147" s="5">
        <v>4.6586940654142709E-4</v>
      </c>
      <c r="I147" s="5">
        <v>1.8857722069174152E-3</v>
      </c>
      <c r="J147" s="5">
        <v>1.6801418242025799E-3</v>
      </c>
      <c r="K147" s="5">
        <v>1.8665596288626838E-3</v>
      </c>
      <c r="L147" s="5">
        <v>2.6237944698848585E-3</v>
      </c>
      <c r="M147" s="5">
        <v>1.613328124521712E-3</v>
      </c>
      <c r="N147" s="5">
        <v>3.4630850123012043E-4</v>
      </c>
      <c r="O147" s="5">
        <v>1.4768489192547743E-3</v>
      </c>
      <c r="P147" s="5">
        <v>2.4492207559447571E-3</v>
      </c>
      <c r="Q147" s="5">
        <v>1.4335295501558298E-3</v>
      </c>
      <c r="R147" s="5">
        <v>1.0039921882975882E-2</v>
      </c>
      <c r="S147" s="5">
        <v>1.3125767955445824E-3</v>
      </c>
      <c r="T147" s="5">
        <v>1.0356073274461861</v>
      </c>
      <c r="U147" s="5">
        <v>2.659058388344444E-3</v>
      </c>
    </row>
    <row r="148" spans="1:23" x14ac:dyDescent="0.2">
      <c r="A148" s="3" t="s">
        <v>20</v>
      </c>
      <c r="B148" s="5">
        <v>3.9856812604293338E-4</v>
      </c>
      <c r="C148" s="5">
        <v>4.5519239491829754E-4</v>
      </c>
      <c r="D148" s="5">
        <v>1.5469133187841007E-3</v>
      </c>
      <c r="E148" s="5">
        <v>1.730647185257423E-3</v>
      </c>
      <c r="F148" s="5">
        <v>1.0698316588608565E-3</v>
      </c>
      <c r="G148" s="5">
        <v>3.7335153005358928E-3</v>
      </c>
      <c r="H148" s="5">
        <v>1.531076464114381E-3</v>
      </c>
      <c r="I148" s="5">
        <v>1.0898132372456265E-2</v>
      </c>
      <c r="J148" s="5">
        <v>2.093290340309232E-3</v>
      </c>
      <c r="K148" s="5">
        <v>2.7325294367675085E-3</v>
      </c>
      <c r="L148" s="5">
        <v>1.9471322363504378E-3</v>
      </c>
      <c r="M148" s="5">
        <v>3.046406574913901E-3</v>
      </c>
      <c r="N148" s="5">
        <v>3.2128671888334058E-3</v>
      </c>
      <c r="O148" s="5">
        <v>2.3639829735207355E-3</v>
      </c>
      <c r="P148" s="5">
        <v>4.6327696487054836E-3</v>
      </c>
      <c r="Q148" s="5">
        <v>7.6950816800872438E-3</v>
      </c>
      <c r="R148" s="5">
        <v>7.7514601099579507E-3</v>
      </c>
      <c r="S148" s="5">
        <v>7.3934741801662497E-3</v>
      </c>
      <c r="T148" s="5">
        <v>1.8637798781854113E-2</v>
      </c>
      <c r="U148" s="5">
        <v>1.0104350890726788</v>
      </c>
    </row>
    <row r="154" spans="1:23" ht="19" x14ac:dyDescent="0.2">
      <c r="A154" s="24" t="s">
        <v>39</v>
      </c>
      <c r="B154" s="25"/>
      <c r="C154" s="25"/>
      <c r="D154" s="25"/>
      <c r="E154" s="25"/>
      <c r="F154" s="25"/>
      <c r="G154" s="25"/>
      <c r="H154" s="25"/>
      <c r="I154" s="25"/>
      <c r="J154" s="25"/>
      <c r="K154" s="25"/>
      <c r="L154" s="25"/>
      <c r="M154" s="25"/>
      <c r="N154" s="25"/>
      <c r="O154" s="25"/>
      <c r="P154" s="25"/>
      <c r="Q154" s="25"/>
      <c r="R154" s="25"/>
      <c r="S154" s="25"/>
      <c r="T154" s="25"/>
      <c r="U154" s="26"/>
    </row>
    <row r="155" spans="1:23" x14ac:dyDescent="0.2">
      <c r="A155" s="3" t="s">
        <v>0</v>
      </c>
      <c r="B155" s="3" t="s">
        <v>1</v>
      </c>
      <c r="C155" s="3" t="s">
        <v>2</v>
      </c>
      <c r="D155" s="3" t="s">
        <v>3</v>
      </c>
      <c r="E155" s="3" t="s">
        <v>4</v>
      </c>
      <c r="F155" s="3" t="s">
        <v>5</v>
      </c>
      <c r="G155" s="3" t="s">
        <v>6</v>
      </c>
      <c r="H155" s="3" t="s">
        <v>7</v>
      </c>
      <c r="I155" s="3" t="s">
        <v>8</v>
      </c>
      <c r="J155" s="3" t="s">
        <v>9</v>
      </c>
      <c r="K155" s="3" t="s">
        <v>10</v>
      </c>
      <c r="L155" s="3" t="s">
        <v>11</v>
      </c>
      <c r="M155" s="3" t="s">
        <v>12</v>
      </c>
      <c r="N155" s="3" t="s">
        <v>13</v>
      </c>
      <c r="O155" s="3" t="s">
        <v>14</v>
      </c>
      <c r="P155" s="3" t="s">
        <v>15</v>
      </c>
      <c r="Q155" s="3" t="s">
        <v>16</v>
      </c>
      <c r="R155" s="3" t="s">
        <v>17</v>
      </c>
      <c r="S155" s="3" t="s">
        <v>18</v>
      </c>
      <c r="T155" s="3" t="s">
        <v>19</v>
      </c>
      <c r="U155" s="3" t="s">
        <v>20</v>
      </c>
    </row>
    <row r="156" spans="1:23" x14ac:dyDescent="0.2">
      <c r="A156" s="3" t="s">
        <v>1</v>
      </c>
      <c r="B156" s="5">
        <v>0.31037321171628285</v>
      </c>
      <c r="C156" s="5">
        <v>4.4265158360856245E-5</v>
      </c>
      <c r="D156" s="5">
        <v>3.0552171102233491E-5</v>
      </c>
      <c r="E156" s="5">
        <v>5.2314320303592705E-5</v>
      </c>
      <c r="F156" s="5">
        <v>1.7000420649548837E-5</v>
      </c>
      <c r="G156" s="5">
        <v>3.8804595323434907E-5</v>
      </c>
      <c r="H156" s="5">
        <v>1.6075108328731593E-5</v>
      </c>
      <c r="I156" s="5">
        <v>4.4760033924395312E-4</v>
      </c>
      <c r="J156" s="5">
        <v>1.5305476131199957E-3</v>
      </c>
      <c r="K156" s="5">
        <v>3.0149774900158216E-5</v>
      </c>
      <c r="L156" s="5">
        <v>2.0481160097194429E-5</v>
      </c>
      <c r="M156" s="5">
        <v>3.6993574605629885E-5</v>
      </c>
      <c r="N156" s="5">
        <v>1.1265216001918025E-5</v>
      </c>
      <c r="O156" s="5">
        <v>2.7069518868847418E-5</v>
      </c>
      <c r="P156" s="5">
        <v>7.6003886325376235E-5</v>
      </c>
      <c r="Q156" s="5">
        <v>3.0209591699949161E-5</v>
      </c>
      <c r="R156" s="5">
        <v>1.8201183261672318E-5</v>
      </c>
      <c r="S156" s="5">
        <v>3.0914952308659246E-5</v>
      </c>
      <c r="T156" s="5">
        <v>6.1172657313900267E-5</v>
      </c>
      <c r="U156" s="5">
        <v>5.6825424279909043E-5</v>
      </c>
    </row>
    <row r="157" spans="1:23" x14ac:dyDescent="0.2">
      <c r="A157" s="3" t="s">
        <v>2</v>
      </c>
      <c r="B157" s="5">
        <v>2.5384417370316263E-2</v>
      </c>
      <c r="C157" s="5">
        <v>0.34986817317876268</v>
      </c>
      <c r="D157" s="5">
        <v>8.7082091764226106E-3</v>
      </c>
      <c r="E157" s="5">
        <v>4.3664282037866986E-2</v>
      </c>
      <c r="F157" s="5">
        <v>1.0048008860961053E-2</v>
      </c>
      <c r="G157" s="5">
        <v>1.731461809982018E-2</v>
      </c>
      <c r="H157" s="5">
        <v>2.5137378514413524E-2</v>
      </c>
      <c r="I157" s="5">
        <v>2.0109865859307696E-2</v>
      </c>
      <c r="J157" s="5">
        <v>4.3602064536565288E-2</v>
      </c>
      <c r="K157" s="5">
        <v>2.5287963764587067E-2</v>
      </c>
      <c r="L157" s="5">
        <v>5.5012079457865404E-3</v>
      </c>
      <c r="M157" s="5">
        <v>2.1400907944812971E-2</v>
      </c>
      <c r="N157" s="5">
        <v>6.3890686524773407E-3</v>
      </c>
      <c r="O157" s="5">
        <v>3.8965004891689511E-2</v>
      </c>
      <c r="P157" s="5">
        <v>2.1198068407668455E-2</v>
      </c>
      <c r="Q157" s="5">
        <v>2.4585582645229129E-2</v>
      </c>
      <c r="R157" s="5">
        <v>1.4473927074197489E-2</v>
      </c>
      <c r="S157" s="5">
        <v>3.0047845242703427E-2</v>
      </c>
      <c r="T157" s="5">
        <v>1.636410015805817E-2</v>
      </c>
      <c r="U157" s="5">
        <v>2.1864121145239584E-2</v>
      </c>
    </row>
    <row r="158" spans="1:23" x14ac:dyDescent="0.2">
      <c r="A158" s="3" t="s">
        <v>3</v>
      </c>
      <c r="B158" s="5">
        <v>1.5593935463814034E-2</v>
      </c>
      <c r="C158" s="5">
        <v>4.8511825577962414E-3</v>
      </c>
      <c r="D158" s="5">
        <v>0.41241934451702322</v>
      </c>
      <c r="E158" s="5">
        <v>3.2090703986365553E-3</v>
      </c>
      <c r="F158" s="5">
        <v>1.82358538176141E-3</v>
      </c>
      <c r="G158" s="5">
        <v>1.4421702703237001E-2</v>
      </c>
      <c r="H158" s="5">
        <v>2.8658787780618767E-3</v>
      </c>
      <c r="I158" s="5">
        <v>2.2456282718350203E-2</v>
      </c>
      <c r="J158" s="5">
        <v>2.1823387117777822E-2</v>
      </c>
      <c r="K158" s="5">
        <v>8.3851058307414569E-3</v>
      </c>
      <c r="L158" s="5">
        <v>2.4084019471935264E-3</v>
      </c>
      <c r="M158" s="5">
        <v>1.5078250785426944E-2</v>
      </c>
      <c r="N158" s="5">
        <v>6.2040996241661671E-4</v>
      </c>
      <c r="O158" s="5">
        <v>3.7132179270049828E-3</v>
      </c>
      <c r="P158" s="5">
        <v>2.6616203980598945E-3</v>
      </c>
      <c r="Q158" s="5">
        <v>1.6549015156454128E-2</v>
      </c>
      <c r="R158" s="5">
        <v>9.8095938818523829E-3</v>
      </c>
      <c r="S158" s="5">
        <v>8.7157942625984679E-3</v>
      </c>
      <c r="T158" s="5">
        <v>2.0553529997556278E-2</v>
      </c>
      <c r="U158" s="5">
        <v>7.6921511011164749E-3</v>
      </c>
    </row>
    <row r="159" spans="1:23" x14ac:dyDescent="0.2">
      <c r="A159" s="3" t="s">
        <v>4</v>
      </c>
      <c r="B159" s="5">
        <v>5.9584980980289192E-4</v>
      </c>
      <c r="C159" s="5">
        <v>7.9536941530837719E-4</v>
      </c>
      <c r="D159" s="5">
        <v>2.8951876002617266E-3</v>
      </c>
      <c r="E159" s="5">
        <v>0.45247299448028577</v>
      </c>
      <c r="F159" s="5">
        <v>1.046451705564176E-3</v>
      </c>
      <c r="G159" s="5">
        <v>5.8687236775793522E-3</v>
      </c>
      <c r="H159" s="5">
        <v>9.1953978754536175E-4</v>
      </c>
      <c r="I159" s="5">
        <v>8.6511693887318542E-3</v>
      </c>
      <c r="J159" s="5">
        <v>4.8378840154740177E-3</v>
      </c>
      <c r="K159" s="5">
        <v>1.6500836529816003E-3</v>
      </c>
      <c r="L159" s="5">
        <v>1.2938834455607548E-3</v>
      </c>
      <c r="M159" s="5">
        <v>2.6874880875225503E-2</v>
      </c>
      <c r="N159" s="5">
        <v>4.5880724231187102E-2</v>
      </c>
      <c r="O159" s="5">
        <v>4.2141603801078469E-3</v>
      </c>
      <c r="P159" s="5">
        <v>1.7037151168508716E-3</v>
      </c>
      <c r="Q159" s="5">
        <v>3.403559713986864E-3</v>
      </c>
      <c r="R159" s="5">
        <v>4.0222567073023444E-3</v>
      </c>
      <c r="S159" s="5">
        <v>2.6888622234357553E-3</v>
      </c>
      <c r="T159" s="5">
        <v>6.3873788340118084E-3</v>
      </c>
      <c r="U159" s="5">
        <v>2.8007538241702472E-3</v>
      </c>
      <c r="W159" t="s">
        <v>88</v>
      </c>
    </row>
    <row r="160" spans="1:23" x14ac:dyDescent="0.2">
      <c r="A160" s="3" t="s">
        <v>5</v>
      </c>
      <c r="B160" s="5">
        <v>4.7264434861358111E-2</v>
      </c>
      <c r="C160" s="5">
        <v>1.9067550495269397E-2</v>
      </c>
      <c r="D160" s="5">
        <v>6.4869306640131111E-3</v>
      </c>
      <c r="E160" s="5">
        <v>2.7117940743629269E-2</v>
      </c>
      <c r="F160" s="5">
        <v>0.46129851191542065</v>
      </c>
      <c r="G160" s="5">
        <v>1.764606238908353E-2</v>
      </c>
      <c r="H160" s="5">
        <v>1.3848988420785188E-2</v>
      </c>
      <c r="I160" s="5">
        <v>1.9867482329406775E-2</v>
      </c>
      <c r="J160" s="5">
        <v>3.4294992215259473E-2</v>
      </c>
      <c r="K160" s="5">
        <v>2.6638199158041276E-2</v>
      </c>
      <c r="L160" s="5">
        <v>6.5954037425851519E-3</v>
      </c>
      <c r="M160" s="5">
        <v>1.208666474686087E-2</v>
      </c>
      <c r="N160" s="5">
        <v>4.4206497665888753E-3</v>
      </c>
      <c r="O160" s="5">
        <v>1.3751681104865273E-2</v>
      </c>
      <c r="P160" s="5">
        <v>1.29323132901322E-2</v>
      </c>
      <c r="Q160" s="5">
        <v>1.902733245117039E-2</v>
      </c>
      <c r="R160" s="5">
        <v>9.6879364435075756E-3</v>
      </c>
      <c r="S160" s="5">
        <v>1.6160606772430808E-2</v>
      </c>
      <c r="T160" s="5">
        <v>1.1266371747900164E-2</v>
      </c>
      <c r="U160" s="5">
        <v>1.6852146111662102E-2</v>
      </c>
    </row>
    <row r="161" spans="1:21" x14ac:dyDescent="0.2">
      <c r="A161" s="3" t="s">
        <v>6</v>
      </c>
      <c r="B161" s="5">
        <v>2.5170623306455402E-4</v>
      </c>
      <c r="C161" s="5">
        <v>1.5317454008454879E-4</v>
      </c>
      <c r="D161" s="5">
        <v>1.831552880541158E-4</v>
      </c>
      <c r="E161" s="5">
        <v>2.6344867161493938E-3</v>
      </c>
      <c r="F161" s="5">
        <v>9.3768732285875068E-4</v>
      </c>
      <c r="G161" s="5">
        <v>0.48027141972358445</v>
      </c>
      <c r="H161" s="5">
        <v>6.2035670284699379E-4</v>
      </c>
      <c r="I161" s="5">
        <v>1.6688655395844575E-3</v>
      </c>
      <c r="J161" s="5">
        <v>6.6789457156388159E-3</v>
      </c>
      <c r="K161" s="5">
        <v>1.1977070636564509E-3</v>
      </c>
      <c r="L161" s="5">
        <v>4.3066673355877759E-4</v>
      </c>
      <c r="M161" s="5">
        <v>9.3917548956865937E-4</v>
      </c>
      <c r="N161" s="5">
        <v>3.9134027779654657E-4</v>
      </c>
      <c r="O161" s="5">
        <v>1.0050684177045318E-3</v>
      </c>
      <c r="P161" s="5">
        <v>9.0275057964956881E-4</v>
      </c>
      <c r="Q161" s="5">
        <v>1.3796784344468098E-3</v>
      </c>
      <c r="R161" s="5">
        <v>8.9130997279752121E-4</v>
      </c>
      <c r="S161" s="5">
        <v>1.476049766024757E-3</v>
      </c>
      <c r="T161" s="5">
        <v>1.1587898595867446E-3</v>
      </c>
      <c r="U161" s="5">
        <v>1.8178757098706051E-3</v>
      </c>
    </row>
    <row r="162" spans="1:21" x14ac:dyDescent="0.2">
      <c r="A162" s="3" t="s">
        <v>7</v>
      </c>
      <c r="B162" s="5">
        <v>5.1667056110715186E-3</v>
      </c>
      <c r="C162" s="5">
        <v>4.5637499783491063E-3</v>
      </c>
      <c r="D162" s="5">
        <v>3.3397990947552124E-3</v>
      </c>
      <c r="E162" s="5">
        <v>5.0811125449611886E-3</v>
      </c>
      <c r="F162" s="5">
        <v>2.9881470368554472E-2</v>
      </c>
      <c r="G162" s="5">
        <v>2.1160704188842437E-2</v>
      </c>
      <c r="H162" s="5">
        <v>0.34786845468866884</v>
      </c>
      <c r="I162" s="5">
        <v>4.7083469976145443E-3</v>
      </c>
      <c r="J162" s="5">
        <v>8.0834518318676322E-3</v>
      </c>
      <c r="K162" s="5">
        <v>7.4628046022410834E-3</v>
      </c>
      <c r="L162" s="5">
        <v>3.8918386136545411E-3</v>
      </c>
      <c r="M162" s="5">
        <v>7.4660908818746817E-3</v>
      </c>
      <c r="N162" s="5">
        <v>1.6129546125768775E-3</v>
      </c>
      <c r="O162" s="5">
        <v>4.5103063743869576E-3</v>
      </c>
      <c r="P162" s="5">
        <v>7.9634207207144921E-3</v>
      </c>
      <c r="Q162" s="5">
        <v>2.291860677951988E-2</v>
      </c>
      <c r="R162" s="5">
        <v>3.6818195673563878E-3</v>
      </c>
      <c r="S162" s="5">
        <v>4.6247971168643489E-3</v>
      </c>
      <c r="T162" s="5">
        <v>5.1482557908167532E-3</v>
      </c>
      <c r="U162" s="5">
        <v>4.9633376266606148E-3</v>
      </c>
    </row>
    <row r="163" spans="1:21" x14ac:dyDescent="0.2">
      <c r="A163" s="3" t="s">
        <v>8</v>
      </c>
      <c r="B163" s="5">
        <v>1.4166343000709722E-4</v>
      </c>
      <c r="C163" s="5">
        <v>1.3778711243243196E-4</v>
      </c>
      <c r="D163" s="5">
        <v>3.7905807844572468E-4</v>
      </c>
      <c r="E163" s="5">
        <v>6.9279540423015451E-4</v>
      </c>
      <c r="F163" s="5">
        <v>6.2978341446221647E-4</v>
      </c>
      <c r="G163" s="5">
        <v>1.7710710775657732E-3</v>
      </c>
      <c r="H163" s="5">
        <v>8.3466241887817814E-4</v>
      </c>
      <c r="I163" s="5">
        <v>0.56011478879942589</v>
      </c>
      <c r="J163" s="5">
        <v>1.8092472003026566E-3</v>
      </c>
      <c r="K163" s="5">
        <v>5.1637122928768699E-4</v>
      </c>
      <c r="L163" s="5">
        <v>9.06317855641811E-4</v>
      </c>
      <c r="M163" s="5">
        <v>6.7178713231968599E-4</v>
      </c>
      <c r="N163" s="5">
        <v>1.3767952276317575E-4</v>
      </c>
      <c r="O163" s="5">
        <v>8.4894201981896514E-4</v>
      </c>
      <c r="P163" s="5">
        <v>1.0177941599931652E-3</v>
      </c>
      <c r="Q163" s="5">
        <v>1.6040541993068249E-3</v>
      </c>
      <c r="R163" s="5">
        <v>6.2601590811453805E-4</v>
      </c>
      <c r="S163" s="5">
        <v>4.4382907923695084E-4</v>
      </c>
      <c r="T163" s="5">
        <v>1.4339561473269164E-3</v>
      </c>
      <c r="U163" s="5">
        <v>1.1725803114302059E-3</v>
      </c>
    </row>
    <row r="164" spans="1:21" x14ac:dyDescent="0.2">
      <c r="A164" s="3" t="s">
        <v>9</v>
      </c>
      <c r="B164" s="5">
        <v>3.3466224085631975E-4</v>
      </c>
      <c r="C164" s="5">
        <v>1.9508713562680637E-4</v>
      </c>
      <c r="D164" s="5">
        <v>5.3611480552336434E-4</v>
      </c>
      <c r="E164" s="5">
        <v>6.5037476493264728E-4</v>
      </c>
      <c r="F164" s="5">
        <v>1.2089475885582227E-3</v>
      </c>
      <c r="G164" s="5">
        <v>2.3104000681104272E-3</v>
      </c>
      <c r="H164" s="5">
        <v>1.080469606329467E-3</v>
      </c>
      <c r="I164" s="5">
        <v>1.1102544975641249E-3</v>
      </c>
      <c r="J164" s="5">
        <v>0.32922816310219294</v>
      </c>
      <c r="K164" s="5">
        <v>8.3448532073326464E-4</v>
      </c>
      <c r="L164" s="5">
        <v>1.7650771324983297E-3</v>
      </c>
      <c r="M164" s="5">
        <v>1.2927623304760019E-3</v>
      </c>
      <c r="N164" s="5">
        <v>1.8287216707059981E-4</v>
      </c>
      <c r="O164" s="5">
        <v>1.1053286527911476E-3</v>
      </c>
      <c r="P164" s="5">
        <v>1.6109006991383644E-3</v>
      </c>
      <c r="Q164" s="5">
        <v>1.348941400978057E-3</v>
      </c>
      <c r="R164" s="5">
        <v>8.4960465302653281E-4</v>
      </c>
      <c r="S164" s="5">
        <v>7.4887989026161208E-4</v>
      </c>
      <c r="T164" s="5">
        <v>2.9327984390417517E-3</v>
      </c>
      <c r="U164" s="5">
        <v>1.1061676626970952E-3</v>
      </c>
    </row>
    <row r="165" spans="1:21" x14ac:dyDescent="0.2">
      <c r="A165" s="3" t="s">
        <v>10</v>
      </c>
      <c r="B165" s="5">
        <v>1.9446643135870871E-3</v>
      </c>
      <c r="C165" s="5">
        <v>1.8538278730264159E-3</v>
      </c>
      <c r="D165" s="5">
        <v>3.4608188759141655E-3</v>
      </c>
      <c r="E165" s="5">
        <v>3.1838165188072345E-3</v>
      </c>
      <c r="F165" s="5">
        <v>6.3139695453974945E-3</v>
      </c>
      <c r="G165" s="5">
        <v>9.6825689702172146E-3</v>
      </c>
      <c r="H165" s="5">
        <v>2.77238683480115E-3</v>
      </c>
      <c r="I165" s="5">
        <v>7.4709328861104042E-3</v>
      </c>
      <c r="J165" s="5">
        <v>5.4215682203752804E-3</v>
      </c>
      <c r="K165" s="5">
        <v>0.24021232861373965</v>
      </c>
      <c r="L165" s="5">
        <v>1.1613105770934046E-2</v>
      </c>
      <c r="M165" s="5">
        <v>1.0981970177154323E-2</v>
      </c>
      <c r="N165" s="5">
        <v>2.0999742977951407E-3</v>
      </c>
      <c r="O165" s="5">
        <v>1.3205606036936579E-2</v>
      </c>
      <c r="P165" s="5">
        <v>7.8960553094828238E-3</v>
      </c>
      <c r="Q165" s="5">
        <v>2.017915022782996E-2</v>
      </c>
      <c r="R165" s="5">
        <v>7.8144768699446882E-3</v>
      </c>
      <c r="S165" s="5">
        <v>9.2824256865227488E-3</v>
      </c>
      <c r="T165" s="5">
        <v>1.1154036176596778E-2</v>
      </c>
      <c r="U165" s="5">
        <v>7.3017111613314914E-3</v>
      </c>
    </row>
    <row r="166" spans="1:21" x14ac:dyDescent="0.2">
      <c r="A166" s="3" t="s">
        <v>11</v>
      </c>
      <c r="B166" s="5">
        <v>7.0503757184980434E-3</v>
      </c>
      <c r="C166" s="5">
        <v>6.0782164043612762E-3</v>
      </c>
      <c r="D166" s="5">
        <v>1.2868820489287997E-2</v>
      </c>
      <c r="E166" s="5">
        <v>1.2242107260462751E-2</v>
      </c>
      <c r="F166" s="5">
        <v>1.8674975068012547E-2</v>
      </c>
      <c r="G166" s="5">
        <v>4.5138461891016689E-2</v>
      </c>
      <c r="H166" s="5">
        <v>7.4051771185970278E-3</v>
      </c>
      <c r="I166" s="5">
        <v>2.683189197156368E-2</v>
      </c>
      <c r="J166" s="5">
        <v>2.4884600266264441E-2</v>
      </c>
      <c r="K166" s="5">
        <v>1.7990886236366594E-2</v>
      </c>
      <c r="L166" s="5">
        <v>0.56961444826315932</v>
      </c>
      <c r="M166" s="5">
        <v>8.7227504178519974E-2</v>
      </c>
      <c r="N166" s="5">
        <v>1.7706098910654201E-2</v>
      </c>
      <c r="O166" s="5">
        <v>1.7735958231937434E-2</v>
      </c>
      <c r="P166" s="5">
        <v>1.9602760497007952E-2</v>
      </c>
      <c r="Q166" s="21">
        <v>8.6410747320770503E-2</v>
      </c>
      <c r="R166" s="5">
        <v>1.1142296620116206E-2</v>
      </c>
      <c r="S166" s="5">
        <v>1.5451508262987792E-2</v>
      </c>
      <c r="T166" s="5">
        <v>2.123992204487174E-2</v>
      </c>
      <c r="U166" s="5">
        <v>1.8036055805560315E-2</v>
      </c>
    </row>
    <row r="167" spans="1:21" x14ac:dyDescent="0.2">
      <c r="A167" s="3" t="s">
        <v>12</v>
      </c>
      <c r="B167" s="5">
        <v>1.8807099973781253E-3</v>
      </c>
      <c r="C167" s="5">
        <v>2.6214544476862939E-3</v>
      </c>
      <c r="D167" s="5">
        <v>5.6026777531063433E-3</v>
      </c>
      <c r="E167" s="5">
        <v>6.4756468639087933E-3</v>
      </c>
      <c r="F167" s="5">
        <v>9.2578408311500635E-3</v>
      </c>
      <c r="G167" s="5">
        <v>8.4203843796715652E-2</v>
      </c>
      <c r="H167" s="5">
        <v>3.8374580002271397E-3</v>
      </c>
      <c r="I167" s="5">
        <v>3.0304940021000343E-2</v>
      </c>
      <c r="J167" s="5">
        <v>5.6901228574006896E-2</v>
      </c>
      <c r="K167" s="5">
        <v>1.2894257269743055E-2</v>
      </c>
      <c r="L167" s="5">
        <v>1.1610525443269315E-2</v>
      </c>
      <c r="M167" s="5">
        <v>0.50652707095531135</v>
      </c>
      <c r="N167" s="5">
        <v>1.82248114486984E-3</v>
      </c>
      <c r="O167" s="5">
        <v>1.5092074373513498E-2</v>
      </c>
      <c r="P167" s="5">
        <v>1.2981283435654479E-2</v>
      </c>
      <c r="Q167" s="5">
        <v>1.3174626733770423E-2</v>
      </c>
      <c r="R167" s="5">
        <v>1.3436386683005726E-2</v>
      </c>
      <c r="S167" s="5">
        <v>1.8421028690759185E-2</v>
      </c>
      <c r="T167" s="5">
        <v>2.2380817168163009E-2</v>
      </c>
      <c r="U167" s="5">
        <v>3.3795123933155737E-2</v>
      </c>
    </row>
    <row r="168" spans="1:21" x14ac:dyDescent="0.2">
      <c r="A168" s="3" t="s">
        <v>13</v>
      </c>
      <c r="B168" s="5">
        <v>0</v>
      </c>
      <c r="C168" s="5">
        <v>0</v>
      </c>
      <c r="D168" s="5">
        <v>0</v>
      </c>
      <c r="E168" s="5">
        <v>0</v>
      </c>
      <c r="F168" s="5">
        <v>0</v>
      </c>
      <c r="G168" s="5">
        <v>0</v>
      </c>
      <c r="H168" s="5">
        <v>0</v>
      </c>
      <c r="I168" s="5">
        <v>0</v>
      </c>
      <c r="J168" s="5">
        <v>0</v>
      </c>
      <c r="K168" s="5">
        <v>0</v>
      </c>
      <c r="L168" s="5">
        <v>0</v>
      </c>
      <c r="M168" s="5">
        <v>0</v>
      </c>
      <c r="N168" s="5">
        <v>0.8284085122891528</v>
      </c>
      <c r="O168" s="5">
        <v>0</v>
      </c>
      <c r="P168" s="5">
        <v>0</v>
      </c>
      <c r="Q168" s="5">
        <v>0</v>
      </c>
      <c r="R168" s="5">
        <v>0</v>
      </c>
      <c r="S168" s="5">
        <v>0</v>
      </c>
      <c r="T168" s="5">
        <v>0</v>
      </c>
      <c r="U168" s="5">
        <v>0</v>
      </c>
    </row>
    <row r="169" spans="1:21" x14ac:dyDescent="0.2">
      <c r="A169" s="3" t="s">
        <v>14</v>
      </c>
      <c r="B169" s="5">
        <v>6.4905360447775843E-3</v>
      </c>
      <c r="C169" s="5">
        <v>5.844084262158232E-3</v>
      </c>
      <c r="D169" s="5">
        <v>6.3538884340055887E-3</v>
      </c>
      <c r="E169" s="5">
        <v>1.8785303312874441E-2</v>
      </c>
      <c r="F169" s="5">
        <v>1.5839956202459825E-2</v>
      </c>
      <c r="G169" s="5">
        <v>2.4535184040772845E-2</v>
      </c>
      <c r="H169" s="5">
        <v>5.8499679387708017E-3</v>
      </c>
      <c r="I169" s="5">
        <v>2.7157326666785622E-2</v>
      </c>
      <c r="J169" s="5">
        <v>1.5327037616722631E-2</v>
      </c>
      <c r="K169" s="5">
        <v>2.6940317516752885E-2</v>
      </c>
      <c r="L169" s="5">
        <v>1.6699531954744811E-2</v>
      </c>
      <c r="M169" s="5">
        <v>3.8709301838185307E-2</v>
      </c>
      <c r="N169" s="5">
        <v>1.0145186238806203E-2</v>
      </c>
      <c r="O169" s="5">
        <v>0.46227451605097591</v>
      </c>
      <c r="P169" s="5">
        <v>1.8880778150664822E-2</v>
      </c>
      <c r="Q169" s="5">
        <v>2.2640185473995145E-2</v>
      </c>
      <c r="R169" s="5">
        <v>1.3101478066014208E-2</v>
      </c>
      <c r="S169" s="5">
        <v>1.2766062501619914E-2</v>
      </c>
      <c r="T169" s="5">
        <v>2.1710681187912945E-2</v>
      </c>
      <c r="U169" s="5">
        <v>1.74355610810298E-2</v>
      </c>
    </row>
    <row r="170" spans="1:21" x14ac:dyDescent="0.2">
      <c r="A170" s="3" t="s">
        <v>15</v>
      </c>
      <c r="B170" s="5">
        <v>2.1686629144526096E-3</v>
      </c>
      <c r="C170" s="5">
        <v>4.2719588177293696E-3</v>
      </c>
      <c r="D170" s="5">
        <v>9.415802860750614E-3</v>
      </c>
      <c r="E170" s="5">
        <v>9.8545552279498301E-3</v>
      </c>
      <c r="F170" s="5">
        <v>1.0252871836676241E-2</v>
      </c>
      <c r="G170" s="5">
        <v>1.9479324378363833E-2</v>
      </c>
      <c r="H170" s="5">
        <v>9.0595564837364188E-3</v>
      </c>
      <c r="I170" s="5">
        <v>1.4184313548476386E-2</v>
      </c>
      <c r="J170" s="5">
        <v>1.2854044542999264E-2</v>
      </c>
      <c r="K170" s="5">
        <v>1.6042121606083887E-2</v>
      </c>
      <c r="L170" s="5">
        <v>8.0678949360562854E-3</v>
      </c>
      <c r="M170" s="5">
        <v>3.5265874994334562E-2</v>
      </c>
      <c r="N170" s="5">
        <v>9.8555039119140042E-3</v>
      </c>
      <c r="O170" s="5">
        <v>1.0112753589850762E-2</v>
      </c>
      <c r="P170" s="5">
        <v>0.65158792079499384</v>
      </c>
      <c r="Q170" s="5">
        <v>1.8381070940455758E-2</v>
      </c>
      <c r="R170" s="5">
        <v>1.0587871774103955E-2</v>
      </c>
      <c r="S170" s="5">
        <v>1.8856489874079434E-2</v>
      </c>
      <c r="T170" s="5">
        <v>1.8855374371702316E-2</v>
      </c>
      <c r="U170" s="5">
        <v>1.195754851542729E-2</v>
      </c>
    </row>
    <row r="171" spans="1:21" x14ac:dyDescent="0.2">
      <c r="A171" s="3" t="s">
        <v>16</v>
      </c>
      <c r="B171" s="5">
        <v>3.2293290767958596E-4</v>
      </c>
      <c r="C171" s="5">
        <v>2.1996182654272832E-4</v>
      </c>
      <c r="D171" s="5">
        <v>1.0529541537219822E-3</v>
      </c>
      <c r="E171" s="5">
        <v>1.1639497898355063E-3</v>
      </c>
      <c r="F171" s="5">
        <v>1.048330802108779E-3</v>
      </c>
      <c r="G171" s="5">
        <v>3.9943873612363753E-3</v>
      </c>
      <c r="H171" s="5">
        <v>6.6659681535083696E-4</v>
      </c>
      <c r="I171" s="5">
        <v>1.9235573250915728E-3</v>
      </c>
      <c r="J171" s="5">
        <v>2.2957760542422307E-3</v>
      </c>
      <c r="K171" s="5">
        <v>1.8044078480413594E-3</v>
      </c>
      <c r="L171" s="5">
        <v>1.1391259827066192E-3</v>
      </c>
      <c r="M171" s="5">
        <v>4.0521137925237927E-3</v>
      </c>
      <c r="N171" s="5">
        <v>2.6531697746109165E-4</v>
      </c>
      <c r="O171" s="5">
        <v>1.6979751268738261E-3</v>
      </c>
      <c r="P171" s="5">
        <v>8.9001361117200682E-4</v>
      </c>
      <c r="Q171" s="5">
        <v>0.32856831132132469</v>
      </c>
      <c r="R171" s="5">
        <v>8.31572510641381E-4</v>
      </c>
      <c r="S171" s="5">
        <v>1.0642426838569745E-3</v>
      </c>
      <c r="T171" s="5">
        <v>3.9035765237077167E-3</v>
      </c>
      <c r="U171" s="5">
        <v>1.5678646672594165E-3</v>
      </c>
    </row>
    <row r="172" spans="1:21" x14ac:dyDescent="0.2">
      <c r="A172" s="3" t="s">
        <v>17</v>
      </c>
      <c r="B172" s="5">
        <v>3.1534660304059227E-4</v>
      </c>
      <c r="C172" s="5">
        <v>3.041209594636644E-4</v>
      </c>
      <c r="D172" s="5">
        <v>4.2022426880093092E-4</v>
      </c>
      <c r="E172" s="5">
        <v>5.3608463572224539E-4</v>
      </c>
      <c r="F172" s="5">
        <v>8.7454686178027455E-4</v>
      </c>
      <c r="G172" s="5">
        <v>1.9179307203066557E-3</v>
      </c>
      <c r="H172" s="5">
        <v>4.4195616871054138E-4</v>
      </c>
      <c r="I172" s="5">
        <v>2.4045383195295733E-3</v>
      </c>
      <c r="J172" s="5">
        <v>1.4178565872833677E-3</v>
      </c>
      <c r="K172" s="5">
        <v>1.895690879923194E-3</v>
      </c>
      <c r="L172" s="5">
        <v>1.0763794629296917E-3</v>
      </c>
      <c r="M172" s="5">
        <v>2.0171827212676109E-3</v>
      </c>
      <c r="N172" s="5">
        <v>3.535384960022057E-4</v>
      </c>
      <c r="O172" s="5">
        <v>1.7412065071829522E-3</v>
      </c>
      <c r="P172" s="5">
        <v>1.2783526433831761E-3</v>
      </c>
      <c r="Q172" s="5">
        <v>5.1277878502777622E-3</v>
      </c>
      <c r="R172" s="5">
        <v>0.72746150661387854</v>
      </c>
      <c r="S172" s="5">
        <v>1.2897578128277768E-3</v>
      </c>
      <c r="T172" s="5">
        <v>1.769184637256868E-3</v>
      </c>
      <c r="U172" s="5">
        <v>1.5269045974133637E-3</v>
      </c>
    </row>
    <row r="173" spans="1:21" x14ac:dyDescent="0.2">
      <c r="A173" s="3" t="s">
        <v>18</v>
      </c>
      <c r="B173" s="5">
        <v>1.5207019168299359E-4</v>
      </c>
      <c r="C173" s="5">
        <v>1.2622783679754515E-4</v>
      </c>
      <c r="D173" s="5">
        <v>3.0332680534648723E-4</v>
      </c>
      <c r="E173" s="5">
        <v>4.206920802441578E-4</v>
      </c>
      <c r="F173" s="5">
        <v>4.4635303354728726E-4</v>
      </c>
      <c r="G173" s="5">
        <v>1.2404808714655906E-3</v>
      </c>
      <c r="H173" s="5">
        <v>3.0339356278372712E-4</v>
      </c>
      <c r="I173" s="5">
        <v>9.1115871680130778E-4</v>
      </c>
      <c r="J173" s="5">
        <v>9.2368508899763656E-4</v>
      </c>
      <c r="K173" s="5">
        <v>7.6427509379031473E-4</v>
      </c>
      <c r="L173" s="5">
        <v>6.5073039552916159E-4</v>
      </c>
      <c r="M173" s="5">
        <v>1.0969337126626852E-3</v>
      </c>
      <c r="N173" s="5">
        <v>2.020944992721035E-4</v>
      </c>
      <c r="O173" s="5">
        <v>3.5903925584709119E-3</v>
      </c>
      <c r="P173" s="5">
        <v>1.5934808481505114E-3</v>
      </c>
      <c r="Q173" s="5">
        <v>5.6770346684936442E-3</v>
      </c>
      <c r="R173" s="5">
        <v>1.1010021654078257E-3</v>
      </c>
      <c r="S173" s="5">
        <v>0.59004563812692823</v>
      </c>
      <c r="T173" s="5">
        <v>2.0056517962036752E-2</v>
      </c>
      <c r="U173" s="5">
        <v>3.7941461253156112E-3</v>
      </c>
    </row>
    <row r="174" spans="1:21" x14ac:dyDescent="0.2">
      <c r="A174" s="3" t="s">
        <v>19</v>
      </c>
      <c r="B174" s="5">
        <v>9.8801376816950681E-5</v>
      </c>
      <c r="C174" s="5">
        <v>9.8062247770749946E-5</v>
      </c>
      <c r="D174" s="5">
        <v>2.0103304607039211E-4</v>
      </c>
      <c r="E174" s="5">
        <v>9.0543242008640887E-4</v>
      </c>
      <c r="F174" s="5">
        <v>4.1657309121493713E-4</v>
      </c>
      <c r="G174" s="5">
        <v>2.3161391967673872E-3</v>
      </c>
      <c r="H174" s="5">
        <v>2.5798221414094556E-4</v>
      </c>
      <c r="I174" s="5">
        <v>1.0442748170945862E-3</v>
      </c>
      <c r="J174" s="5">
        <v>9.3040388957166904E-4</v>
      </c>
      <c r="K174" s="5">
        <v>1.033635562066633E-3</v>
      </c>
      <c r="L174" s="5">
        <v>1.452965782442879E-3</v>
      </c>
      <c r="M174" s="5">
        <v>8.934047951117375E-4</v>
      </c>
      <c r="N174" s="5">
        <v>1.9177355857393958E-4</v>
      </c>
      <c r="O174" s="5">
        <v>8.1782737563628578E-4</v>
      </c>
      <c r="P174" s="5">
        <v>1.3562929539190543E-3</v>
      </c>
      <c r="Q174" s="5">
        <v>7.9383862128063615E-4</v>
      </c>
      <c r="R174" s="5">
        <v>5.5597582515689936E-3</v>
      </c>
      <c r="S174" s="5">
        <v>7.2685920815988793E-4</v>
      </c>
      <c r="T174" s="5">
        <v>0.57348318555319555</v>
      </c>
      <c r="U174" s="5">
        <v>1.4724937094450585E-3</v>
      </c>
    </row>
    <row r="175" spans="1:21" x14ac:dyDescent="0.2">
      <c r="A175" s="3" t="s">
        <v>20</v>
      </c>
      <c r="B175" s="5">
        <v>2.4531322950864146E-4</v>
      </c>
      <c r="C175" s="5">
        <v>2.8016469242990108E-4</v>
      </c>
      <c r="D175" s="5">
        <v>9.5210398726159381E-4</v>
      </c>
      <c r="E175" s="5">
        <v>1.0651896687539093E-3</v>
      </c>
      <c r="F175" s="5">
        <v>6.5846675164755574E-4</v>
      </c>
      <c r="G175" s="5">
        <v>2.2979275961864751E-3</v>
      </c>
      <c r="H175" s="5">
        <v>9.4235661984699663E-4</v>
      </c>
      <c r="I175" s="5">
        <v>6.7076513981249386E-3</v>
      </c>
      <c r="J175" s="5">
        <v>1.2883915700403646E-3</v>
      </c>
      <c r="K175" s="5">
        <v>1.6818344896667922E-3</v>
      </c>
      <c r="L175" s="5">
        <v>1.1984332563714753E-3</v>
      </c>
      <c r="M175" s="5">
        <v>1.8750215746253305E-3</v>
      </c>
      <c r="N175" s="5">
        <v>1.97747580545408E-3</v>
      </c>
      <c r="O175" s="5">
        <v>1.4549991829385395E-3</v>
      </c>
      <c r="P175" s="5">
        <v>2.8514063464551505E-3</v>
      </c>
      <c r="Q175" s="5">
        <v>4.7362175119634187E-3</v>
      </c>
      <c r="R175" s="5">
        <v>4.7709176643401796E-3</v>
      </c>
      <c r="S175" s="5">
        <v>4.5505822214944661E-3</v>
      </c>
      <c r="T175" s="5">
        <v>1.1471310201098104E-2</v>
      </c>
      <c r="U175" s="5">
        <v>0.62190897543716273</v>
      </c>
    </row>
    <row r="184" spans="1:10" ht="64" customHeight="1" x14ac:dyDescent="0.2">
      <c r="A184" s="22" t="s">
        <v>47</v>
      </c>
      <c r="B184" s="23"/>
      <c r="C184" s="23"/>
      <c r="D184" s="23"/>
      <c r="E184" s="23"/>
      <c r="F184" s="23"/>
      <c r="G184" s="23"/>
    </row>
    <row r="185" spans="1:10" ht="79" customHeight="1" x14ac:dyDescent="0.2">
      <c r="A185" s="3" t="s">
        <v>0</v>
      </c>
      <c r="B185" s="8" t="s">
        <v>40</v>
      </c>
      <c r="C185" s="8" t="s">
        <v>41</v>
      </c>
      <c r="D185" s="8" t="s">
        <v>42</v>
      </c>
      <c r="E185" s="8" t="s">
        <v>43</v>
      </c>
      <c r="F185" s="8" t="s">
        <v>44</v>
      </c>
      <c r="G185" s="8" t="s">
        <v>46</v>
      </c>
    </row>
    <row r="186" spans="1:10" x14ac:dyDescent="0.2">
      <c r="A186" s="3" t="s">
        <v>1</v>
      </c>
      <c r="B186" s="5">
        <v>309.90828221265002</v>
      </c>
      <c r="C186" s="5">
        <v>9.6674489717477421</v>
      </c>
      <c r="D186" s="5">
        <v>21.036012807042436</v>
      </c>
      <c r="E186" s="5">
        <v>28.960728102769721</v>
      </c>
      <c r="F186" s="5">
        <v>372.42600227628611</v>
      </c>
      <c r="G186" s="5">
        <v>741.99860040400836</v>
      </c>
      <c r="J186" s="4" t="s">
        <v>85</v>
      </c>
    </row>
    <row r="187" spans="1:10" x14ac:dyDescent="0.2">
      <c r="A187" s="3" t="s">
        <v>2</v>
      </c>
      <c r="B187" s="5">
        <v>15529.41604787084</v>
      </c>
      <c r="C187" s="5">
        <v>5804.2027049072067</v>
      </c>
      <c r="D187" s="5">
        <v>21601.066652954618</v>
      </c>
      <c r="E187" s="5">
        <v>3468.5927280103183</v>
      </c>
      <c r="F187" s="5">
        <v>430214.53168574057</v>
      </c>
      <c r="G187" s="5">
        <v>476617.8098477475</v>
      </c>
    </row>
    <row r="188" spans="1:10" x14ac:dyDescent="0.2">
      <c r="A188" s="3" t="s">
        <v>3</v>
      </c>
      <c r="B188" s="5">
        <v>6449.6730539255823</v>
      </c>
      <c r="C188" s="5">
        <v>3489.1114219651549</v>
      </c>
      <c r="D188" s="5">
        <v>1408.7790595598099</v>
      </c>
      <c r="E188" s="5">
        <v>14.735187370714376</v>
      </c>
      <c r="F188" s="5">
        <v>12514.802489330452</v>
      </c>
      <c r="G188" s="5">
        <v>23877.101222428046</v>
      </c>
    </row>
    <row r="189" spans="1:10" x14ac:dyDescent="0.2">
      <c r="A189" s="3" t="s">
        <v>4</v>
      </c>
      <c r="B189" s="5">
        <v>5049.0589685168916</v>
      </c>
      <c r="C189" s="5">
        <v>753.7989666295706</v>
      </c>
      <c r="D189" s="5">
        <v>58549.87783079622</v>
      </c>
      <c r="E189" s="5">
        <v>7.8136998500179349</v>
      </c>
      <c r="F189" s="5">
        <v>6724.5005895009017</v>
      </c>
      <c r="G189" s="5">
        <v>71085.050049357116</v>
      </c>
    </row>
    <row r="190" spans="1:10" x14ac:dyDescent="0.2">
      <c r="A190" s="3" t="s">
        <v>5</v>
      </c>
      <c r="B190" s="5">
        <v>12954.549674680013</v>
      </c>
      <c r="C190" s="5">
        <v>2504.4308187134661</v>
      </c>
      <c r="D190" s="5">
        <v>11688.215303401101</v>
      </c>
      <c r="E190" s="5">
        <v>130.55680954832152</v>
      </c>
      <c r="F190" s="5">
        <v>288749.60615468019</v>
      </c>
      <c r="G190" s="5">
        <v>316027.35888070602</v>
      </c>
    </row>
    <row r="191" spans="1:10" x14ac:dyDescent="0.2">
      <c r="A191" s="3" t="s">
        <v>6</v>
      </c>
      <c r="B191" s="5">
        <v>12661.770228757712</v>
      </c>
      <c r="C191" s="5">
        <v>184.23082219114312</v>
      </c>
      <c r="D191" s="5">
        <v>427.77630528233999</v>
      </c>
      <c r="E191" s="5">
        <v>0.99527734499372988</v>
      </c>
      <c r="F191" s="5">
        <v>3523.5594656675476</v>
      </c>
      <c r="G191" s="5">
        <v>16798.332100876334</v>
      </c>
    </row>
    <row r="192" spans="1:10" x14ac:dyDescent="0.2">
      <c r="A192" s="3" t="s">
        <v>7</v>
      </c>
      <c r="B192" s="5">
        <v>14676.070711620119</v>
      </c>
      <c r="C192" s="5">
        <v>4171.1426215449519</v>
      </c>
      <c r="D192" s="5">
        <v>3126.5607972278453</v>
      </c>
      <c r="E192" s="5">
        <v>59.501393051463708</v>
      </c>
      <c r="F192" s="5">
        <v>298111.50909048313</v>
      </c>
      <c r="G192" s="5">
        <v>320144.78477185988</v>
      </c>
    </row>
    <row r="193" spans="1:7" x14ac:dyDescent="0.2">
      <c r="A193" s="3" t="s">
        <v>8</v>
      </c>
      <c r="B193" s="5">
        <v>1749.7107650647981</v>
      </c>
      <c r="C193" s="5">
        <v>181.68444340124003</v>
      </c>
      <c r="D193" s="5">
        <v>148.62979611344937</v>
      </c>
      <c r="E193" s="5">
        <v>0.74438634505888057</v>
      </c>
      <c r="F193" s="5">
        <v>4456.6478083268094</v>
      </c>
      <c r="G193" s="5">
        <v>6537.4171999365326</v>
      </c>
    </row>
    <row r="194" spans="1:7" x14ac:dyDescent="0.2">
      <c r="A194" s="3" t="s">
        <v>9</v>
      </c>
      <c r="B194" s="5">
        <v>9464.0922267450351</v>
      </c>
      <c r="C194" s="5">
        <v>450.28145421170302</v>
      </c>
      <c r="D194" s="5">
        <v>274.31074924709236</v>
      </c>
      <c r="E194" s="5">
        <v>1.8147815533958469</v>
      </c>
      <c r="F194" s="5">
        <v>4619.7098876596356</v>
      </c>
      <c r="G194" s="5">
        <v>14810.209200912277</v>
      </c>
    </row>
    <row r="195" spans="1:7" x14ac:dyDescent="0.2">
      <c r="A195" s="3" t="s">
        <v>10</v>
      </c>
      <c r="B195" s="5">
        <v>11839.764925196796</v>
      </c>
      <c r="C195" s="5">
        <v>5901.3629352871949</v>
      </c>
      <c r="D195" s="5">
        <v>13496.342471796772</v>
      </c>
      <c r="E195" s="5">
        <v>30.360778505407477</v>
      </c>
      <c r="F195" s="5">
        <v>151407.97456203026</v>
      </c>
      <c r="G195" s="5">
        <v>182675.80555754763</v>
      </c>
    </row>
    <row r="196" spans="1:7" x14ac:dyDescent="0.2">
      <c r="A196" s="3" t="s">
        <v>11</v>
      </c>
      <c r="B196" s="5">
        <v>38762.481336040939</v>
      </c>
      <c r="C196" s="5">
        <v>8780.4640590838353</v>
      </c>
      <c r="D196" s="5">
        <v>5437.0708525481687</v>
      </c>
      <c r="E196" s="5">
        <v>37.508989672406003</v>
      </c>
      <c r="F196" s="5">
        <v>116679.11263396364</v>
      </c>
      <c r="G196" s="5">
        <v>169696.63787954941</v>
      </c>
    </row>
    <row r="197" spans="1:7" x14ac:dyDescent="0.2">
      <c r="A197" s="3" t="s">
        <v>12</v>
      </c>
      <c r="B197" s="5">
        <v>8555.3823379650366</v>
      </c>
      <c r="C197" s="5">
        <v>2041.2859584486187</v>
      </c>
      <c r="D197" s="5">
        <v>11861.296945847929</v>
      </c>
      <c r="E197" s="5">
        <v>16.336625941791073</v>
      </c>
      <c r="F197" s="5">
        <v>16482.40763447604</v>
      </c>
      <c r="G197" s="5">
        <v>38956.709412204829</v>
      </c>
    </row>
    <row r="198" spans="1:7" x14ac:dyDescent="0.2">
      <c r="A198" s="3" t="s">
        <v>13</v>
      </c>
      <c r="B198" s="5">
        <v>24241.766800000001</v>
      </c>
      <c r="C198" s="5">
        <v>0</v>
      </c>
      <c r="D198" s="5">
        <v>0</v>
      </c>
      <c r="E198" s="5">
        <v>0</v>
      </c>
      <c r="F198" s="5">
        <v>503.63319999999999</v>
      </c>
      <c r="G198" s="5">
        <v>24745.4</v>
      </c>
    </row>
    <row r="199" spans="1:7" x14ac:dyDescent="0.2">
      <c r="A199" s="3" t="s">
        <v>14</v>
      </c>
      <c r="B199" s="5">
        <v>5897.8968479872219</v>
      </c>
      <c r="C199" s="5">
        <v>4049.6184420164609</v>
      </c>
      <c r="D199" s="5">
        <v>11975.114174277202</v>
      </c>
      <c r="E199" s="5">
        <v>61.292025836725863</v>
      </c>
      <c r="F199" s="5">
        <v>55876.987888748306</v>
      </c>
      <c r="G199" s="5">
        <v>77860.90937898113</v>
      </c>
    </row>
    <row r="200" spans="1:7" x14ac:dyDescent="0.2">
      <c r="A200" s="3" t="s">
        <v>15</v>
      </c>
      <c r="B200" s="5">
        <v>3692.5461112598814</v>
      </c>
      <c r="C200" s="5">
        <v>1834.048486830822</v>
      </c>
      <c r="D200" s="5">
        <v>1960.6527433469248</v>
      </c>
      <c r="E200" s="5">
        <v>21.339467284571363</v>
      </c>
      <c r="F200" s="5">
        <v>22713.479386811716</v>
      </c>
      <c r="G200" s="5">
        <v>30222.066195764644</v>
      </c>
    </row>
    <row r="201" spans="1:7" x14ac:dyDescent="0.2">
      <c r="A201" s="3" t="s">
        <v>16</v>
      </c>
      <c r="B201" s="5">
        <v>1341.9379369341361</v>
      </c>
      <c r="C201" s="5">
        <v>41354.836873079876</v>
      </c>
      <c r="D201" s="5">
        <v>841.42970120593156</v>
      </c>
      <c r="E201" s="5">
        <v>1.851255581048342</v>
      </c>
      <c r="F201" s="5">
        <v>3748.9338309685832</v>
      </c>
      <c r="G201" s="5">
        <v>47288.989699374572</v>
      </c>
    </row>
    <row r="202" spans="1:7" x14ac:dyDescent="0.2">
      <c r="A202" s="3" t="s">
        <v>17</v>
      </c>
      <c r="B202" s="5">
        <v>7239.5932513154185</v>
      </c>
      <c r="C202" s="5">
        <v>10127.641696949757</v>
      </c>
      <c r="D202" s="5">
        <v>319.93013874892398</v>
      </c>
      <c r="E202" s="5">
        <v>1.2866585598475921</v>
      </c>
      <c r="F202" s="5">
        <v>4240.7087527050617</v>
      </c>
      <c r="G202" s="5">
        <v>21929.160498877867</v>
      </c>
    </row>
    <row r="203" spans="1:7" x14ac:dyDescent="0.2">
      <c r="A203" s="3" t="s">
        <v>18</v>
      </c>
      <c r="B203" s="5">
        <v>14783.660588343571</v>
      </c>
      <c r="C203" s="5">
        <v>11512.114515857795</v>
      </c>
      <c r="D203" s="5">
        <v>243.31746728342799</v>
      </c>
      <c r="E203" s="5">
        <v>0.83235548617381838</v>
      </c>
      <c r="F203" s="5">
        <v>1866.2084769748631</v>
      </c>
      <c r="G203" s="5">
        <v>28406.133405017939</v>
      </c>
    </row>
    <row r="204" spans="1:7" x14ac:dyDescent="0.2">
      <c r="A204" s="3" t="s">
        <v>19</v>
      </c>
      <c r="B204" s="5">
        <v>3810.4858462184002</v>
      </c>
      <c r="C204" s="5">
        <v>1374.2184506629083</v>
      </c>
      <c r="D204" s="5">
        <v>205.47307413720884</v>
      </c>
      <c r="E204" s="5">
        <v>0.54389400384853437</v>
      </c>
      <c r="F204" s="5">
        <v>3240.2650413547967</v>
      </c>
      <c r="G204" s="5">
        <v>8630.9863064801957</v>
      </c>
    </row>
    <row r="205" spans="1:7" x14ac:dyDescent="0.2">
      <c r="A205" s="3" t="s">
        <v>20</v>
      </c>
      <c r="B205" s="5">
        <v>7708.4615433902163</v>
      </c>
      <c r="C205" s="5">
        <v>566.24067106461098</v>
      </c>
      <c r="D205" s="5">
        <v>220.24581940732764</v>
      </c>
      <c r="E205" s="5">
        <v>1.3474329475104323</v>
      </c>
      <c r="F205" s="5">
        <v>1662.9037331093416</v>
      </c>
      <c r="G205" s="5">
        <v>10159.199200619898</v>
      </c>
    </row>
    <row r="212" spans="1:10" ht="19" x14ac:dyDescent="0.2">
      <c r="A212" s="22" t="s">
        <v>50</v>
      </c>
      <c r="B212" s="23"/>
      <c r="C212" s="23"/>
      <c r="D212" s="23"/>
      <c r="E212" s="23"/>
      <c r="F212" s="23"/>
      <c r="G212" s="23"/>
      <c r="I212" s="4" t="s">
        <v>86</v>
      </c>
    </row>
    <row r="213" spans="1:10" ht="85" x14ac:dyDescent="0.2">
      <c r="A213" s="3" t="s">
        <v>0</v>
      </c>
      <c r="B213" s="8" t="s">
        <v>48</v>
      </c>
      <c r="C213" s="8" t="s">
        <v>22</v>
      </c>
      <c r="D213" s="8" t="s">
        <v>23</v>
      </c>
      <c r="E213" s="8" t="s">
        <v>24</v>
      </c>
      <c r="F213" s="8" t="s">
        <v>25</v>
      </c>
      <c r="G213" s="8" t="s">
        <v>49</v>
      </c>
    </row>
    <row r="214" spans="1:10" x14ac:dyDescent="0.2">
      <c r="A214" s="3" t="s">
        <v>1</v>
      </c>
      <c r="B214" s="5" cm="1">
        <f t="array" ref="B214:B233">TRANSPOSE(MMULT(B64:U64,B129:U148))</f>
        <v>0.56877381189222487</v>
      </c>
      <c r="C214" s="5" cm="1">
        <f t="array" ref="C214:C233">TRANSPOSE(MMULT(B65:U65,B129:U148))</f>
        <v>5.4498495707707671E-3</v>
      </c>
      <c r="D214" s="5" cm="1">
        <f t="array" ref="D214:D233">TRANSPOSE(MMULT(B66:U66,B129:U148))</f>
        <v>0.17792330931244227</v>
      </c>
      <c r="E214" s="5" cm="1">
        <f t="array" ref="E214:E233">TRANSPOSE(MMULT(B67:U67,B129:U148))</f>
        <v>1.1609773181573271E-2</v>
      </c>
      <c r="F214" s="5" cm="1">
        <f t="array" ref="F214:F233">TRANSPOSE(MMULT(B68:U68,B129:U148))</f>
        <v>0.23624291753998036</v>
      </c>
      <c r="G214" s="5">
        <f>SUM(B214:F214)</f>
        <v>0.9999996614969916</v>
      </c>
    </row>
    <row r="215" spans="1:10" x14ac:dyDescent="0.2">
      <c r="A215" s="3" t="s">
        <v>2</v>
      </c>
      <c r="B215" s="5">
        <v>0.59770021925083783</v>
      </c>
      <c r="C215" s="5">
        <v>9.2536206589813211E-4</v>
      </c>
      <c r="D215" s="5">
        <v>9.1457592318214889E-2</v>
      </c>
      <c r="E215" s="5">
        <v>2.5564496595216865E-3</v>
      </c>
      <c r="F215" s="5">
        <v>0.30736037696222007</v>
      </c>
      <c r="G215" s="5">
        <f t="shared" ref="G215:G233" si="0">SUM(B215:F215)</f>
        <v>1.0000000002566927</v>
      </c>
      <c r="J215" s="4" t="s">
        <v>87</v>
      </c>
    </row>
    <row r="216" spans="1:10" x14ac:dyDescent="0.2">
      <c r="A216" s="3" t="s">
        <v>3</v>
      </c>
      <c r="B216" s="5">
        <v>0.51290223952898828</v>
      </c>
      <c r="C216" s="5">
        <v>1.1487748181598522E-2</v>
      </c>
      <c r="D216" s="5">
        <v>0.12175418215267055</v>
      </c>
      <c r="E216" s="5">
        <v>1.4357542186549674E-2</v>
      </c>
      <c r="F216" s="5">
        <v>0.33949827773064728</v>
      </c>
      <c r="G216" s="5">
        <f t="shared" si="0"/>
        <v>0.99999998978045435</v>
      </c>
    </row>
    <row r="217" spans="1:10" x14ac:dyDescent="0.2">
      <c r="A217" s="3" t="s">
        <v>4</v>
      </c>
      <c r="B217" s="5">
        <v>0.40816102083379202</v>
      </c>
      <c r="C217" s="5">
        <v>1.630827649541793E-3</v>
      </c>
      <c r="D217" s="5">
        <v>0.36770642129376535</v>
      </c>
      <c r="E217" s="5">
        <v>3.759674467264805E-2</v>
      </c>
      <c r="F217" s="5">
        <v>0.18490498322322729</v>
      </c>
      <c r="G217" s="5">
        <f t="shared" si="0"/>
        <v>0.99999999767297454</v>
      </c>
    </row>
    <row r="218" spans="1:10" x14ac:dyDescent="0.2">
      <c r="A218" s="3" t="s">
        <v>5</v>
      </c>
      <c r="B218" s="20">
        <v>0.42772449051032502</v>
      </c>
      <c r="C218" s="5">
        <v>1.6001776731938567E-3</v>
      </c>
      <c r="D218" s="5">
        <v>0.13054496148205069</v>
      </c>
      <c r="E218" s="5">
        <v>6.4007982289660654E-4</v>
      </c>
      <c r="F218" s="5">
        <v>0.43949028969783827</v>
      </c>
      <c r="G218" s="5">
        <f t="shared" si="0"/>
        <v>0.99999999918630444</v>
      </c>
    </row>
    <row r="219" spans="1:10" x14ac:dyDescent="0.2">
      <c r="A219" s="3" t="s">
        <v>6</v>
      </c>
      <c r="B219" s="5">
        <v>0.23899206253035188</v>
      </c>
      <c r="C219" s="5">
        <v>5.3981875408603509E-3</v>
      </c>
      <c r="D219" s="5">
        <v>0.4138513938947071</v>
      </c>
      <c r="E219" s="5">
        <v>4.9227091017146852E-3</v>
      </c>
      <c r="F219" s="5">
        <v>0.33683565234977347</v>
      </c>
      <c r="G219" s="5">
        <f t="shared" si="0"/>
        <v>1.0000000054174074</v>
      </c>
    </row>
    <row r="220" spans="1:10" x14ac:dyDescent="0.2">
      <c r="A220" s="3" t="s">
        <v>7</v>
      </c>
      <c r="B220" s="5">
        <v>0.57250476430151298</v>
      </c>
      <c r="C220" s="5">
        <v>2.7665997928792928E-3</v>
      </c>
      <c r="D220" s="5">
        <v>9.3003714520918046E-2</v>
      </c>
      <c r="E220" s="5">
        <v>2.3226204094878044E-3</v>
      </c>
      <c r="F220" s="5">
        <v>0.3294023008524179</v>
      </c>
      <c r="G220" s="5">
        <f t="shared" si="0"/>
        <v>0.99999999987721599</v>
      </c>
    </row>
    <row r="221" spans="1:10" x14ac:dyDescent="0.2">
      <c r="A221" s="3" t="s">
        <v>8</v>
      </c>
      <c r="B221" s="5">
        <v>0.23572830471744435</v>
      </c>
      <c r="C221" s="5">
        <v>6.1964671094577994E-3</v>
      </c>
      <c r="D221" s="5">
        <v>0.33278027453968378</v>
      </c>
      <c r="E221" s="5">
        <v>1.6868665390738825E-2</v>
      </c>
      <c r="F221" s="5">
        <v>0.40842630220938531</v>
      </c>
      <c r="G221" s="5">
        <f t="shared" si="0"/>
        <v>1.00000001396671</v>
      </c>
    </row>
    <row r="222" spans="1:10" x14ac:dyDescent="0.2">
      <c r="A222" s="3" t="s">
        <v>9</v>
      </c>
      <c r="B222" s="5">
        <v>0.39559389029497311</v>
      </c>
      <c r="C222" s="5">
        <v>3.0272838508396051E-2</v>
      </c>
      <c r="D222" s="5">
        <v>0.34145717297883782</v>
      </c>
      <c r="E222" s="5">
        <v>-8.4449398636824852E-3</v>
      </c>
      <c r="F222" s="5">
        <v>0.24112104264354717</v>
      </c>
      <c r="G222" s="5">
        <f t="shared" si="0"/>
        <v>1.0000000045620716</v>
      </c>
    </row>
    <row r="223" spans="1:10" x14ac:dyDescent="0.2">
      <c r="A223" s="3" t="s">
        <v>10</v>
      </c>
      <c r="B223" s="5">
        <v>0.59965429248204427</v>
      </c>
      <c r="C223" s="5">
        <v>7.0830801922394026E-3</v>
      </c>
      <c r="D223" s="5">
        <v>0.2277928587684937</v>
      </c>
      <c r="E223" s="5">
        <v>1.0240081294488929E-3</v>
      </c>
      <c r="F223" s="5">
        <v>0.16444575861540175</v>
      </c>
      <c r="G223" s="5">
        <f t="shared" si="0"/>
        <v>0.99999999818762808</v>
      </c>
    </row>
    <row r="224" spans="1:10" x14ac:dyDescent="0.2">
      <c r="A224" s="3" t="s">
        <v>11</v>
      </c>
      <c r="B224" s="5">
        <v>0.341673960487548</v>
      </c>
      <c r="C224" s="5">
        <v>1.238961879134092E-2</v>
      </c>
      <c r="D224" s="5">
        <v>0.28113237962348925</v>
      </c>
      <c r="E224" s="5">
        <v>4.0497144289369167E-4</v>
      </c>
      <c r="F224" s="5">
        <v>0.36439906875833711</v>
      </c>
      <c r="G224" s="5">
        <f t="shared" si="0"/>
        <v>0.99999999910360882</v>
      </c>
    </row>
    <row r="225" spans="1:7" x14ac:dyDescent="0.2">
      <c r="A225" s="3" t="s">
        <v>12</v>
      </c>
      <c r="B225" s="5">
        <v>0.21171663876208688</v>
      </c>
      <c r="C225" s="5">
        <v>1.3789467797279817E-2</v>
      </c>
      <c r="D225" s="5">
        <v>0.22936397401757228</v>
      </c>
      <c r="E225" s="5">
        <v>5.0318787854180036E-2</v>
      </c>
      <c r="F225" s="5">
        <v>0.4948111306291153</v>
      </c>
      <c r="G225" s="5">
        <f t="shared" si="0"/>
        <v>0.99999999906023429</v>
      </c>
    </row>
    <row r="226" spans="1:7" x14ac:dyDescent="0.2">
      <c r="A226" s="3" t="s">
        <v>13</v>
      </c>
      <c r="B226" s="5">
        <v>6.6652742100347204E-2</v>
      </c>
      <c r="C226" s="5">
        <v>6.7234506856044581E-4</v>
      </c>
      <c r="D226" s="5">
        <v>6.0352425057411271E-2</v>
      </c>
      <c r="E226" s="5">
        <v>4.9475992658086124E-2</v>
      </c>
      <c r="F226" s="5">
        <v>0.82284650282333727</v>
      </c>
      <c r="G226" s="5">
        <f t="shared" si="0"/>
        <v>1.0000000077077422</v>
      </c>
    </row>
    <row r="227" spans="1:7" x14ac:dyDescent="0.2">
      <c r="A227" s="3" t="s">
        <v>14</v>
      </c>
      <c r="B227" s="5">
        <v>0.40031674475759327</v>
      </c>
      <c r="C227" s="5">
        <v>3.8191653602727459E-3</v>
      </c>
      <c r="D227" s="5">
        <v>0.41659605336596389</v>
      </c>
      <c r="E227" s="5">
        <v>-3.3431394623210475E-3</v>
      </c>
      <c r="F227" s="5">
        <v>0.18261117441791183</v>
      </c>
      <c r="G227" s="5">
        <f t="shared" si="0"/>
        <v>0.99999999843942078</v>
      </c>
    </row>
    <row r="228" spans="1:7" x14ac:dyDescent="0.2">
      <c r="A228" s="3" t="s">
        <v>15</v>
      </c>
      <c r="B228" s="5">
        <v>0.22852142981231366</v>
      </c>
      <c r="C228" s="5">
        <v>2.4936345789210532E-3</v>
      </c>
      <c r="D228" s="5">
        <v>0.3901864367618067</v>
      </c>
      <c r="E228" s="5">
        <v>-3.6401683557200407E-3</v>
      </c>
      <c r="F228" s="5">
        <v>0.38243866344332961</v>
      </c>
      <c r="G228" s="5">
        <f t="shared" si="0"/>
        <v>0.99999999624065095</v>
      </c>
    </row>
    <row r="229" spans="1:7" x14ac:dyDescent="0.2">
      <c r="A229" s="3" t="s">
        <v>16</v>
      </c>
      <c r="B229" s="5">
        <v>0.3950850673654861</v>
      </c>
      <c r="C229" s="5">
        <v>8.3789829638954358E-3</v>
      </c>
      <c r="D229" s="5">
        <v>0.43005312965929737</v>
      </c>
      <c r="E229" s="5">
        <v>2.4901124929709723E-3</v>
      </c>
      <c r="F229" s="5">
        <v>0.16399270889068565</v>
      </c>
      <c r="G229" s="5">
        <f t="shared" si="0"/>
        <v>1.0000000013723356</v>
      </c>
    </row>
    <row r="230" spans="1:7" x14ac:dyDescent="0.2">
      <c r="A230" s="3" t="s">
        <v>17</v>
      </c>
      <c r="B230" s="5">
        <v>0.15201031456709246</v>
      </c>
      <c r="C230" s="5">
        <v>8.121752377366882E-3</v>
      </c>
      <c r="D230" s="5">
        <v>0.64940308985901229</v>
      </c>
      <c r="E230" s="5">
        <v>-3.3943220194598989E-3</v>
      </c>
      <c r="F230" s="5">
        <v>0.19385916477088566</v>
      </c>
      <c r="G230" s="5">
        <f t="shared" si="0"/>
        <v>0.99999999955489738</v>
      </c>
    </row>
    <row r="231" spans="1:7" x14ac:dyDescent="0.2">
      <c r="A231" s="3" t="s">
        <v>18</v>
      </c>
      <c r="B231" s="5">
        <v>0.22912726579122142</v>
      </c>
      <c r="C231" s="5">
        <v>3.3480563308881918E-2</v>
      </c>
      <c r="D231" s="5">
        <v>0.5977353961058568</v>
      </c>
      <c r="E231" s="5">
        <v>-2.5680225171698416E-4</v>
      </c>
      <c r="F231" s="5">
        <v>0.13991358052096137</v>
      </c>
      <c r="G231" s="5">
        <f t="shared" si="0"/>
        <v>1.0000000034752046</v>
      </c>
    </row>
    <row r="232" spans="1:7" x14ac:dyDescent="0.2">
      <c r="A232" s="3" t="s">
        <v>19</v>
      </c>
      <c r="B232" s="5">
        <v>0.21214868221203248</v>
      </c>
      <c r="C232" s="5">
        <v>1.6520357570361188E-2</v>
      </c>
      <c r="D232" s="5">
        <v>0.38522106001473166</v>
      </c>
      <c r="E232" s="5">
        <v>2.3290105171754064E-2</v>
      </c>
      <c r="F232" s="5">
        <v>0.36281979427166849</v>
      </c>
      <c r="G232" s="5">
        <f t="shared" si="0"/>
        <v>0.99999999924054794</v>
      </c>
    </row>
    <row r="233" spans="1:7" x14ac:dyDescent="0.2">
      <c r="A233" s="3" t="s">
        <v>20</v>
      </c>
      <c r="B233" s="5">
        <v>0.2175560377124946</v>
      </c>
      <c r="C233" s="5">
        <v>5.3216080674571434E-3</v>
      </c>
      <c r="D233" s="5">
        <v>0.6203761138240349</v>
      </c>
      <c r="E233" s="5">
        <v>3.6468830200270308E-2</v>
      </c>
      <c r="F233" s="5">
        <v>0.12027739992592237</v>
      </c>
      <c r="G233" s="5">
        <f t="shared" si="0"/>
        <v>0.99999998973017923</v>
      </c>
    </row>
  </sheetData>
  <mergeCells count="12">
    <mergeCell ref="AR52:BK52"/>
    <mergeCell ref="A5:W5"/>
    <mergeCell ref="A42:U42"/>
    <mergeCell ref="B73:U73"/>
    <mergeCell ref="W73:AP73"/>
    <mergeCell ref="A184:G184"/>
    <mergeCell ref="Z5:AE5"/>
    <mergeCell ref="A212:G212"/>
    <mergeCell ref="B100:U100"/>
    <mergeCell ref="A127:U127"/>
    <mergeCell ref="A154:U154"/>
    <mergeCell ref="W65:AP65"/>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A6C5D-9FAB-474F-96C0-F2950B7F45F9}">
  <dimension ref="A1:AT146"/>
  <sheetViews>
    <sheetView topLeftCell="A20" workbookViewId="0">
      <selection activeCell="G40" sqref="G40"/>
    </sheetView>
  </sheetViews>
  <sheetFormatPr baseColWidth="10" defaultRowHeight="16" x14ac:dyDescent="0.2"/>
  <cols>
    <col min="1" max="1" width="34" bestFit="1" customWidth="1"/>
    <col min="22" max="23" width="13.83203125" customWidth="1"/>
    <col min="24" max="24" width="18.33203125" customWidth="1"/>
    <col min="26" max="26" width="12.1640625" bestFit="1" customWidth="1"/>
  </cols>
  <sheetData>
    <row r="1" spans="1:46" ht="19" x14ac:dyDescent="0.2">
      <c r="A1" s="23" t="s">
        <v>29</v>
      </c>
      <c r="B1" s="23"/>
      <c r="C1" s="23"/>
      <c r="D1" s="23"/>
      <c r="E1" s="23"/>
      <c r="F1" s="23"/>
      <c r="G1" s="23"/>
      <c r="H1" s="23"/>
      <c r="I1" s="23"/>
      <c r="J1" s="23"/>
      <c r="K1" s="23"/>
      <c r="L1" s="23"/>
      <c r="M1" s="23"/>
      <c r="N1" s="23"/>
      <c r="O1" s="23"/>
      <c r="P1" s="23"/>
      <c r="Q1" s="23"/>
      <c r="R1" s="23"/>
      <c r="S1" s="23"/>
      <c r="T1" s="23"/>
      <c r="U1" s="23"/>
      <c r="V1" s="23"/>
      <c r="W1" s="23"/>
      <c r="X1" s="23"/>
      <c r="Y1" s="23"/>
    </row>
    <row r="2" spans="1:46" x14ac:dyDescent="0.2">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26</v>
      </c>
      <c r="W2" s="3" t="s">
        <v>83</v>
      </c>
      <c r="X2" s="3" t="s">
        <v>84</v>
      </c>
      <c r="Y2" s="3" t="s">
        <v>28</v>
      </c>
    </row>
    <row r="3" spans="1:46" x14ac:dyDescent="0.2">
      <c r="A3" s="3" t="s">
        <v>1</v>
      </c>
      <c r="B3" s="3" cm="1">
        <f t="array" ref="B3:U22">MMULT('5-6-7-8-11-9'!B74:U93,_xlfn.ANCHORARRAY('Dynamic T5'!AA3))</f>
        <v>150.38263661458703</v>
      </c>
      <c r="C3" s="3">
        <v>53.068625963826115</v>
      </c>
      <c r="D3" s="3">
        <v>1.5684679486405304</v>
      </c>
      <c r="E3" s="3">
        <v>6.1308831596684605</v>
      </c>
      <c r="F3" s="3">
        <v>6.380956107582505</v>
      </c>
      <c r="G3" s="3">
        <v>0.82504306881723444</v>
      </c>
      <c r="H3" s="3">
        <v>4.0463462806798924</v>
      </c>
      <c r="I3" s="3">
        <v>9.1054936583241251</v>
      </c>
      <c r="J3" s="3">
        <v>71.731123975885438</v>
      </c>
      <c r="K3" s="3">
        <v>8.427198095024993</v>
      </c>
      <c r="L3" s="3">
        <v>3.564210396130119</v>
      </c>
      <c r="M3" s="3">
        <v>2.0817653773721232</v>
      </c>
      <c r="N3" s="3">
        <v>0.27489999999999998</v>
      </c>
      <c r="O3" s="3">
        <v>2.9814041963724311</v>
      </c>
      <c r="P3" s="3">
        <v>5.6979723390804331</v>
      </c>
      <c r="Q3" s="3">
        <v>1.7832805547503785</v>
      </c>
      <c r="R3" s="3">
        <v>0.5240720285443029</v>
      </c>
      <c r="S3" s="3">
        <v>1.4950676260711344</v>
      </c>
      <c r="T3" s="3">
        <v>0.98396342391127933</v>
      </c>
      <c r="U3" s="3">
        <v>1.4024614761928333</v>
      </c>
      <c r="V3" s="3">
        <v>409.66480000000001</v>
      </c>
      <c r="W3" s="3"/>
      <c r="X3" s="3">
        <f>V3+W3</f>
        <v>409.66480000000001</v>
      </c>
      <c r="Y3" s="3" cm="1">
        <f t="array" ref="Y3:Y22">MMULT('5-6-7-8-11-9'!B129:U148,X3:X22)</f>
        <v>742.12067229146135</v>
      </c>
      <c r="AA3" cm="1">
        <f t="array" ref="AA3:AT22">IF(_xlfn.SEQUENCE(20,20)=TRANSPOSE(_xlfn.SEQUENCE(20,20)), Y3:Y22, 0)</f>
        <v>742.12067229146135</v>
      </c>
      <c r="AB3">
        <v>0</v>
      </c>
      <c r="AC3">
        <v>0</v>
      </c>
      <c r="AD3">
        <v>0</v>
      </c>
      <c r="AE3">
        <v>0</v>
      </c>
      <c r="AF3">
        <v>0</v>
      </c>
      <c r="AG3">
        <v>0</v>
      </c>
      <c r="AH3">
        <v>0</v>
      </c>
      <c r="AI3">
        <v>0</v>
      </c>
      <c r="AJ3">
        <v>0</v>
      </c>
      <c r="AK3">
        <v>0</v>
      </c>
      <c r="AL3">
        <v>0</v>
      </c>
      <c r="AM3">
        <v>0</v>
      </c>
      <c r="AN3">
        <v>0</v>
      </c>
      <c r="AO3">
        <v>0</v>
      </c>
      <c r="AP3">
        <v>0</v>
      </c>
      <c r="AQ3">
        <v>0</v>
      </c>
      <c r="AR3">
        <v>0</v>
      </c>
      <c r="AS3">
        <v>0</v>
      </c>
      <c r="AT3">
        <v>0</v>
      </c>
    </row>
    <row r="4" spans="1:46" x14ac:dyDescent="0.2">
      <c r="A4" s="3" t="s">
        <v>2</v>
      </c>
      <c r="B4" s="3">
        <v>39.589812174193597</v>
      </c>
      <c r="C4" s="3">
        <v>79312.358033225741</v>
      </c>
      <c r="D4" s="3">
        <v>384.8274639806973</v>
      </c>
      <c r="E4" s="3">
        <v>5453.1027695619496</v>
      </c>
      <c r="F4" s="3">
        <v>4662.6590704815353</v>
      </c>
      <c r="G4" s="3">
        <v>416.22777709962111</v>
      </c>
      <c r="H4" s="3">
        <v>15727.323259365732</v>
      </c>
      <c r="I4" s="3">
        <v>260.49535294154373</v>
      </c>
      <c r="J4" s="3">
        <v>1596.5766895606678</v>
      </c>
      <c r="K4" s="3">
        <v>8523.2480613919452</v>
      </c>
      <c r="L4" s="3">
        <v>736.92802883083505</v>
      </c>
      <c r="M4" s="3">
        <v>1315.6169771505056</v>
      </c>
      <c r="N4" s="3">
        <v>47.219299999999997</v>
      </c>
      <c r="O4" s="3">
        <v>7471.944482856934</v>
      </c>
      <c r="P4" s="3">
        <v>1408.830192339756</v>
      </c>
      <c r="Q4" s="3">
        <v>2303.1519905621531</v>
      </c>
      <c r="R4" s="3">
        <v>666.27140600574546</v>
      </c>
      <c r="S4" s="3">
        <v>1893.7897072156713</v>
      </c>
      <c r="T4" s="3">
        <v>224.49818631653514</v>
      </c>
      <c r="U4" s="3">
        <v>499.24976545249291</v>
      </c>
      <c r="V4" s="3">
        <v>343758.57280000002</v>
      </c>
      <c r="W4" s="3"/>
      <c r="X4" s="3">
        <f t="shared" ref="X4:X27" si="0">V4+W4</f>
        <v>343758.57280000002</v>
      </c>
      <c r="Y4" s="3">
        <v>476702.48112651421</v>
      </c>
      <c r="AA4">
        <v>0</v>
      </c>
      <c r="AB4">
        <v>476702.48112651421</v>
      </c>
      <c r="AC4">
        <v>0</v>
      </c>
      <c r="AD4">
        <v>0</v>
      </c>
      <c r="AE4">
        <v>0</v>
      </c>
      <c r="AF4">
        <v>0</v>
      </c>
      <c r="AG4">
        <v>0</v>
      </c>
      <c r="AH4">
        <v>0</v>
      </c>
      <c r="AI4">
        <v>0</v>
      </c>
      <c r="AJ4">
        <v>0</v>
      </c>
      <c r="AK4">
        <v>0</v>
      </c>
      <c r="AL4">
        <v>0</v>
      </c>
      <c r="AM4">
        <v>0</v>
      </c>
      <c r="AN4">
        <v>0</v>
      </c>
      <c r="AO4">
        <v>0</v>
      </c>
      <c r="AP4">
        <v>0</v>
      </c>
      <c r="AQ4">
        <v>0</v>
      </c>
      <c r="AR4">
        <v>0</v>
      </c>
      <c r="AS4">
        <v>0</v>
      </c>
      <c r="AT4">
        <v>0</v>
      </c>
    </row>
    <row r="5" spans="1:46" x14ac:dyDescent="0.2">
      <c r="A5" s="3" t="s">
        <v>3</v>
      </c>
      <c r="B5" s="3">
        <v>21.467531219147752</v>
      </c>
      <c r="C5" s="3">
        <v>4394.8661090361684</v>
      </c>
      <c r="D5" s="3">
        <v>4029.2843382424257</v>
      </c>
      <c r="E5" s="3">
        <v>221.32019131181374</v>
      </c>
      <c r="F5" s="3">
        <v>557.34807718180866</v>
      </c>
      <c r="G5" s="3">
        <v>431.71626292225409</v>
      </c>
      <c r="H5" s="3">
        <v>1188.1744953810971</v>
      </c>
      <c r="I5" s="3">
        <v>325.33209025481813</v>
      </c>
      <c r="J5" s="3">
        <v>671.69680634183624</v>
      </c>
      <c r="K5" s="3">
        <v>2467.3771791047279</v>
      </c>
      <c r="L5" s="3">
        <v>441.16003166328176</v>
      </c>
      <c r="M5" s="3">
        <v>1209.1180113660268</v>
      </c>
      <c r="N5" s="3">
        <v>2.4765000000000001</v>
      </c>
      <c r="O5" s="3">
        <v>351.00935984957556</v>
      </c>
      <c r="P5" s="3">
        <v>89.825421327006964</v>
      </c>
      <c r="Q5" s="3">
        <v>1654.4055374412503</v>
      </c>
      <c r="R5" s="3">
        <v>443.61941968362379</v>
      </c>
      <c r="S5" s="3">
        <v>439.49186003593252</v>
      </c>
      <c r="T5" s="3">
        <v>371.74334187926667</v>
      </c>
      <c r="U5" s="3">
        <v>140.51945447610385</v>
      </c>
      <c r="V5" s="3">
        <v>4473.473</v>
      </c>
      <c r="W5" s="3"/>
      <c r="X5" s="3">
        <f t="shared" si="0"/>
        <v>4473.473</v>
      </c>
      <c r="Y5" s="3">
        <v>23925.425018718171</v>
      </c>
      <c r="AA5">
        <v>0</v>
      </c>
      <c r="AB5">
        <v>0</v>
      </c>
      <c r="AC5">
        <v>23925.425018718171</v>
      </c>
      <c r="AD5">
        <v>0</v>
      </c>
      <c r="AE5">
        <v>0</v>
      </c>
      <c r="AF5">
        <v>0</v>
      </c>
      <c r="AG5">
        <v>0</v>
      </c>
      <c r="AH5">
        <v>0</v>
      </c>
      <c r="AI5">
        <v>0</v>
      </c>
      <c r="AJ5">
        <v>0</v>
      </c>
      <c r="AK5">
        <v>0</v>
      </c>
      <c r="AL5">
        <v>0</v>
      </c>
      <c r="AM5">
        <v>0</v>
      </c>
      <c r="AN5">
        <v>0</v>
      </c>
      <c r="AO5">
        <v>0</v>
      </c>
      <c r="AP5">
        <v>0</v>
      </c>
      <c r="AQ5">
        <v>0</v>
      </c>
      <c r="AR5">
        <v>0</v>
      </c>
      <c r="AS5">
        <v>0</v>
      </c>
      <c r="AT5">
        <v>0</v>
      </c>
    </row>
    <row r="6" spans="1:46" x14ac:dyDescent="0.2">
      <c r="A6" s="3" t="s">
        <v>4</v>
      </c>
      <c r="B6" s="3">
        <v>0.3376555413522308</v>
      </c>
      <c r="C6" s="3">
        <v>479.84472924756187</v>
      </c>
      <c r="D6" s="3">
        <v>109.39966244441315</v>
      </c>
      <c r="E6" s="3">
        <v>24122.809077908645</v>
      </c>
      <c r="F6" s="3">
        <v>209.62122404854949</v>
      </c>
      <c r="G6" s="3">
        <v>36.654856234147672</v>
      </c>
      <c r="H6" s="3">
        <v>290.69875142009784</v>
      </c>
      <c r="I6" s="3">
        <v>95.327810660558441</v>
      </c>
      <c r="J6" s="3">
        <v>46.395351412809291</v>
      </c>
      <c r="K6" s="3">
        <v>187.0830572704071</v>
      </c>
      <c r="L6" s="3">
        <v>143.69802347664876</v>
      </c>
      <c r="M6" s="3">
        <v>2147.5565885237802</v>
      </c>
      <c r="N6" s="3">
        <v>2500.3917999999999</v>
      </c>
      <c r="O6" s="3">
        <v>519.33201178275283</v>
      </c>
      <c r="P6" s="3">
        <v>46.571061554031836</v>
      </c>
      <c r="Q6" s="3">
        <v>226.16831579276663</v>
      </c>
      <c r="R6" s="3">
        <v>143.87902881309117</v>
      </c>
      <c r="S6" s="3">
        <v>80.474153285122725</v>
      </c>
      <c r="T6" s="3">
        <v>87.020352982803786</v>
      </c>
      <c r="U6" s="3">
        <v>16.046344941894624</v>
      </c>
      <c r="V6" s="3">
        <v>39607.141499999998</v>
      </c>
      <c r="W6" s="3"/>
      <c r="X6" s="3">
        <f t="shared" si="0"/>
        <v>39607.141499999998</v>
      </c>
      <c r="Y6" s="3">
        <v>71096.451357341401</v>
      </c>
      <c r="AA6">
        <v>0</v>
      </c>
      <c r="AB6">
        <v>0</v>
      </c>
      <c r="AC6">
        <v>0</v>
      </c>
      <c r="AD6">
        <v>71096.451357341401</v>
      </c>
      <c r="AE6">
        <v>0</v>
      </c>
      <c r="AF6">
        <v>0</v>
      </c>
      <c r="AG6">
        <v>0</v>
      </c>
      <c r="AH6">
        <v>0</v>
      </c>
      <c r="AI6">
        <v>0</v>
      </c>
      <c r="AJ6">
        <v>0</v>
      </c>
      <c r="AK6">
        <v>0</v>
      </c>
      <c r="AL6">
        <v>0</v>
      </c>
      <c r="AM6">
        <v>0</v>
      </c>
      <c r="AN6">
        <v>0</v>
      </c>
      <c r="AO6">
        <v>0</v>
      </c>
      <c r="AP6">
        <v>0</v>
      </c>
      <c r="AQ6">
        <v>0</v>
      </c>
      <c r="AR6">
        <v>0</v>
      </c>
      <c r="AS6">
        <v>0</v>
      </c>
      <c r="AT6">
        <v>0</v>
      </c>
    </row>
    <row r="7" spans="1:46" x14ac:dyDescent="0.2">
      <c r="A7" s="3" t="s">
        <v>5</v>
      </c>
      <c r="B7" s="3">
        <v>58.196172756059575</v>
      </c>
      <c r="C7" s="3">
        <v>15828.637057006965</v>
      </c>
      <c r="D7" s="3">
        <v>211.14847190534073</v>
      </c>
      <c r="E7" s="3">
        <v>2394.6262066506088</v>
      </c>
      <c r="F7" s="3">
        <v>6521.5306679139321</v>
      </c>
      <c r="G7" s="3">
        <v>434.84590562638311</v>
      </c>
      <c r="H7" s="3">
        <v>5907.507024878797</v>
      </c>
      <c r="I7" s="3">
        <v>220.21758716299126</v>
      </c>
      <c r="J7" s="3">
        <v>922.18583116546381</v>
      </c>
      <c r="K7" s="3">
        <v>7283.5553108259483</v>
      </c>
      <c r="L7" s="3">
        <v>1256.5723658364266</v>
      </c>
      <c r="M7" s="3">
        <v>463.71311272158965</v>
      </c>
      <c r="N7" s="3">
        <v>46.413800000000002</v>
      </c>
      <c r="O7" s="3">
        <v>1464.7088246666713</v>
      </c>
      <c r="P7" s="3">
        <v>596.33174905334101</v>
      </c>
      <c r="Q7" s="3">
        <v>1307.6975289855052</v>
      </c>
      <c r="R7" s="3">
        <v>315.59249438100926</v>
      </c>
      <c r="S7" s="3">
        <v>672.06606050967696</v>
      </c>
      <c r="T7" s="3">
        <v>114.55012533068216</v>
      </c>
      <c r="U7" s="3">
        <v>289.91882986740268</v>
      </c>
      <c r="V7" s="3">
        <v>269759.74979999999</v>
      </c>
      <c r="W7" s="3"/>
      <c r="X7" s="3">
        <f t="shared" si="0"/>
        <v>269759.74979999999</v>
      </c>
      <c r="Y7" s="3">
        <v>316069.7649272448</v>
      </c>
      <c r="AA7">
        <v>0</v>
      </c>
      <c r="AB7">
        <v>0</v>
      </c>
      <c r="AC7">
        <v>0</v>
      </c>
      <c r="AD7">
        <v>0</v>
      </c>
      <c r="AE7">
        <v>316069.7649272448</v>
      </c>
      <c r="AF7">
        <v>0</v>
      </c>
      <c r="AG7">
        <v>0</v>
      </c>
      <c r="AH7">
        <v>0</v>
      </c>
      <c r="AI7">
        <v>0</v>
      </c>
      <c r="AJ7">
        <v>0</v>
      </c>
      <c r="AK7">
        <v>0</v>
      </c>
      <c r="AL7">
        <v>0</v>
      </c>
      <c r="AM7">
        <v>0</v>
      </c>
      <c r="AN7">
        <v>0</v>
      </c>
      <c r="AO7">
        <v>0</v>
      </c>
      <c r="AP7">
        <v>0</v>
      </c>
      <c r="AQ7">
        <v>0</v>
      </c>
      <c r="AR7">
        <v>0</v>
      </c>
      <c r="AS7">
        <v>0</v>
      </c>
      <c r="AT7">
        <v>0</v>
      </c>
    </row>
    <row r="8" spans="1:46" x14ac:dyDescent="0.2">
      <c r="A8" s="3" t="s">
        <v>6</v>
      </c>
      <c r="B8" s="3">
        <v>0.14432373997964129</v>
      </c>
      <c r="C8" s="3">
        <v>61.708260521793932</v>
      </c>
      <c r="D8" s="3">
        <v>3.4629944614461596</v>
      </c>
      <c r="E8" s="3">
        <v>242.31235765411125</v>
      </c>
      <c r="F8" s="3">
        <v>492.7083047198135</v>
      </c>
      <c r="G8" s="3">
        <v>221.15785047318761</v>
      </c>
      <c r="H8" s="3">
        <v>251.08753004292896</v>
      </c>
      <c r="I8" s="3">
        <v>18.834360727459849</v>
      </c>
      <c r="J8" s="3">
        <v>196.26618834297685</v>
      </c>
      <c r="K8" s="3">
        <v>297.37106809284091</v>
      </c>
      <c r="L8" s="3">
        <v>76.515200227944007</v>
      </c>
      <c r="M8" s="3">
        <v>39.326882621940364</v>
      </c>
      <c r="N8" s="3">
        <v>3.6360999999999999</v>
      </c>
      <c r="O8" s="3">
        <v>122.99007791005738</v>
      </c>
      <c r="P8" s="3">
        <v>42.281591380740288</v>
      </c>
      <c r="Q8" s="3">
        <v>101.43920102450885</v>
      </c>
      <c r="R8" s="3">
        <v>31.921978505232914</v>
      </c>
      <c r="S8" s="3">
        <v>67.520935391073294</v>
      </c>
      <c r="T8" s="3">
        <v>13.968820044782357</v>
      </c>
      <c r="U8" s="3">
        <v>33.611439374491574</v>
      </c>
      <c r="V8" s="3">
        <v>14482.98</v>
      </c>
      <c r="W8" s="3"/>
      <c r="X8" s="3">
        <f t="shared" si="0"/>
        <v>14482.98</v>
      </c>
      <c r="Y8" s="3">
        <v>16801.245465257303</v>
      </c>
      <c r="AA8">
        <v>0</v>
      </c>
      <c r="AB8">
        <v>0</v>
      </c>
      <c r="AC8">
        <v>0</v>
      </c>
      <c r="AD8">
        <v>0</v>
      </c>
      <c r="AE8">
        <v>0</v>
      </c>
      <c r="AF8">
        <v>16801.245465257303</v>
      </c>
      <c r="AG8">
        <v>0</v>
      </c>
      <c r="AH8">
        <v>0</v>
      </c>
      <c r="AI8">
        <v>0</v>
      </c>
      <c r="AJ8">
        <v>0</v>
      </c>
      <c r="AK8">
        <v>0</v>
      </c>
      <c r="AL8">
        <v>0</v>
      </c>
      <c r="AM8">
        <v>0</v>
      </c>
      <c r="AN8">
        <v>0</v>
      </c>
      <c r="AO8">
        <v>0</v>
      </c>
      <c r="AP8">
        <v>0</v>
      </c>
      <c r="AQ8">
        <v>0</v>
      </c>
      <c r="AR8">
        <v>0</v>
      </c>
      <c r="AS8">
        <v>0</v>
      </c>
      <c r="AT8">
        <v>0</v>
      </c>
    </row>
    <row r="9" spans="1:46" x14ac:dyDescent="0.2">
      <c r="A9" s="3" t="s">
        <v>7</v>
      </c>
      <c r="B9" s="3">
        <v>2.8570699627570568</v>
      </c>
      <c r="C9" s="3">
        <v>3581.881207968127</v>
      </c>
      <c r="D9" s="3">
        <v>139.95437601874119</v>
      </c>
      <c r="E9" s="3">
        <v>322.84617220432381</v>
      </c>
      <c r="F9" s="3">
        <v>25880.718313367335</v>
      </c>
      <c r="G9" s="3">
        <v>857.92677110426689</v>
      </c>
      <c r="H9" s="3">
        <v>86691.994487481134</v>
      </c>
      <c r="I9" s="3">
        <v>37.812984728614182</v>
      </c>
      <c r="J9" s="3">
        <v>168.50613903518538</v>
      </c>
      <c r="K9" s="3">
        <v>1961.7308848576506</v>
      </c>
      <c r="L9" s="3">
        <v>1133.6686729882056</v>
      </c>
      <c r="M9" s="3">
        <v>508.2195412824525</v>
      </c>
      <c r="N9" s="3">
        <v>49.366500000000002</v>
      </c>
      <c r="O9" s="3">
        <v>519.44228591259116</v>
      </c>
      <c r="P9" s="3">
        <v>516.52980611246642</v>
      </c>
      <c r="Q9" s="3">
        <v>2731.9250255094498</v>
      </c>
      <c r="R9" s="3">
        <v>136.5078091835106</v>
      </c>
      <c r="S9" s="3">
        <v>177.44516986531985</v>
      </c>
      <c r="T9" s="3">
        <v>68.337850054761148</v>
      </c>
      <c r="U9" s="3">
        <v>77.62935506291123</v>
      </c>
      <c r="V9" s="3">
        <v>194670.20319999999</v>
      </c>
      <c r="W9" s="3"/>
      <c r="X9" s="3">
        <f t="shared" si="0"/>
        <v>194670.20319999999</v>
      </c>
      <c r="Y9" s="3">
        <v>320235.50362269965</v>
      </c>
      <c r="AA9">
        <v>0</v>
      </c>
      <c r="AB9">
        <v>0</v>
      </c>
      <c r="AC9">
        <v>0</v>
      </c>
      <c r="AD9">
        <v>0</v>
      </c>
      <c r="AE9">
        <v>0</v>
      </c>
      <c r="AF9">
        <v>0</v>
      </c>
      <c r="AG9">
        <v>320235.50362269965</v>
      </c>
      <c r="AH9">
        <v>0</v>
      </c>
      <c r="AI9">
        <v>0</v>
      </c>
      <c r="AJ9">
        <v>0</v>
      </c>
      <c r="AK9">
        <v>0</v>
      </c>
      <c r="AL9">
        <v>0</v>
      </c>
      <c r="AM9">
        <v>0</v>
      </c>
      <c r="AN9">
        <v>0</v>
      </c>
      <c r="AO9">
        <v>0</v>
      </c>
      <c r="AP9">
        <v>0</v>
      </c>
      <c r="AQ9">
        <v>0</v>
      </c>
      <c r="AR9">
        <v>0</v>
      </c>
      <c r="AS9">
        <v>0</v>
      </c>
      <c r="AT9">
        <v>0</v>
      </c>
    </row>
    <row r="10" spans="1:46" x14ac:dyDescent="0.2">
      <c r="A10" s="3" t="s">
        <v>8</v>
      </c>
      <c r="B10" s="3">
        <v>3.580588975239888E-2</v>
      </c>
      <c r="C10" s="3">
        <v>51.69188142868034</v>
      </c>
      <c r="D10" s="3">
        <v>10.681574351567146</v>
      </c>
      <c r="E10" s="3">
        <v>46.467551621806649</v>
      </c>
      <c r="F10" s="3">
        <v>255.05902025752053</v>
      </c>
      <c r="G10" s="3">
        <v>43.020560096184489</v>
      </c>
      <c r="H10" s="3">
        <v>316.49906033376755</v>
      </c>
      <c r="I10" s="3">
        <v>8.4880228363807468</v>
      </c>
      <c r="J10" s="3">
        <v>41.201601560694492</v>
      </c>
      <c r="K10" s="3">
        <v>86.392638693190733</v>
      </c>
      <c r="L10" s="3">
        <v>204.22643268024743</v>
      </c>
      <c r="M10" s="3">
        <v>20.883600194126377</v>
      </c>
      <c r="N10" s="3">
        <v>0.28079999999999999</v>
      </c>
      <c r="O10" s="3">
        <v>93.737213187833248</v>
      </c>
      <c r="P10" s="3">
        <v>44.508007781243201</v>
      </c>
      <c r="Q10" s="3">
        <v>107.16805110180556</v>
      </c>
      <c r="R10" s="3">
        <v>18.916109281484854</v>
      </c>
      <c r="S10" s="3">
        <v>13.019543075453587</v>
      </c>
      <c r="T10" s="3">
        <v>17.921576547770535</v>
      </c>
      <c r="U10" s="3">
        <v>18.114710418557497</v>
      </c>
      <c r="V10" s="3">
        <v>5141.9721</v>
      </c>
      <c r="W10" s="3"/>
      <c r="X10" s="3">
        <f t="shared" si="0"/>
        <v>5141.9721</v>
      </c>
      <c r="Y10" s="3">
        <v>6540.2858613380686</v>
      </c>
      <c r="AA10">
        <v>0</v>
      </c>
      <c r="AB10">
        <v>0</v>
      </c>
      <c r="AC10">
        <v>0</v>
      </c>
      <c r="AD10">
        <v>0</v>
      </c>
      <c r="AE10">
        <v>0</v>
      </c>
      <c r="AF10">
        <v>0</v>
      </c>
      <c r="AG10">
        <v>0</v>
      </c>
      <c r="AH10">
        <v>6540.2858613380686</v>
      </c>
      <c r="AI10">
        <v>0</v>
      </c>
      <c r="AJ10">
        <v>0</v>
      </c>
      <c r="AK10">
        <v>0</v>
      </c>
      <c r="AL10">
        <v>0</v>
      </c>
      <c r="AM10">
        <v>0</v>
      </c>
      <c r="AN10">
        <v>0</v>
      </c>
      <c r="AO10">
        <v>0</v>
      </c>
      <c r="AP10">
        <v>0</v>
      </c>
      <c r="AQ10">
        <v>0</v>
      </c>
      <c r="AR10">
        <v>0</v>
      </c>
      <c r="AS10">
        <v>0</v>
      </c>
      <c r="AT10">
        <v>0</v>
      </c>
    </row>
    <row r="11" spans="1:46" x14ac:dyDescent="0.2">
      <c r="A11" s="3" t="s">
        <v>9</v>
      </c>
      <c r="B11" s="3">
        <v>0.26964435411303739</v>
      </c>
      <c r="C11" s="3">
        <v>105.57445196402962</v>
      </c>
      <c r="D11" s="3">
        <v>25.1181329174929</v>
      </c>
      <c r="E11" s="3">
        <v>62.034347941816407</v>
      </c>
      <c r="F11" s="3">
        <v>911.31546758321144</v>
      </c>
      <c r="G11" s="3">
        <v>90.439482902310388</v>
      </c>
      <c r="H11" s="3">
        <v>685.13288981344522</v>
      </c>
      <c r="I11" s="3">
        <v>15.266695954076379</v>
      </c>
      <c r="J11" s="3">
        <v>118.59070497989062</v>
      </c>
      <c r="K11" s="3">
        <v>243.23946312717814</v>
      </c>
      <c r="L11" s="3">
        <v>701.44489481979383</v>
      </c>
      <c r="M11" s="3">
        <v>84.323356130791041</v>
      </c>
      <c r="N11" s="3">
        <v>1.2981</v>
      </c>
      <c r="O11" s="3">
        <v>199.63209915670527</v>
      </c>
      <c r="P11" s="3">
        <v>120.79725382766358</v>
      </c>
      <c r="Q11" s="3">
        <v>114.39148152488586</v>
      </c>
      <c r="R11" s="3">
        <v>42.069609501915437</v>
      </c>
      <c r="S11" s="3">
        <v>38.917675711129306</v>
      </c>
      <c r="T11" s="3">
        <v>66.183492243107466</v>
      </c>
      <c r="U11" s="3">
        <v>25.668827877451445</v>
      </c>
      <c r="V11" s="3">
        <v>11162.636500000001</v>
      </c>
      <c r="W11" s="3"/>
      <c r="X11" s="3">
        <f t="shared" si="0"/>
        <v>11162.636500000001</v>
      </c>
      <c r="Y11" s="3">
        <v>14814.344572331014</v>
      </c>
      <c r="AA11">
        <v>0</v>
      </c>
      <c r="AB11">
        <v>0</v>
      </c>
      <c r="AC11">
        <v>0</v>
      </c>
      <c r="AD11">
        <v>0</v>
      </c>
      <c r="AE11">
        <v>0</v>
      </c>
      <c r="AF11">
        <v>0</v>
      </c>
      <c r="AG11">
        <v>0</v>
      </c>
      <c r="AH11">
        <v>0</v>
      </c>
      <c r="AI11">
        <v>14814.344572331014</v>
      </c>
      <c r="AJ11">
        <v>0</v>
      </c>
      <c r="AK11">
        <v>0</v>
      </c>
      <c r="AL11">
        <v>0</v>
      </c>
      <c r="AM11">
        <v>0</v>
      </c>
      <c r="AN11">
        <v>0</v>
      </c>
      <c r="AO11">
        <v>0</v>
      </c>
      <c r="AP11">
        <v>0</v>
      </c>
      <c r="AQ11">
        <v>0</v>
      </c>
      <c r="AR11">
        <v>0</v>
      </c>
      <c r="AS11">
        <v>0</v>
      </c>
      <c r="AT11">
        <v>0</v>
      </c>
    </row>
    <row r="12" spans="1:46" x14ac:dyDescent="0.2">
      <c r="A12" s="3" t="s">
        <v>10</v>
      </c>
      <c r="B12" s="3">
        <v>2.0653397301313881</v>
      </c>
      <c r="C12" s="3">
        <v>2022.350206584772</v>
      </c>
      <c r="D12" s="3">
        <v>222.61112385606796</v>
      </c>
      <c r="E12" s="3">
        <v>323.87703751577595</v>
      </c>
      <c r="F12" s="3">
        <v>6441.8966837379976</v>
      </c>
      <c r="G12" s="3">
        <v>416.48752214141024</v>
      </c>
      <c r="H12" s="3">
        <v>1953.4737953633658</v>
      </c>
      <c r="I12" s="3">
        <v>136.09068920897536</v>
      </c>
      <c r="J12" s="3">
        <v>161.27452030536446</v>
      </c>
      <c r="K12" s="3">
        <v>39934.56823148876</v>
      </c>
      <c r="L12" s="3">
        <v>6353.3964357271871</v>
      </c>
      <c r="M12" s="3">
        <v>1125.5640968535897</v>
      </c>
      <c r="N12" s="3">
        <v>112.7133</v>
      </c>
      <c r="O12" s="3">
        <v>3672.1108117089952</v>
      </c>
      <c r="P12" s="3">
        <v>763.06172897122883</v>
      </c>
      <c r="Q12" s="3">
        <v>3347.3552089032182</v>
      </c>
      <c r="R12" s="3">
        <v>586.8155243243782</v>
      </c>
      <c r="S12" s="3">
        <v>818.76415676218539</v>
      </c>
      <c r="T12" s="3">
        <v>304.29523960038625</v>
      </c>
      <c r="U12" s="3">
        <v>226.21181215606808</v>
      </c>
      <c r="V12" s="3">
        <v>113859.22990000001</v>
      </c>
      <c r="W12" s="3"/>
      <c r="X12" s="3">
        <f t="shared" si="0"/>
        <v>113859.22990000001</v>
      </c>
      <c r="Y12" s="3">
        <v>182784.21336493979</v>
      </c>
      <c r="AA12">
        <v>0</v>
      </c>
      <c r="AB12">
        <v>0</v>
      </c>
      <c r="AC12">
        <v>0</v>
      </c>
      <c r="AD12">
        <v>0</v>
      </c>
      <c r="AE12">
        <v>0</v>
      </c>
      <c r="AF12">
        <v>0</v>
      </c>
      <c r="AG12">
        <v>0</v>
      </c>
      <c r="AH12">
        <v>0</v>
      </c>
      <c r="AI12">
        <v>0</v>
      </c>
      <c r="AJ12">
        <v>182784.21336493979</v>
      </c>
      <c r="AK12">
        <v>0</v>
      </c>
      <c r="AL12">
        <v>0</v>
      </c>
      <c r="AM12">
        <v>0</v>
      </c>
      <c r="AN12">
        <v>0</v>
      </c>
      <c r="AO12">
        <v>0</v>
      </c>
      <c r="AP12">
        <v>0</v>
      </c>
      <c r="AQ12">
        <v>0</v>
      </c>
      <c r="AR12">
        <v>0</v>
      </c>
      <c r="AS12">
        <v>0</v>
      </c>
      <c r="AT12">
        <v>0</v>
      </c>
    </row>
    <row r="13" spans="1:46" x14ac:dyDescent="0.2">
      <c r="A13" s="3" t="s">
        <v>11</v>
      </c>
      <c r="B13" s="3">
        <v>4.1209778644360089</v>
      </c>
      <c r="C13" s="3">
        <v>3064.4295990471996</v>
      </c>
      <c r="D13" s="3">
        <v>373.73425822728927</v>
      </c>
      <c r="E13" s="3">
        <v>677.3966285658056</v>
      </c>
      <c r="F13" s="3">
        <v>8230.0743964521607</v>
      </c>
      <c r="G13" s="3">
        <v>792.88759281024295</v>
      </c>
      <c r="H13" s="3">
        <v>2104.7220421518346</v>
      </c>
      <c r="I13" s="3">
        <v>207.6908929703188</v>
      </c>
      <c r="J13" s="3">
        <v>289.53482458525866</v>
      </c>
      <c r="K13" s="3">
        <v>3160.9345216962356</v>
      </c>
      <c r="L13" s="3">
        <v>26970.445036973611</v>
      </c>
      <c r="M13" s="3">
        <v>5353.0478688247258</v>
      </c>
      <c r="N13" s="3">
        <v>680.94259999999997</v>
      </c>
      <c r="O13" s="3">
        <v>1614.9913494426348</v>
      </c>
      <c r="P13" s="3">
        <v>761.61709083203016</v>
      </c>
      <c r="Q13" s="3">
        <v>6695.2283619180644</v>
      </c>
      <c r="R13" s="3">
        <v>248.95131917352407</v>
      </c>
      <c r="S13" s="3">
        <v>424.24767233896205</v>
      </c>
      <c r="T13" s="3">
        <v>192.05289756339474</v>
      </c>
      <c r="U13" s="3">
        <v>171.07628191696949</v>
      </c>
      <c r="V13" s="3">
        <v>107860.1237</v>
      </c>
      <c r="W13" s="3"/>
      <c r="X13" s="3">
        <f t="shared" si="0"/>
        <v>107860.1237</v>
      </c>
      <c r="Y13" s="3">
        <v>169878.24991335478</v>
      </c>
      <c r="AA13">
        <v>0</v>
      </c>
      <c r="AB13">
        <v>0</v>
      </c>
      <c r="AC13">
        <v>0</v>
      </c>
      <c r="AD13">
        <v>0</v>
      </c>
      <c r="AE13">
        <v>0</v>
      </c>
      <c r="AF13">
        <v>0</v>
      </c>
      <c r="AG13">
        <v>0</v>
      </c>
      <c r="AH13">
        <v>0</v>
      </c>
      <c r="AI13">
        <v>0</v>
      </c>
      <c r="AJ13">
        <v>0</v>
      </c>
      <c r="AK13">
        <v>169878.24991335478</v>
      </c>
      <c r="AL13">
        <v>0</v>
      </c>
      <c r="AM13">
        <v>0</v>
      </c>
      <c r="AN13">
        <v>0</v>
      </c>
      <c r="AO13">
        <v>0</v>
      </c>
      <c r="AP13">
        <v>0</v>
      </c>
      <c r="AQ13">
        <v>0</v>
      </c>
      <c r="AR13">
        <v>0</v>
      </c>
      <c r="AS13">
        <v>0</v>
      </c>
      <c r="AT13">
        <v>0</v>
      </c>
    </row>
    <row r="14" spans="1:46" x14ac:dyDescent="0.2">
      <c r="A14" s="3" t="s">
        <v>12</v>
      </c>
      <c r="B14" s="3">
        <v>0.28584701930825696</v>
      </c>
      <c r="C14" s="3">
        <v>1354.7494284103598</v>
      </c>
      <c r="D14" s="3">
        <v>177.41423641966583</v>
      </c>
      <c r="E14" s="3">
        <v>376.13441760509505</v>
      </c>
      <c r="F14" s="3">
        <v>4466.7465856801791</v>
      </c>
      <c r="G14" s="3">
        <v>2658.8320619405267</v>
      </c>
      <c r="H14" s="3">
        <v>1156.7883040548891</v>
      </c>
      <c r="I14" s="3">
        <v>349.3519253249496</v>
      </c>
      <c r="J14" s="3">
        <v>1554.4350255784993</v>
      </c>
      <c r="K14" s="3">
        <v>2908.6267802551488</v>
      </c>
      <c r="L14" s="3">
        <v>2758.9650311750779</v>
      </c>
      <c r="M14" s="3">
        <v>1661.6119267721658</v>
      </c>
      <c r="N14" s="3">
        <v>11.5441</v>
      </c>
      <c r="O14" s="3">
        <v>1872.2917150740818</v>
      </c>
      <c r="P14" s="3">
        <v>601.30600092773125</v>
      </c>
      <c r="Q14" s="3">
        <v>762.8862158507095</v>
      </c>
      <c r="R14" s="3">
        <v>479.53670966434044</v>
      </c>
      <c r="S14" s="3">
        <v>801.14156606689835</v>
      </c>
      <c r="T14" s="3">
        <v>300.47300477540216</v>
      </c>
      <c r="U14" s="3">
        <v>626.51288665323409</v>
      </c>
      <c r="V14" s="3">
        <v>14104.517</v>
      </c>
      <c r="W14" s="3"/>
      <c r="X14" s="3">
        <f t="shared" si="0"/>
        <v>14104.517</v>
      </c>
      <c r="Y14" s="3">
        <v>38984.150769248256</v>
      </c>
      <c r="AA14">
        <v>0</v>
      </c>
      <c r="AB14">
        <v>0</v>
      </c>
      <c r="AC14">
        <v>0</v>
      </c>
      <c r="AD14">
        <v>0</v>
      </c>
      <c r="AE14">
        <v>0</v>
      </c>
      <c r="AF14">
        <v>0</v>
      </c>
      <c r="AG14">
        <v>0</v>
      </c>
      <c r="AH14">
        <v>0</v>
      </c>
      <c r="AI14">
        <v>0</v>
      </c>
      <c r="AJ14">
        <v>0</v>
      </c>
      <c r="AK14">
        <v>0</v>
      </c>
      <c r="AL14">
        <v>38984.150769248256</v>
      </c>
      <c r="AM14">
        <v>0</v>
      </c>
      <c r="AN14">
        <v>0</v>
      </c>
      <c r="AO14">
        <v>0</v>
      </c>
      <c r="AP14">
        <v>0</v>
      </c>
      <c r="AQ14">
        <v>0</v>
      </c>
      <c r="AR14">
        <v>0</v>
      </c>
      <c r="AS14">
        <v>0</v>
      </c>
      <c r="AT14">
        <v>0</v>
      </c>
    </row>
    <row r="15" spans="1:46" x14ac:dyDescent="0.2">
      <c r="A15" s="3" t="s">
        <v>13</v>
      </c>
      <c r="B15" s="3">
        <v>0</v>
      </c>
      <c r="C15" s="3">
        <v>0</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v>24745.4</v>
      </c>
      <c r="W15" s="3"/>
      <c r="X15" s="3">
        <f t="shared" si="0"/>
        <v>24745.4</v>
      </c>
      <c r="Y15" s="3">
        <v>24745.4</v>
      </c>
      <c r="AA15">
        <v>0</v>
      </c>
      <c r="AB15">
        <v>0</v>
      </c>
      <c r="AC15">
        <v>0</v>
      </c>
      <c r="AD15">
        <v>0</v>
      </c>
      <c r="AE15">
        <v>0</v>
      </c>
      <c r="AF15">
        <v>0</v>
      </c>
      <c r="AG15">
        <v>0</v>
      </c>
      <c r="AH15">
        <v>0</v>
      </c>
      <c r="AI15">
        <v>0</v>
      </c>
      <c r="AJ15">
        <v>0</v>
      </c>
      <c r="AK15">
        <v>0</v>
      </c>
      <c r="AL15">
        <v>0</v>
      </c>
      <c r="AM15">
        <v>24745.4</v>
      </c>
      <c r="AN15">
        <v>0</v>
      </c>
      <c r="AO15">
        <v>0</v>
      </c>
      <c r="AP15">
        <v>0</v>
      </c>
      <c r="AQ15">
        <v>0</v>
      </c>
      <c r="AR15">
        <v>0</v>
      </c>
      <c r="AS15">
        <v>0</v>
      </c>
      <c r="AT15">
        <v>0</v>
      </c>
    </row>
    <row r="16" spans="1:46" x14ac:dyDescent="0.2">
      <c r="A16" s="3" t="s">
        <v>14</v>
      </c>
      <c r="B16" s="3">
        <v>5.1276434520278933</v>
      </c>
      <c r="C16" s="3">
        <v>3906.3726436140241</v>
      </c>
      <c r="D16" s="3">
        <v>197.63537852913396</v>
      </c>
      <c r="E16" s="3">
        <v>1623.1328885670839</v>
      </c>
      <c r="F16" s="3">
        <v>8871.9481141040324</v>
      </c>
      <c r="G16" s="3">
        <v>535.69709399854491</v>
      </c>
      <c r="H16" s="3">
        <v>2031.9011128683928</v>
      </c>
      <c r="I16" s="3">
        <v>308.87447196366884</v>
      </c>
      <c r="J16" s="3">
        <v>246.5184164154137</v>
      </c>
      <c r="K16" s="3">
        <v>7330.8827803203585</v>
      </c>
      <c r="L16" s="3">
        <v>4340.769493410925</v>
      </c>
      <c r="M16" s="3">
        <v>2617.3492807277275</v>
      </c>
      <c r="N16" s="3">
        <v>390.20650000000006</v>
      </c>
      <c r="O16" s="3">
        <v>4360.7464348575977</v>
      </c>
      <c r="P16" s="3">
        <v>970.37861320662012</v>
      </c>
      <c r="Q16" s="3">
        <v>1592.2531634732657</v>
      </c>
      <c r="R16" s="3">
        <v>459.83254169973435</v>
      </c>
      <c r="S16" s="3">
        <v>469.44513226949516</v>
      </c>
      <c r="T16" s="3">
        <v>296.2004951654568</v>
      </c>
      <c r="U16" s="3">
        <v>274.59643285748888</v>
      </c>
      <c r="V16" s="3">
        <v>37083.416700000002</v>
      </c>
      <c r="W16" s="3"/>
      <c r="X16" s="3">
        <f t="shared" si="0"/>
        <v>37083.416700000002</v>
      </c>
      <c r="Y16" s="3">
        <v>77913.285331501</v>
      </c>
      <c r="AA16">
        <v>0</v>
      </c>
      <c r="AB16">
        <v>0</v>
      </c>
      <c r="AC16">
        <v>0</v>
      </c>
      <c r="AD16">
        <v>0</v>
      </c>
      <c r="AE16">
        <v>0</v>
      </c>
      <c r="AF16">
        <v>0</v>
      </c>
      <c r="AG16">
        <v>0</v>
      </c>
      <c r="AH16">
        <v>0</v>
      </c>
      <c r="AI16">
        <v>0</v>
      </c>
      <c r="AJ16">
        <v>0</v>
      </c>
      <c r="AK16">
        <v>0</v>
      </c>
      <c r="AL16">
        <v>0</v>
      </c>
      <c r="AM16">
        <v>0</v>
      </c>
      <c r="AN16">
        <v>77913.285331501</v>
      </c>
      <c r="AO16">
        <v>0</v>
      </c>
      <c r="AP16">
        <v>0</v>
      </c>
      <c r="AQ16">
        <v>0</v>
      </c>
      <c r="AR16">
        <v>0</v>
      </c>
      <c r="AS16">
        <v>0</v>
      </c>
      <c r="AT16">
        <v>0</v>
      </c>
    </row>
    <row r="17" spans="1:46" x14ac:dyDescent="0.2">
      <c r="A17" s="3" t="s">
        <v>15</v>
      </c>
      <c r="B17" s="3">
        <v>0.21983616110551044</v>
      </c>
      <c r="C17" s="3">
        <v>1999.826505961363</v>
      </c>
      <c r="D17" s="3">
        <v>252.01551403868882</v>
      </c>
      <c r="E17" s="3">
        <v>550.60009524115742</v>
      </c>
      <c r="F17" s="3">
        <v>3754.9268836528959</v>
      </c>
      <c r="G17" s="3">
        <v>284.57994835302338</v>
      </c>
      <c r="H17" s="3">
        <v>2811.3716273833543</v>
      </c>
      <c r="I17" s="3">
        <v>97.144807593179237</v>
      </c>
      <c r="J17" s="3">
        <v>146.12979260551194</v>
      </c>
      <c r="K17" s="3">
        <v>2917.0408705760719</v>
      </c>
      <c r="L17" s="3">
        <v>1297.2483513775896</v>
      </c>
      <c r="M17" s="3">
        <v>1793.5421939272683</v>
      </c>
      <c r="N17" s="3">
        <v>315.07339999999999</v>
      </c>
      <c r="O17" s="3">
        <v>799.7735336482167</v>
      </c>
      <c r="P17" s="3">
        <v>1799.0226294324793</v>
      </c>
      <c r="Q17" s="3">
        <v>973.90103974797955</v>
      </c>
      <c r="R17" s="3">
        <v>266.05503352980071</v>
      </c>
      <c r="S17" s="3">
        <v>615.604724070271</v>
      </c>
      <c r="T17" s="3">
        <v>184.17018834483983</v>
      </c>
      <c r="U17" s="3">
        <v>122.23061226301405</v>
      </c>
      <c r="V17" s="3">
        <v>9271.7047000000002</v>
      </c>
      <c r="W17" s="3"/>
      <c r="X17" s="3">
        <f t="shared" si="0"/>
        <v>9271.7047000000002</v>
      </c>
      <c r="Y17" s="3">
        <v>30252.182287907821</v>
      </c>
      <c r="AA17">
        <v>0</v>
      </c>
      <c r="AB17">
        <v>0</v>
      </c>
      <c r="AC17">
        <v>0</v>
      </c>
      <c r="AD17">
        <v>0</v>
      </c>
      <c r="AE17">
        <v>0</v>
      </c>
      <c r="AF17">
        <v>0</v>
      </c>
      <c r="AG17">
        <v>0</v>
      </c>
      <c r="AH17">
        <v>0</v>
      </c>
      <c r="AI17">
        <v>0</v>
      </c>
      <c r="AJ17">
        <v>0</v>
      </c>
      <c r="AK17">
        <v>0</v>
      </c>
      <c r="AL17">
        <v>0</v>
      </c>
      <c r="AM17">
        <v>0</v>
      </c>
      <c r="AN17">
        <v>0</v>
      </c>
      <c r="AO17">
        <v>30252.182287907821</v>
      </c>
      <c r="AP17">
        <v>0</v>
      </c>
      <c r="AQ17">
        <v>0</v>
      </c>
      <c r="AR17">
        <v>0</v>
      </c>
      <c r="AS17">
        <v>0</v>
      </c>
      <c r="AT17">
        <v>0</v>
      </c>
    </row>
    <row r="18" spans="1:46" x14ac:dyDescent="0.2">
      <c r="A18" s="3" t="s">
        <v>16</v>
      </c>
      <c r="B18" s="3">
        <v>0.2324382340351257</v>
      </c>
      <c r="C18" s="3">
        <v>125.36876779851056</v>
      </c>
      <c r="D18" s="3">
        <v>55.26121508998007</v>
      </c>
      <c r="E18" s="3">
        <v>130.31599771241258</v>
      </c>
      <c r="F18" s="3">
        <v>736.98537840630956</v>
      </c>
      <c r="G18" s="3">
        <v>153.38049735857837</v>
      </c>
      <c r="H18" s="3">
        <v>376.73122337286765</v>
      </c>
      <c r="I18" s="3">
        <v>27.443236569820446</v>
      </c>
      <c r="J18" s="3">
        <v>70.200296640470199</v>
      </c>
      <c r="K18" s="3">
        <v>639.45285370814815</v>
      </c>
      <c r="L18" s="3">
        <v>379.15984902849829</v>
      </c>
      <c r="M18" s="3">
        <v>400.11764717923393</v>
      </c>
      <c r="N18" s="3">
        <v>4.4215999999999998</v>
      </c>
      <c r="O18" s="3">
        <v>308.59164528930501</v>
      </c>
      <c r="P18" s="3">
        <v>50.269343198352502</v>
      </c>
      <c r="Q18" s="3">
        <v>897.65067655931978</v>
      </c>
      <c r="R18" s="3">
        <v>33.592126737448162</v>
      </c>
      <c r="S18" s="3">
        <v>54.351635458060095</v>
      </c>
      <c r="T18" s="3">
        <v>86.480563330552414</v>
      </c>
      <c r="U18" s="3">
        <v>33.612540207675401</v>
      </c>
      <c r="V18" s="3">
        <v>42746.151299999998</v>
      </c>
      <c r="W18" s="20">
        <v>1000</v>
      </c>
      <c r="X18" s="3">
        <f t="shared" si="0"/>
        <v>43746.151299999998</v>
      </c>
      <c r="Y18" s="3">
        <v>48309.770831879578</v>
      </c>
      <c r="AA18">
        <v>0</v>
      </c>
      <c r="AB18">
        <v>0</v>
      </c>
      <c r="AC18">
        <v>0</v>
      </c>
      <c r="AD18">
        <v>0</v>
      </c>
      <c r="AE18">
        <v>0</v>
      </c>
      <c r="AF18">
        <v>0</v>
      </c>
      <c r="AG18">
        <v>0</v>
      </c>
      <c r="AH18">
        <v>0</v>
      </c>
      <c r="AI18">
        <v>0</v>
      </c>
      <c r="AJ18">
        <v>0</v>
      </c>
      <c r="AK18">
        <v>0</v>
      </c>
      <c r="AL18">
        <v>0</v>
      </c>
      <c r="AM18">
        <v>0</v>
      </c>
      <c r="AN18">
        <v>0</v>
      </c>
      <c r="AO18">
        <v>0</v>
      </c>
      <c r="AP18">
        <v>48309.770831879578</v>
      </c>
      <c r="AQ18">
        <v>0</v>
      </c>
      <c r="AR18">
        <v>0</v>
      </c>
      <c r="AS18">
        <v>0</v>
      </c>
      <c r="AT18">
        <v>0</v>
      </c>
    </row>
    <row r="19" spans="1:46" x14ac:dyDescent="0.2">
      <c r="A19" s="3" t="s">
        <v>17</v>
      </c>
      <c r="B19" s="3">
        <v>0.12772100897713234</v>
      </c>
      <c r="C19" s="3">
        <v>113.81491562190543</v>
      </c>
      <c r="D19" s="3">
        <v>7.815184896586568</v>
      </c>
      <c r="E19" s="3">
        <v>19.253387508534519</v>
      </c>
      <c r="F19" s="3">
        <v>274.75526282429638</v>
      </c>
      <c r="G19" s="3">
        <v>29.144053803206926</v>
      </c>
      <c r="H19" s="3">
        <v>99.461776311334944</v>
      </c>
      <c r="I19" s="3">
        <v>17.948672265589352</v>
      </c>
      <c r="J19" s="3">
        <v>19.051518293116533</v>
      </c>
      <c r="K19" s="3">
        <v>314.37345205309987</v>
      </c>
      <c r="L19" s="3">
        <v>165.36819043682982</v>
      </c>
      <c r="M19" s="3">
        <v>76.087859074520622</v>
      </c>
      <c r="N19" s="3">
        <v>7.0587999999999989</v>
      </c>
      <c r="O19" s="3">
        <v>147.27930591506791</v>
      </c>
      <c r="P19" s="3">
        <v>39.835055851350326</v>
      </c>
      <c r="Q19" s="3">
        <v>300.30042037104892</v>
      </c>
      <c r="R19" s="3">
        <v>455.26214144927428</v>
      </c>
      <c r="S19" s="3">
        <v>34.641752289171549</v>
      </c>
      <c r="T19" s="3">
        <v>15.153316774745894</v>
      </c>
      <c r="U19" s="3">
        <v>16.38780338036829</v>
      </c>
      <c r="V19" s="3">
        <v>19783.240600000001</v>
      </c>
      <c r="W19" s="3"/>
      <c r="X19" s="3">
        <f t="shared" si="0"/>
        <v>19783.240600000001</v>
      </c>
      <c r="Y19" s="3">
        <v>21936.361190129035</v>
      </c>
      <c r="AA19">
        <v>0</v>
      </c>
      <c r="AB19">
        <v>0</v>
      </c>
      <c r="AC19">
        <v>0</v>
      </c>
      <c r="AD19">
        <v>0</v>
      </c>
      <c r="AE19">
        <v>0</v>
      </c>
      <c r="AF19">
        <v>0</v>
      </c>
      <c r="AG19">
        <v>0</v>
      </c>
      <c r="AH19">
        <v>0</v>
      </c>
      <c r="AI19">
        <v>0</v>
      </c>
      <c r="AJ19">
        <v>0</v>
      </c>
      <c r="AK19">
        <v>0</v>
      </c>
      <c r="AL19">
        <v>0</v>
      </c>
      <c r="AM19">
        <v>0</v>
      </c>
      <c r="AN19">
        <v>0</v>
      </c>
      <c r="AO19">
        <v>0</v>
      </c>
      <c r="AP19">
        <v>0</v>
      </c>
      <c r="AQ19">
        <v>21936.361190129035</v>
      </c>
      <c r="AR19">
        <v>0</v>
      </c>
      <c r="AS19">
        <v>0</v>
      </c>
      <c r="AT19">
        <v>0</v>
      </c>
    </row>
    <row r="20" spans="1:46" x14ac:dyDescent="0.2">
      <c r="A20" s="3" t="s">
        <v>18</v>
      </c>
      <c r="B20" s="3">
        <v>4.3307123639074623E-2</v>
      </c>
      <c r="C20" s="3">
        <v>27.476380310393843</v>
      </c>
      <c r="D20" s="3">
        <v>6.0229650199249347</v>
      </c>
      <c r="E20" s="3">
        <v>12.498204234954731</v>
      </c>
      <c r="F20" s="3">
        <v>113.08527220262449</v>
      </c>
      <c r="G20" s="3">
        <v>19.425268491043092</v>
      </c>
      <c r="H20" s="3">
        <v>74.222126225491138</v>
      </c>
      <c r="I20" s="3">
        <v>5.323234764223133</v>
      </c>
      <c r="J20" s="3">
        <v>14.283287225950527</v>
      </c>
      <c r="K20" s="3">
        <v>96.835031982271957</v>
      </c>
      <c r="L20" s="3">
        <v>94.163567596378982</v>
      </c>
      <c r="M20" s="3">
        <v>32.546009491328803</v>
      </c>
      <c r="N20" s="3">
        <v>1.9353000000000002</v>
      </c>
      <c r="O20" s="3">
        <v>424.25549827390705</v>
      </c>
      <c r="P20" s="3">
        <v>63.213028654526859</v>
      </c>
      <c r="Q20" s="3">
        <v>422.7292299003451</v>
      </c>
      <c r="R20" s="3">
        <v>25.489467010002365</v>
      </c>
      <c r="S20" s="3">
        <v>3063.7352955628567</v>
      </c>
      <c r="T20" s="3">
        <v>277.62761044361531</v>
      </c>
      <c r="U20" s="3">
        <v>59.388949509909736</v>
      </c>
      <c r="V20" s="3">
        <v>23582.623299999999</v>
      </c>
      <c r="W20" s="3"/>
      <c r="X20" s="3">
        <f t="shared" si="0"/>
        <v>23582.623299999999</v>
      </c>
      <c r="Y20" s="3">
        <v>28416.922334023395</v>
      </c>
      <c r="AA20">
        <v>0</v>
      </c>
      <c r="AB20">
        <v>0</v>
      </c>
      <c r="AC20">
        <v>0</v>
      </c>
      <c r="AD20">
        <v>0</v>
      </c>
      <c r="AE20">
        <v>0</v>
      </c>
      <c r="AF20">
        <v>0</v>
      </c>
      <c r="AG20">
        <v>0</v>
      </c>
      <c r="AH20">
        <v>0</v>
      </c>
      <c r="AI20">
        <v>0</v>
      </c>
      <c r="AJ20">
        <v>0</v>
      </c>
      <c r="AK20">
        <v>0</v>
      </c>
      <c r="AL20">
        <v>0</v>
      </c>
      <c r="AM20">
        <v>0</v>
      </c>
      <c r="AN20">
        <v>0</v>
      </c>
      <c r="AO20">
        <v>0</v>
      </c>
      <c r="AP20">
        <v>0</v>
      </c>
      <c r="AQ20">
        <v>0</v>
      </c>
      <c r="AR20">
        <v>28416.922334023395</v>
      </c>
      <c r="AS20">
        <v>0</v>
      </c>
      <c r="AT20">
        <v>0</v>
      </c>
    </row>
    <row r="21" spans="1:46" x14ac:dyDescent="0.2">
      <c r="A21" s="3" t="s">
        <v>19</v>
      </c>
      <c r="B21" s="3">
        <v>1.8202994231666471E-2</v>
      </c>
      <c r="C21" s="3">
        <v>26.601124848929214</v>
      </c>
      <c r="D21" s="3">
        <v>3.7177089267527603</v>
      </c>
      <c r="E21" s="3">
        <v>63.061212611718297</v>
      </c>
      <c r="F21" s="3">
        <v>142.70304590189673</v>
      </c>
      <c r="G21" s="3">
        <v>56.788747605851455</v>
      </c>
      <c r="H21" s="3">
        <v>71.958184878447028</v>
      </c>
      <c r="I21" s="3">
        <v>8.9320175719259058</v>
      </c>
      <c r="J21" s="3">
        <v>17.144986078465834</v>
      </c>
      <c r="K21" s="3">
        <v>212.18524515116516</v>
      </c>
      <c r="L21" s="3">
        <v>330.51264168044116</v>
      </c>
      <c r="M21" s="3">
        <v>28.119993970692757</v>
      </c>
      <c r="N21" s="3">
        <v>0.74</v>
      </c>
      <c r="O21" s="3">
        <v>82.129309979690731</v>
      </c>
      <c r="P21" s="3">
        <v>59.36880172147616</v>
      </c>
      <c r="Q21" s="3">
        <v>28.323983169530027</v>
      </c>
      <c r="R21" s="3">
        <v>203.04314965035826</v>
      </c>
      <c r="S21" s="3">
        <v>23.824545365471465</v>
      </c>
      <c r="T21" s="3">
        <v>292.83783667030326</v>
      </c>
      <c r="U21" s="3">
        <v>22.457397253002469</v>
      </c>
      <c r="V21" s="3">
        <v>6957.9516999999996</v>
      </c>
      <c r="W21" s="3"/>
      <c r="X21" s="3">
        <f t="shared" si="0"/>
        <v>6957.9516999999996</v>
      </c>
      <c r="Y21" s="3">
        <v>8632.4198360303508</v>
      </c>
      <c r="AA21">
        <v>0</v>
      </c>
      <c r="AB21">
        <v>0</v>
      </c>
      <c r="AC21">
        <v>0</v>
      </c>
      <c r="AD21">
        <v>0</v>
      </c>
      <c r="AE21">
        <v>0</v>
      </c>
      <c r="AF21">
        <v>0</v>
      </c>
      <c r="AG21">
        <v>0</v>
      </c>
      <c r="AH21">
        <v>0</v>
      </c>
      <c r="AI21">
        <v>0</v>
      </c>
      <c r="AJ21">
        <v>0</v>
      </c>
      <c r="AK21">
        <v>0</v>
      </c>
      <c r="AL21">
        <v>0</v>
      </c>
      <c r="AM21">
        <v>0</v>
      </c>
      <c r="AN21">
        <v>0</v>
      </c>
      <c r="AO21">
        <v>0</v>
      </c>
      <c r="AP21">
        <v>0</v>
      </c>
      <c r="AQ21">
        <v>0</v>
      </c>
      <c r="AR21">
        <v>0</v>
      </c>
      <c r="AS21">
        <v>8632.4198360303508</v>
      </c>
      <c r="AT21">
        <v>0</v>
      </c>
    </row>
    <row r="22" spans="1:46" x14ac:dyDescent="0.2">
      <c r="A22" s="3" t="s">
        <v>20</v>
      </c>
      <c r="B22" s="3">
        <v>8.3913803078945984E-2</v>
      </c>
      <c r="C22" s="3">
        <v>111.97228833741644</v>
      </c>
      <c r="D22" s="3">
        <v>25.414331170618905</v>
      </c>
      <c r="E22" s="3">
        <v>61.075894242423225</v>
      </c>
      <c r="F22" s="3">
        <v>182.85353273353113</v>
      </c>
      <c r="G22" s="3">
        <v>42.129605597818156</v>
      </c>
      <c r="H22" s="3">
        <v>296.48869163973086</v>
      </c>
      <c r="I22" s="3">
        <v>65.735331435551743</v>
      </c>
      <c r="J22" s="3">
        <v>18.159269218893858</v>
      </c>
      <c r="K22" s="3">
        <v>307.8601890957068</v>
      </c>
      <c r="L22" s="3">
        <v>214.60042321896691</v>
      </c>
      <c r="M22" s="3">
        <v>72.502535325999318</v>
      </c>
      <c r="N22" s="3">
        <v>70.106800000000007</v>
      </c>
      <c r="O22" s="3">
        <v>132.61664920277485</v>
      </c>
      <c r="P22" s="3">
        <v>117.44041208722363</v>
      </c>
      <c r="Q22" s="3">
        <v>311.45808071186474</v>
      </c>
      <c r="R22" s="3">
        <v>152.61859760824868</v>
      </c>
      <c r="S22" s="3">
        <v>171.90986830053106</v>
      </c>
      <c r="T22" s="3">
        <v>145.95714163986818</v>
      </c>
      <c r="U22" s="3">
        <v>98.467726929739328</v>
      </c>
      <c r="V22" s="3">
        <v>7567.4430000000002</v>
      </c>
      <c r="W22" s="3"/>
      <c r="X22" s="3">
        <f t="shared" si="0"/>
        <v>7567.4430000000002</v>
      </c>
      <c r="Y22" s="3">
        <v>10166.894282299985</v>
      </c>
      <c r="AA22">
        <v>0</v>
      </c>
      <c r="AB22">
        <v>0</v>
      </c>
      <c r="AC22">
        <v>0</v>
      </c>
      <c r="AD22">
        <v>0</v>
      </c>
      <c r="AE22">
        <v>0</v>
      </c>
      <c r="AF22">
        <v>0</v>
      </c>
      <c r="AG22">
        <v>0</v>
      </c>
      <c r="AH22">
        <v>0</v>
      </c>
      <c r="AI22">
        <v>0</v>
      </c>
      <c r="AJ22">
        <v>0</v>
      </c>
      <c r="AK22">
        <v>0</v>
      </c>
      <c r="AL22">
        <v>0</v>
      </c>
      <c r="AM22">
        <v>0</v>
      </c>
      <c r="AN22">
        <v>0</v>
      </c>
      <c r="AO22">
        <v>0</v>
      </c>
      <c r="AP22">
        <v>0</v>
      </c>
      <c r="AQ22">
        <v>0</v>
      </c>
      <c r="AR22">
        <v>0</v>
      </c>
      <c r="AS22">
        <v>0</v>
      </c>
      <c r="AT22">
        <v>10166.894282299985</v>
      </c>
    </row>
    <row r="23" spans="1:46" x14ac:dyDescent="0.2">
      <c r="A23" s="3" t="s">
        <v>21</v>
      </c>
      <c r="B23" s="3" cm="1">
        <f t="array" ref="B23:U23">TRANSPOSE(MMULT(_xlfn.ANCHORARRAY(G40),Y3:Y22))</f>
        <v>270.12323288436278</v>
      </c>
      <c r="C23" s="3">
        <v>221479.86069595249</v>
      </c>
      <c r="D23" s="3">
        <v>9279.3259285758177</v>
      </c>
      <c r="E23" s="3">
        <v>13129.180019388828</v>
      </c>
      <c r="F23" s="3">
        <v>101425.03949543128</v>
      </c>
      <c r="G23" s="3">
        <v>1300.0411371376188</v>
      </c>
      <c r="H23" s="3">
        <v>116789.69399963212</v>
      </c>
      <c r="I23" s="3">
        <v>643.33126430160269</v>
      </c>
      <c r="J23" s="3">
        <v>3209.1891555603329</v>
      </c>
      <c r="K23" s="3">
        <v>69061.564689837905</v>
      </c>
      <c r="L23" s="3">
        <v>39828.638266251575</v>
      </c>
      <c r="M23" s="3">
        <v>920.16581476085071</v>
      </c>
      <c r="N23" s="3">
        <v>0</v>
      </c>
      <c r="O23" s="3">
        <v>19909.5415380505</v>
      </c>
      <c r="P23" s="3">
        <v>3660.5047373592943</v>
      </c>
      <c r="Q23" s="3">
        <v>8662.6222137690274</v>
      </c>
      <c r="R23" s="3">
        <v>1459.9511342554079</v>
      </c>
      <c r="S23" s="3">
        <v>2791.0815782666286</v>
      </c>
      <c r="T23" s="3">
        <v>682.23431051208138</v>
      </c>
      <c r="U23" s="3">
        <v>1122.9742416510987</v>
      </c>
      <c r="V23" s="3">
        <v>430911.44959999999</v>
      </c>
      <c r="W23" s="3"/>
      <c r="X23" s="3">
        <f t="shared" si="0"/>
        <v>430911.44959999999</v>
      </c>
      <c r="Y23" s="3">
        <f>SUM(_xlfn.ANCHORARRAY(B23))+X23</f>
        <v>1046536.5130535788</v>
      </c>
    </row>
    <row r="24" spans="1:46" x14ac:dyDescent="0.2">
      <c r="A24" s="3" t="s">
        <v>22</v>
      </c>
      <c r="B24" s="3" cm="1">
        <f t="array" ref="B24:U24">TRANSPOSE(MMULT(_xlfn.ANCHORARRAY(G62),Y3:Y22))</f>
        <v>2.7359500396001994</v>
      </c>
      <c r="C24" s="3">
        <v>182.27427526304584</v>
      </c>
      <c r="D24" s="3">
        <v>215.48673420882196</v>
      </c>
      <c r="E24" s="3">
        <v>34.306001373302664</v>
      </c>
      <c r="F24" s="3">
        <v>112.84804037417062</v>
      </c>
      <c r="G24" s="3">
        <v>22.492100303280072</v>
      </c>
      <c r="H24" s="3">
        <v>504.0602941497354</v>
      </c>
      <c r="I24" s="3">
        <v>24.442020240027929</v>
      </c>
      <c r="J24" s="3">
        <v>402.89396915809544</v>
      </c>
      <c r="K24" s="3">
        <v>817.80623348573317</v>
      </c>
      <c r="L24" s="3">
        <v>1619.3750278607547</v>
      </c>
      <c r="M24" s="3">
        <v>396.32057437824329</v>
      </c>
      <c r="N24" s="3">
        <v>0</v>
      </c>
      <c r="O24" s="3">
        <v>164.15054730944917</v>
      </c>
      <c r="P24" s="3">
        <v>30.659421495082949</v>
      </c>
      <c r="Q24" s="3">
        <v>217.01694823464686</v>
      </c>
      <c r="R24" s="3">
        <v>144.49373059117951</v>
      </c>
      <c r="S24" s="3">
        <v>811.2325972865068</v>
      </c>
      <c r="T24" s="3">
        <v>109.39676942327938</v>
      </c>
      <c r="U24" s="3">
        <v>33.231952153303965</v>
      </c>
      <c r="V24" s="3">
        <v>25967.855899999999</v>
      </c>
      <c r="W24" s="3"/>
      <c r="X24" s="3">
        <f t="shared" si="0"/>
        <v>25967.855899999999</v>
      </c>
      <c r="Y24" s="3">
        <f t="shared" ref="Y24:Y28" si="1">SUM(_xlfn.ANCHORARRAY(B24))+X24</f>
        <v>31813.07908732826</v>
      </c>
    </row>
    <row r="25" spans="1:46" x14ac:dyDescent="0.2">
      <c r="A25" s="3" t="s">
        <v>23</v>
      </c>
      <c r="B25" s="3" cm="1">
        <f t="array" ref="B25:U25">TRANSPOSE(MMULT(_xlfn.ANCHORARRAY(G83),Y3:Y22))</f>
        <v>86.714263729971591</v>
      </c>
      <c r="C25" s="3">
        <v>28880.534614018528</v>
      </c>
      <c r="D25" s="3">
        <v>1865.8149219200693</v>
      </c>
      <c r="E25" s="3">
        <v>14886.47232200562</v>
      </c>
      <c r="F25" s="3">
        <v>26132.303767590274</v>
      </c>
      <c r="G25" s="3">
        <v>5169.3423037360317</v>
      </c>
      <c r="H25" s="3">
        <v>15087.293146620383</v>
      </c>
      <c r="I25" s="3">
        <v>1621.3137061982738</v>
      </c>
      <c r="J25" s="3">
        <v>3826.0001403470847</v>
      </c>
      <c r="K25" s="3">
        <v>23464.011293029747</v>
      </c>
      <c r="L25" s="21">
        <v>34411.041767665512</v>
      </c>
      <c r="M25" s="3">
        <v>3494.7946240824517</v>
      </c>
      <c r="N25" s="3">
        <v>0</v>
      </c>
      <c r="O25" s="3">
        <v>26706.461447546921</v>
      </c>
      <c r="P25" s="3">
        <v>9633.5612230754268</v>
      </c>
      <c r="Q25" s="3">
        <v>14837.79637813652</v>
      </c>
      <c r="R25" s="3">
        <v>12882.575552153145</v>
      </c>
      <c r="S25" s="3">
        <v>13661.128063341937</v>
      </c>
      <c r="T25" s="3">
        <v>2367.9518869349408</v>
      </c>
      <c r="U25" s="3">
        <v>5628.8620974917003</v>
      </c>
      <c r="V25" s="3">
        <v>0</v>
      </c>
      <c r="W25" s="3"/>
      <c r="X25" s="3">
        <f t="shared" si="0"/>
        <v>0</v>
      </c>
      <c r="Y25" s="3">
        <f t="shared" si="1"/>
        <v>244643.97351962453</v>
      </c>
    </row>
    <row r="26" spans="1:46" x14ac:dyDescent="0.2">
      <c r="A26" s="3" t="s">
        <v>24</v>
      </c>
      <c r="B26" s="3" cm="1">
        <f t="array" ref="B26:U26">TRANSPOSE(MMULT(_xlfn.ANCHORARRAY(G105),Y3:Y22))</f>
        <v>6.4010529166299683</v>
      </c>
      <c r="C26" s="3">
        <v>859.65269012553051</v>
      </c>
      <c r="D26" s="3">
        <v>271.24785900274173</v>
      </c>
      <c r="E26" s="3">
        <v>1729.0772780036923</v>
      </c>
      <c r="F26" s="3">
        <v>-91.112224165885507</v>
      </c>
      <c r="G26" s="3">
        <v>-64.111117361116158</v>
      </c>
      <c r="H26" s="3">
        <v>412.51686100869858</v>
      </c>
      <c r="I26" s="3">
        <v>81.935937001235615</v>
      </c>
      <c r="J26" s="3">
        <v>-221.36179386264396</v>
      </c>
      <c r="K26" s="3">
        <v>-57.334004279752577</v>
      </c>
      <c r="L26" s="21">
        <v>-99.10595135852202</v>
      </c>
      <c r="M26" s="3">
        <v>1783.1551823964751</v>
      </c>
      <c r="N26" s="3">
        <v>1128.9000000000001</v>
      </c>
      <c r="O26" s="3">
        <v>-394.86544132662999</v>
      </c>
      <c r="P26" s="3">
        <v>-145.5448901326871</v>
      </c>
      <c r="Q26" s="3">
        <v>24.824540261476969</v>
      </c>
      <c r="R26" s="3">
        <v>-119.73930486114347</v>
      </c>
      <c r="S26" s="3">
        <v>-66.125105442155885</v>
      </c>
      <c r="T26" s="3">
        <v>165.72752525116786</v>
      </c>
      <c r="U26" s="3">
        <v>331.651015563226</v>
      </c>
      <c r="V26" s="3">
        <v>0</v>
      </c>
      <c r="W26" s="3"/>
      <c r="X26" s="3">
        <f t="shared" si="0"/>
        <v>0</v>
      </c>
      <c r="Y26" s="3">
        <f t="shared" si="1"/>
        <v>5535.790108740337</v>
      </c>
    </row>
    <row r="27" spans="1:46" x14ac:dyDescent="0.2">
      <c r="A27" s="3" t="s">
        <v>25</v>
      </c>
      <c r="B27" s="3" cm="1">
        <f t="array" ref="B27:U27">TRANSPOSE(MMULT(_xlfn.ANCHORARRAY(G127),Y3:Y22))</f>
        <v>90.540093045079857</v>
      </c>
      <c r="C27" s="3">
        <v>108677.56683429235</v>
      </c>
      <c r="D27" s="3">
        <v>6056.4619761604736</v>
      </c>
      <c r="E27" s="3">
        <v>4608.4203147342168</v>
      </c>
      <c r="F27" s="3">
        <v>115777.36939063092</v>
      </c>
      <c r="G27" s="3">
        <v>2851.3142398314153</v>
      </c>
      <c r="H27" s="3">
        <v>65402.356592041295</v>
      </c>
      <c r="I27" s="3">
        <v>1953.8473550478379</v>
      </c>
      <c r="J27" s="3">
        <v>1227.7408278337139</v>
      </c>
      <c r="K27" s="3">
        <v>10616.980134961592</v>
      </c>
      <c r="L27" s="21">
        <v>46515.893821283411</v>
      </c>
      <c r="M27" s="3">
        <v>13438.385326114398</v>
      </c>
      <c r="N27" s="3">
        <v>19370.400000000001</v>
      </c>
      <c r="O27" s="3">
        <v>7367.4331269417316</v>
      </c>
      <c r="P27" s="3">
        <v>8976.1159354127067</v>
      </c>
      <c r="Q27" s="3">
        <v>687.29406053408547</v>
      </c>
      <c r="R27" s="3">
        <v>2858.5815397591778</v>
      </c>
      <c r="S27" s="3">
        <v>1357.7187794091064</v>
      </c>
      <c r="T27" s="3">
        <v>2246.653340776696</v>
      </c>
      <c r="U27" s="3">
        <v>297.07124328994456</v>
      </c>
      <c r="V27" s="3">
        <v>0</v>
      </c>
      <c r="W27" s="3"/>
      <c r="X27" s="3">
        <f t="shared" si="0"/>
        <v>0</v>
      </c>
      <c r="Y27" s="3">
        <f t="shared" si="1"/>
        <v>420378.14493210014</v>
      </c>
    </row>
    <row r="28" spans="1:46" x14ac:dyDescent="0.2">
      <c r="A28" s="3" t="s">
        <v>27</v>
      </c>
      <c r="B28" s="3" cm="1">
        <f t="array" ref="B28:U28">TRANSPOSE(MMULT('5-6-7-8-11-9'!B129:U148,X3:X22))</f>
        <v>742.12067229146135</v>
      </c>
      <c r="C28" s="3">
        <v>476702.48112651421</v>
      </c>
      <c r="D28" s="3">
        <v>23925.425018718171</v>
      </c>
      <c r="E28" s="3">
        <v>71096.451357341401</v>
      </c>
      <c r="F28" s="3">
        <v>316069.7649272448</v>
      </c>
      <c r="G28" s="3">
        <v>16801.245465257303</v>
      </c>
      <c r="H28" s="3">
        <v>320235.50362269965</v>
      </c>
      <c r="I28" s="3">
        <v>6540.2858613380686</v>
      </c>
      <c r="J28" s="3">
        <v>14814.344572331014</v>
      </c>
      <c r="K28" s="3">
        <v>182784.21336493979</v>
      </c>
      <c r="L28" s="20">
        <v>169878.24991335478</v>
      </c>
      <c r="M28" s="3">
        <v>38984.150769248256</v>
      </c>
      <c r="N28" s="3">
        <v>24745.4</v>
      </c>
      <c r="O28" s="3">
        <v>77913.285331501</v>
      </c>
      <c r="P28" s="3">
        <v>30252.182287907821</v>
      </c>
      <c r="Q28" s="3">
        <v>48309.770831879578</v>
      </c>
      <c r="R28" s="3">
        <v>21936.361190129035</v>
      </c>
      <c r="S28" s="3">
        <v>28416.922334023395</v>
      </c>
      <c r="T28" s="3">
        <v>8632.4198360303508</v>
      </c>
      <c r="U28" s="3">
        <v>10166.894282299985</v>
      </c>
      <c r="V28" s="3">
        <f>SUM(V3:V27)</f>
        <v>1747907.5010999998</v>
      </c>
      <c r="W28" s="3">
        <f>SUM(W3:W27)</f>
        <v>1000</v>
      </c>
      <c r="X28" s="3">
        <f>SUM(X3:X27)</f>
        <v>1748907.5010999998</v>
      </c>
      <c r="Y28" s="3">
        <f t="shared" si="1"/>
        <v>3637854.9738650499</v>
      </c>
    </row>
    <row r="32" spans="1:46" x14ac:dyDescent="0.2">
      <c r="Q32" s="3"/>
    </row>
    <row r="39" spans="1:26" ht="69" customHeight="1" x14ac:dyDescent="0.2">
      <c r="A39" s="8" t="s">
        <v>21</v>
      </c>
      <c r="B39" s="8" t="s">
        <v>22</v>
      </c>
      <c r="C39" s="8" t="s">
        <v>23</v>
      </c>
      <c r="D39" s="8" t="s">
        <v>24</v>
      </c>
      <c r="E39" s="8" t="s">
        <v>25</v>
      </c>
    </row>
    <row r="40" spans="1:26" x14ac:dyDescent="0.2">
      <c r="A40" s="3">
        <v>0.36398828784852155</v>
      </c>
      <c r="B40" s="3">
        <v>3.6866646379117157E-3</v>
      </c>
      <c r="C40" s="7">
        <v>0.11684658165123223</v>
      </c>
      <c r="D40" s="7">
        <v>8.6253532014750438E-3</v>
      </c>
      <c r="E40" s="7">
        <v>0.12200184744283883</v>
      </c>
      <c r="G40" cm="1">
        <f t="array" ref="G40:Z59">IF(_xlfn.SEQUENCE(20,20)=TRANSPOSE(_xlfn.SEQUENCE(20,20)), A40:A59, 0)</f>
        <v>0.36398828784852155</v>
      </c>
      <c r="H40">
        <v>0</v>
      </c>
      <c r="I40">
        <v>0</v>
      </c>
      <c r="J40">
        <v>0</v>
      </c>
      <c r="K40">
        <v>0</v>
      </c>
      <c r="L40">
        <v>0</v>
      </c>
      <c r="M40">
        <v>0</v>
      </c>
      <c r="N40">
        <v>0</v>
      </c>
      <c r="O40">
        <v>0</v>
      </c>
      <c r="P40">
        <v>0</v>
      </c>
      <c r="Q40">
        <v>0</v>
      </c>
      <c r="R40">
        <v>0</v>
      </c>
      <c r="S40">
        <v>0</v>
      </c>
      <c r="T40">
        <v>0</v>
      </c>
      <c r="U40">
        <v>0</v>
      </c>
      <c r="V40">
        <v>0</v>
      </c>
      <c r="W40">
        <v>0</v>
      </c>
      <c r="X40">
        <v>0</v>
      </c>
      <c r="Y40">
        <v>0</v>
      </c>
      <c r="Z40">
        <v>0</v>
      </c>
    </row>
    <row r="41" spans="1:26" x14ac:dyDescent="0.2">
      <c r="A41" s="3">
        <v>0.46460815595623667</v>
      </c>
      <c r="B41" s="3">
        <v>3.8236485539640237E-4</v>
      </c>
      <c r="C41" s="7">
        <v>6.0583982163822207E-2</v>
      </c>
      <c r="D41" s="7">
        <v>1.8033316883395525E-3</v>
      </c>
      <c r="E41" s="7">
        <v>0.22797776629454949</v>
      </c>
      <c r="G41">
        <v>0</v>
      </c>
      <c r="H41">
        <v>0.46460815595623667</v>
      </c>
      <c r="I41">
        <v>0</v>
      </c>
      <c r="J41">
        <v>0</v>
      </c>
      <c r="K41">
        <v>0</v>
      </c>
      <c r="L41">
        <v>0</v>
      </c>
      <c r="M41">
        <v>0</v>
      </c>
      <c r="N41">
        <v>0</v>
      </c>
      <c r="O41">
        <v>0</v>
      </c>
      <c r="P41">
        <v>0</v>
      </c>
      <c r="Q41">
        <v>0</v>
      </c>
      <c r="R41">
        <v>0</v>
      </c>
      <c r="S41">
        <v>0</v>
      </c>
      <c r="T41">
        <v>0</v>
      </c>
      <c r="U41">
        <v>0</v>
      </c>
      <c r="V41">
        <v>0</v>
      </c>
      <c r="W41">
        <v>0</v>
      </c>
      <c r="X41">
        <v>0</v>
      </c>
      <c r="Y41">
        <v>0</v>
      </c>
      <c r="Z41">
        <v>0</v>
      </c>
    </row>
    <row r="42" spans="1:26" x14ac:dyDescent="0.2">
      <c r="A42" s="3">
        <v>0.38784372362522684</v>
      </c>
      <c r="B42" s="3">
        <v>9.0066000516285452E-3</v>
      </c>
      <c r="C42" s="7">
        <v>7.7984609279055234E-2</v>
      </c>
      <c r="D42" s="7">
        <v>1.1337222172251053E-2</v>
      </c>
      <c r="E42" s="7">
        <v>0.25313915934292375</v>
      </c>
      <c r="G42">
        <v>0</v>
      </c>
      <c r="H42">
        <v>0</v>
      </c>
      <c r="I42">
        <v>0.38784372362522684</v>
      </c>
      <c r="J42">
        <v>0</v>
      </c>
      <c r="K42">
        <v>0</v>
      </c>
      <c r="L42">
        <v>0</v>
      </c>
      <c r="M42">
        <v>0</v>
      </c>
      <c r="N42">
        <v>0</v>
      </c>
      <c r="O42">
        <v>0</v>
      </c>
      <c r="P42">
        <v>0</v>
      </c>
      <c r="Q42">
        <v>0</v>
      </c>
      <c r="R42">
        <v>0</v>
      </c>
      <c r="S42">
        <v>0</v>
      </c>
      <c r="T42">
        <v>0</v>
      </c>
      <c r="U42">
        <v>0</v>
      </c>
      <c r="V42">
        <v>0</v>
      </c>
      <c r="W42">
        <v>0</v>
      </c>
      <c r="X42">
        <v>0</v>
      </c>
      <c r="Y42">
        <v>0</v>
      </c>
      <c r="Z42">
        <v>0</v>
      </c>
    </row>
    <row r="43" spans="1:26" x14ac:dyDescent="0.2">
      <c r="A43" s="3">
        <v>0.18466716367318539</v>
      </c>
      <c r="B43" s="3">
        <v>4.8252761872566002E-4</v>
      </c>
      <c r="C43" s="7">
        <v>0.20938418216099117</v>
      </c>
      <c r="D43" s="7">
        <v>2.4320162891296657E-2</v>
      </c>
      <c r="E43" s="7">
        <v>6.4819273349827358E-2</v>
      </c>
      <c r="G43">
        <v>0</v>
      </c>
      <c r="H43">
        <v>0</v>
      </c>
      <c r="I43">
        <v>0</v>
      </c>
      <c r="J43">
        <v>0.18466716367318539</v>
      </c>
      <c r="K43">
        <v>0</v>
      </c>
      <c r="L43">
        <v>0</v>
      </c>
      <c r="M43">
        <v>0</v>
      </c>
      <c r="N43">
        <v>0</v>
      </c>
      <c r="O43">
        <v>0</v>
      </c>
      <c r="P43">
        <v>0</v>
      </c>
      <c r="Q43">
        <v>0</v>
      </c>
      <c r="R43">
        <v>0</v>
      </c>
      <c r="S43">
        <v>0</v>
      </c>
      <c r="T43">
        <v>0</v>
      </c>
      <c r="U43">
        <v>0</v>
      </c>
      <c r="V43">
        <v>0</v>
      </c>
      <c r="W43">
        <v>0</v>
      </c>
      <c r="X43">
        <v>0</v>
      </c>
      <c r="Y43">
        <v>0</v>
      </c>
      <c r="Z43">
        <v>0</v>
      </c>
    </row>
    <row r="44" spans="1:26" x14ac:dyDescent="0.2">
      <c r="A44" s="3">
        <v>0.32089446935482113</v>
      </c>
      <c r="B44" s="3">
        <v>3.5703522733389825E-4</v>
      </c>
      <c r="C44" s="7">
        <v>8.2678910377921133E-2</v>
      </c>
      <c r="D44" s="7">
        <v>-2.8826618131872996E-4</v>
      </c>
      <c r="E44" s="7">
        <v>0.36630320972738845</v>
      </c>
      <c r="G44">
        <v>0</v>
      </c>
      <c r="H44">
        <v>0</v>
      </c>
      <c r="I44">
        <v>0</v>
      </c>
      <c r="J44">
        <v>0</v>
      </c>
      <c r="K44">
        <v>0.32089446935482113</v>
      </c>
      <c r="L44">
        <v>0</v>
      </c>
      <c r="M44">
        <v>0</v>
      </c>
      <c r="N44">
        <v>0</v>
      </c>
      <c r="O44">
        <v>0</v>
      </c>
      <c r="P44">
        <v>0</v>
      </c>
      <c r="Q44">
        <v>0</v>
      </c>
      <c r="R44">
        <v>0</v>
      </c>
      <c r="S44">
        <v>0</v>
      </c>
      <c r="T44">
        <v>0</v>
      </c>
      <c r="U44">
        <v>0</v>
      </c>
      <c r="V44">
        <v>0</v>
      </c>
      <c r="W44">
        <v>0</v>
      </c>
      <c r="X44">
        <v>0</v>
      </c>
      <c r="Y44">
        <v>0</v>
      </c>
      <c r="Z44">
        <v>0</v>
      </c>
    </row>
    <row r="45" spans="1:26" x14ac:dyDescent="0.2">
      <c r="A45" s="3">
        <v>7.7377664639560653E-2</v>
      </c>
      <c r="B45" s="3">
        <v>1.3387162487323147E-3</v>
      </c>
      <c r="C45" s="7">
        <v>0.30767613713075798</v>
      </c>
      <c r="D45" s="7">
        <v>-3.8158550503704773E-3</v>
      </c>
      <c r="E45" s="7">
        <v>0.16970850439198371</v>
      </c>
      <c r="G45">
        <v>0</v>
      </c>
      <c r="H45">
        <v>0</v>
      </c>
      <c r="I45">
        <v>0</v>
      </c>
      <c r="J45">
        <v>0</v>
      </c>
      <c r="K45">
        <v>0</v>
      </c>
      <c r="L45">
        <v>7.7377664639560653E-2</v>
      </c>
      <c r="M45">
        <v>0</v>
      </c>
      <c r="N45">
        <v>0</v>
      </c>
      <c r="O45">
        <v>0</v>
      </c>
      <c r="P45">
        <v>0</v>
      </c>
      <c r="Q45">
        <v>0</v>
      </c>
      <c r="R45">
        <v>0</v>
      </c>
      <c r="S45">
        <v>0</v>
      </c>
      <c r="T45">
        <v>0</v>
      </c>
      <c r="U45">
        <v>0</v>
      </c>
      <c r="V45">
        <v>0</v>
      </c>
      <c r="W45">
        <v>0</v>
      </c>
      <c r="X45">
        <v>0</v>
      </c>
      <c r="Y45">
        <v>0</v>
      </c>
      <c r="Z45">
        <v>0</v>
      </c>
    </row>
    <row r="46" spans="1:26" x14ac:dyDescent="0.2">
      <c r="A46" s="3">
        <v>0.36469939366009002</v>
      </c>
      <c r="B46" s="3">
        <v>1.574030013685233E-3</v>
      </c>
      <c r="C46" s="7">
        <v>4.7113118239369797E-2</v>
      </c>
      <c r="D46" s="7">
        <v>1.2881671655455308E-3</v>
      </c>
      <c r="E46" s="7">
        <v>0.20423206000636995</v>
      </c>
      <c r="G46">
        <v>0</v>
      </c>
      <c r="H46">
        <v>0</v>
      </c>
      <c r="I46">
        <v>0</v>
      </c>
      <c r="J46">
        <v>0</v>
      </c>
      <c r="K46">
        <v>0</v>
      </c>
      <c r="L46">
        <v>0</v>
      </c>
      <c r="M46">
        <v>0.36469939366009002</v>
      </c>
      <c r="N46">
        <v>0</v>
      </c>
      <c r="O46">
        <v>0</v>
      </c>
      <c r="P46">
        <v>0</v>
      </c>
      <c r="Q46">
        <v>0</v>
      </c>
      <c r="R46">
        <v>0</v>
      </c>
      <c r="S46">
        <v>0</v>
      </c>
      <c r="T46">
        <v>0</v>
      </c>
      <c r="U46">
        <v>0</v>
      </c>
      <c r="V46">
        <v>0</v>
      </c>
      <c r="W46">
        <v>0</v>
      </c>
      <c r="X46">
        <v>0</v>
      </c>
      <c r="Y46">
        <v>0</v>
      </c>
      <c r="Z46">
        <v>0</v>
      </c>
    </row>
    <row r="47" spans="1:26" x14ac:dyDescent="0.2">
      <c r="A47" s="3">
        <v>9.8364395370630534E-2</v>
      </c>
      <c r="B47" s="3">
        <v>3.7371486137193657E-3</v>
      </c>
      <c r="C47" s="7">
        <v>0.2478964590496617</v>
      </c>
      <c r="D47" s="7">
        <v>1.252788314431144E-2</v>
      </c>
      <c r="E47" s="7">
        <v>0.29874036035606905</v>
      </c>
      <c r="G47">
        <v>0</v>
      </c>
      <c r="H47">
        <v>0</v>
      </c>
      <c r="I47">
        <v>0</v>
      </c>
      <c r="J47">
        <v>0</v>
      </c>
      <c r="K47">
        <v>0</v>
      </c>
      <c r="L47">
        <v>0</v>
      </c>
      <c r="M47">
        <v>0</v>
      </c>
      <c r="N47">
        <v>9.8364395370630534E-2</v>
      </c>
      <c r="O47">
        <v>0</v>
      </c>
      <c r="P47">
        <v>0</v>
      </c>
      <c r="Q47">
        <v>0</v>
      </c>
      <c r="R47">
        <v>0</v>
      </c>
      <c r="S47">
        <v>0</v>
      </c>
      <c r="T47">
        <v>0</v>
      </c>
      <c r="U47">
        <v>0</v>
      </c>
      <c r="V47">
        <v>0</v>
      </c>
      <c r="W47">
        <v>0</v>
      </c>
      <c r="X47">
        <v>0</v>
      </c>
      <c r="Y47">
        <v>0</v>
      </c>
      <c r="Z47">
        <v>0</v>
      </c>
    </row>
    <row r="48" spans="1:26" x14ac:dyDescent="0.2">
      <c r="A48" s="3">
        <v>0.21662714404214589</v>
      </c>
      <c r="B48" s="3">
        <v>2.7196206162950123E-2</v>
      </c>
      <c r="C48" s="7">
        <v>0.25826320710083694</v>
      </c>
      <c r="D48" s="7">
        <v>-1.4942395377793823E-2</v>
      </c>
      <c r="E48" s="7">
        <v>8.2875136448951295E-2</v>
      </c>
      <c r="G48">
        <v>0</v>
      </c>
      <c r="H48">
        <v>0</v>
      </c>
      <c r="I48">
        <v>0</v>
      </c>
      <c r="J48">
        <v>0</v>
      </c>
      <c r="K48">
        <v>0</v>
      </c>
      <c r="L48">
        <v>0</v>
      </c>
      <c r="M48">
        <v>0</v>
      </c>
      <c r="N48">
        <v>0</v>
      </c>
      <c r="O48">
        <v>0.21662714404214589</v>
      </c>
      <c r="P48">
        <v>0</v>
      </c>
      <c r="Q48">
        <v>0</v>
      </c>
      <c r="R48">
        <v>0</v>
      </c>
      <c r="S48">
        <v>0</v>
      </c>
      <c r="T48">
        <v>0</v>
      </c>
      <c r="U48">
        <v>0</v>
      </c>
      <c r="V48">
        <v>0</v>
      </c>
      <c r="W48">
        <v>0</v>
      </c>
      <c r="X48">
        <v>0</v>
      </c>
      <c r="Y48">
        <v>0</v>
      </c>
      <c r="Z48">
        <v>0</v>
      </c>
    </row>
    <row r="49" spans="1:26" x14ac:dyDescent="0.2">
      <c r="A49" s="3">
        <v>0.37783112347865783</v>
      </c>
      <c r="B49" s="3">
        <v>4.4741622836592205E-3</v>
      </c>
      <c r="C49" s="7">
        <v>0.12837000997554654</v>
      </c>
      <c r="D49" s="7">
        <v>-3.1367043807706605E-4</v>
      </c>
      <c r="E49" s="7">
        <v>5.8084776247958277E-2</v>
      </c>
      <c r="G49">
        <v>0</v>
      </c>
      <c r="H49">
        <v>0</v>
      </c>
      <c r="I49">
        <v>0</v>
      </c>
      <c r="J49">
        <v>0</v>
      </c>
      <c r="K49">
        <v>0</v>
      </c>
      <c r="L49">
        <v>0</v>
      </c>
      <c r="M49">
        <v>0</v>
      </c>
      <c r="N49">
        <v>0</v>
      </c>
      <c r="O49">
        <v>0</v>
      </c>
      <c r="P49">
        <v>0.37783112347865783</v>
      </c>
      <c r="Q49">
        <v>0</v>
      </c>
      <c r="R49">
        <v>0</v>
      </c>
      <c r="S49">
        <v>0</v>
      </c>
      <c r="T49">
        <v>0</v>
      </c>
      <c r="U49">
        <v>0</v>
      </c>
      <c r="V49">
        <v>0</v>
      </c>
      <c r="W49">
        <v>0</v>
      </c>
      <c r="X49">
        <v>0</v>
      </c>
      <c r="Y49">
        <v>0</v>
      </c>
      <c r="Z49">
        <v>0</v>
      </c>
    </row>
    <row r="50" spans="1:26" x14ac:dyDescent="0.2">
      <c r="A50" s="3">
        <v>0.2344540180191749</v>
      </c>
      <c r="B50" s="3">
        <v>9.5325624598010961E-3</v>
      </c>
      <c r="C50" s="7">
        <v>0.20256296368261756</v>
      </c>
      <c r="D50" s="7">
        <v>-5.8339399781355366E-4</v>
      </c>
      <c r="E50" s="7">
        <v>0.27381900770115375</v>
      </c>
      <c r="G50">
        <v>0</v>
      </c>
      <c r="H50">
        <v>0</v>
      </c>
      <c r="I50">
        <v>0</v>
      </c>
      <c r="J50">
        <v>0</v>
      </c>
      <c r="K50">
        <v>0</v>
      </c>
      <c r="L50">
        <v>0</v>
      </c>
      <c r="M50">
        <v>0</v>
      </c>
      <c r="N50">
        <v>0</v>
      </c>
      <c r="O50">
        <v>0</v>
      </c>
      <c r="P50">
        <v>0</v>
      </c>
      <c r="Q50">
        <v>0.2344540180191749</v>
      </c>
      <c r="R50">
        <v>0</v>
      </c>
      <c r="S50">
        <v>0</v>
      </c>
      <c r="T50">
        <v>0</v>
      </c>
      <c r="U50">
        <v>0</v>
      </c>
      <c r="V50">
        <v>0</v>
      </c>
      <c r="W50">
        <v>0</v>
      </c>
      <c r="X50">
        <v>0</v>
      </c>
      <c r="Y50">
        <v>0</v>
      </c>
      <c r="Z50">
        <v>0</v>
      </c>
    </row>
    <row r="51" spans="1:26" x14ac:dyDescent="0.2">
      <c r="A51" s="3">
        <v>2.3603587524771791E-2</v>
      </c>
      <c r="B51" s="3">
        <v>1.0166197456092121E-2</v>
      </c>
      <c r="C51" s="7">
        <v>8.9646550075402426E-2</v>
      </c>
      <c r="D51" s="7">
        <v>4.5740516266499658E-2</v>
      </c>
      <c r="E51" s="7">
        <v>0.34471407125572057</v>
      </c>
      <c r="G51">
        <v>0</v>
      </c>
      <c r="H51">
        <v>0</v>
      </c>
      <c r="I51">
        <v>0</v>
      </c>
      <c r="J51">
        <v>0</v>
      </c>
      <c r="K51">
        <v>0</v>
      </c>
      <c r="L51">
        <v>0</v>
      </c>
      <c r="M51">
        <v>0</v>
      </c>
      <c r="N51">
        <v>0</v>
      </c>
      <c r="O51">
        <v>0</v>
      </c>
      <c r="P51">
        <v>0</v>
      </c>
      <c r="Q51">
        <v>0</v>
      </c>
      <c r="R51">
        <v>2.3603587524771791E-2</v>
      </c>
      <c r="S51">
        <v>0</v>
      </c>
      <c r="T51">
        <v>0</v>
      </c>
      <c r="U51">
        <v>0</v>
      </c>
      <c r="V51">
        <v>0</v>
      </c>
      <c r="W51">
        <v>0</v>
      </c>
      <c r="X51">
        <v>0</v>
      </c>
      <c r="Y51">
        <v>0</v>
      </c>
      <c r="Z51">
        <v>0</v>
      </c>
    </row>
    <row r="52" spans="1:26" x14ac:dyDescent="0.2">
      <c r="A52" s="3">
        <v>0</v>
      </c>
      <c r="B52" s="3">
        <v>0</v>
      </c>
      <c r="C52" s="7">
        <v>0</v>
      </c>
      <c r="D52" s="7">
        <v>4.5620600192358987E-2</v>
      </c>
      <c r="E52" s="7">
        <v>0.78278791209679377</v>
      </c>
      <c r="G52">
        <v>0</v>
      </c>
      <c r="H52">
        <v>0</v>
      </c>
      <c r="I52">
        <v>0</v>
      </c>
      <c r="J52">
        <v>0</v>
      </c>
      <c r="K52">
        <v>0</v>
      </c>
      <c r="L52">
        <v>0</v>
      </c>
      <c r="M52">
        <v>0</v>
      </c>
      <c r="N52">
        <v>0</v>
      </c>
      <c r="O52">
        <v>0</v>
      </c>
      <c r="P52">
        <v>0</v>
      </c>
      <c r="Q52">
        <v>0</v>
      </c>
      <c r="R52">
        <v>0</v>
      </c>
      <c r="S52">
        <v>0</v>
      </c>
      <c r="T52">
        <v>0</v>
      </c>
      <c r="U52">
        <v>0</v>
      </c>
      <c r="V52">
        <v>0</v>
      </c>
      <c r="W52">
        <v>0</v>
      </c>
      <c r="X52">
        <v>0</v>
      </c>
      <c r="Y52">
        <v>0</v>
      </c>
      <c r="Z52">
        <v>0</v>
      </c>
    </row>
    <row r="53" spans="1:26" x14ac:dyDescent="0.2">
      <c r="A53" s="3">
        <v>0.25553461714957237</v>
      </c>
      <c r="B53" s="3">
        <v>2.1068364221972003E-3</v>
      </c>
      <c r="C53" s="7">
        <v>0.3427715996561792</v>
      </c>
      <c r="D53" s="7">
        <v>-5.0680116959075597E-3</v>
      </c>
      <c r="E53" s="7">
        <v>9.4559395045340444E-2</v>
      </c>
      <c r="G53">
        <v>0</v>
      </c>
      <c r="H53">
        <v>0</v>
      </c>
      <c r="I53">
        <v>0</v>
      </c>
      <c r="J53">
        <v>0</v>
      </c>
      <c r="K53">
        <v>0</v>
      </c>
      <c r="L53">
        <v>0</v>
      </c>
      <c r="M53">
        <v>0</v>
      </c>
      <c r="N53">
        <v>0</v>
      </c>
      <c r="O53">
        <v>0</v>
      </c>
      <c r="P53">
        <v>0</v>
      </c>
      <c r="Q53">
        <v>0</v>
      </c>
      <c r="R53">
        <v>0</v>
      </c>
      <c r="S53">
        <v>0</v>
      </c>
      <c r="T53">
        <v>0.25553461714957237</v>
      </c>
      <c r="U53">
        <v>0</v>
      </c>
      <c r="V53">
        <v>0</v>
      </c>
      <c r="W53">
        <v>0</v>
      </c>
      <c r="X53">
        <v>0</v>
      </c>
      <c r="Y53">
        <v>0</v>
      </c>
      <c r="Z53">
        <v>0</v>
      </c>
    </row>
    <row r="54" spans="1:26" x14ac:dyDescent="0.2">
      <c r="A54" s="3">
        <v>0.12099969194032141</v>
      </c>
      <c r="B54" s="3">
        <v>1.0134614819949008E-3</v>
      </c>
      <c r="C54" s="7">
        <v>0.31844186086787141</v>
      </c>
      <c r="D54" s="7">
        <v>-4.8110542488322651E-3</v>
      </c>
      <c r="E54" s="7">
        <v>0.29670970014617998</v>
      </c>
      <c r="G54">
        <v>0</v>
      </c>
      <c r="H54">
        <v>0</v>
      </c>
      <c r="I54">
        <v>0</v>
      </c>
      <c r="J54">
        <v>0</v>
      </c>
      <c r="K54">
        <v>0</v>
      </c>
      <c r="L54">
        <v>0</v>
      </c>
      <c r="M54">
        <v>0</v>
      </c>
      <c r="N54">
        <v>0</v>
      </c>
      <c r="O54">
        <v>0</v>
      </c>
      <c r="P54">
        <v>0</v>
      </c>
      <c r="Q54">
        <v>0</v>
      </c>
      <c r="R54">
        <v>0</v>
      </c>
      <c r="S54">
        <v>0</v>
      </c>
      <c r="T54">
        <v>0</v>
      </c>
      <c r="U54">
        <v>0.12099969194032141</v>
      </c>
      <c r="V54">
        <v>0</v>
      </c>
      <c r="W54">
        <v>0</v>
      </c>
      <c r="X54">
        <v>0</v>
      </c>
      <c r="Y54">
        <v>0</v>
      </c>
      <c r="Z54">
        <v>0</v>
      </c>
    </row>
    <row r="55" spans="1:26" x14ac:dyDescent="0.2">
      <c r="A55" s="3">
        <v>0.17931408211219602</v>
      </c>
      <c r="B55" s="3">
        <v>4.4921957711179525E-3</v>
      </c>
      <c r="C55" s="7">
        <v>0.30713862066894904</v>
      </c>
      <c r="D55" s="7">
        <v>5.1386168541075496E-4</v>
      </c>
      <c r="E55" s="7">
        <v>1.422681268611071E-2</v>
      </c>
      <c r="G55">
        <v>0</v>
      </c>
      <c r="H55">
        <v>0</v>
      </c>
      <c r="I55">
        <v>0</v>
      </c>
      <c r="J55">
        <v>0</v>
      </c>
      <c r="K55">
        <v>0</v>
      </c>
      <c r="L55">
        <v>0</v>
      </c>
      <c r="M55">
        <v>0</v>
      </c>
      <c r="N55">
        <v>0</v>
      </c>
      <c r="O55">
        <v>0</v>
      </c>
      <c r="P55">
        <v>0</v>
      </c>
      <c r="Q55">
        <v>0</v>
      </c>
      <c r="R55">
        <v>0</v>
      </c>
      <c r="S55">
        <v>0</v>
      </c>
      <c r="T55">
        <v>0</v>
      </c>
      <c r="U55">
        <v>0</v>
      </c>
      <c r="V55">
        <v>0.17931408211219602</v>
      </c>
      <c r="W55">
        <v>0</v>
      </c>
      <c r="X55">
        <v>0</v>
      </c>
      <c r="Y55">
        <v>0</v>
      </c>
      <c r="Z55">
        <v>0</v>
      </c>
    </row>
    <row r="56" spans="1:26" x14ac:dyDescent="0.2">
      <c r="A56" s="3">
        <v>6.6553933972985424E-2</v>
      </c>
      <c r="B56" s="3">
        <v>6.5869507407727715E-3</v>
      </c>
      <c r="C56" s="7">
        <v>0.58727039733235564</v>
      </c>
      <c r="D56" s="7">
        <v>-5.4584852894847477E-3</v>
      </c>
      <c r="E56" s="7">
        <v>0.13031247593814638</v>
      </c>
      <c r="G56">
        <v>0</v>
      </c>
      <c r="H56">
        <v>0</v>
      </c>
      <c r="I56">
        <v>0</v>
      </c>
      <c r="J56">
        <v>0</v>
      </c>
      <c r="K56">
        <v>0</v>
      </c>
      <c r="L56">
        <v>0</v>
      </c>
      <c r="M56">
        <v>0</v>
      </c>
      <c r="N56">
        <v>0</v>
      </c>
      <c r="O56">
        <v>0</v>
      </c>
      <c r="P56">
        <v>0</v>
      </c>
      <c r="Q56">
        <v>0</v>
      </c>
      <c r="R56">
        <v>0</v>
      </c>
      <c r="S56">
        <v>0</v>
      </c>
      <c r="T56">
        <v>0</v>
      </c>
      <c r="U56">
        <v>0</v>
      </c>
      <c r="V56">
        <v>0</v>
      </c>
      <c r="W56">
        <v>6.6553933972985424E-2</v>
      </c>
      <c r="X56">
        <v>0</v>
      </c>
      <c r="Y56">
        <v>0</v>
      </c>
      <c r="Z56">
        <v>0</v>
      </c>
    </row>
    <row r="57" spans="1:26" x14ac:dyDescent="0.2">
      <c r="A57" s="3">
        <v>9.8218995901779446E-2</v>
      </c>
      <c r="B57" s="3">
        <v>2.8547517839932417E-2</v>
      </c>
      <c r="C57" s="7">
        <v>0.48073918430587953</v>
      </c>
      <c r="D57" s="7">
        <v>-2.3269622468223708E-3</v>
      </c>
      <c r="E57" s="7">
        <v>4.7778530111387843E-2</v>
      </c>
      <c r="G57">
        <v>0</v>
      </c>
      <c r="H57">
        <v>0</v>
      </c>
      <c r="I57">
        <v>0</v>
      </c>
      <c r="J57">
        <v>0</v>
      </c>
      <c r="K57">
        <v>0</v>
      </c>
      <c r="L57">
        <v>0</v>
      </c>
      <c r="M57">
        <v>0</v>
      </c>
      <c r="N57">
        <v>0</v>
      </c>
      <c r="O57">
        <v>0</v>
      </c>
      <c r="P57">
        <v>0</v>
      </c>
      <c r="Q57">
        <v>0</v>
      </c>
      <c r="R57">
        <v>0</v>
      </c>
      <c r="S57">
        <v>0</v>
      </c>
      <c r="T57">
        <v>0</v>
      </c>
      <c r="U57">
        <v>0</v>
      </c>
      <c r="V57">
        <v>0</v>
      </c>
      <c r="W57">
        <v>0</v>
      </c>
      <c r="X57">
        <v>9.8218995901779446E-2</v>
      </c>
      <c r="Y57">
        <v>0</v>
      </c>
      <c r="Z57">
        <v>0</v>
      </c>
    </row>
    <row r="58" spans="1:26" x14ac:dyDescent="0.2">
      <c r="A58" s="3">
        <v>7.9031641587280502E-2</v>
      </c>
      <c r="B58" s="3">
        <v>1.2672781387053793E-2</v>
      </c>
      <c r="C58" s="7">
        <v>0.27430916613340389</v>
      </c>
      <c r="D58" s="7">
        <v>1.9198269824580064E-2</v>
      </c>
      <c r="E58" s="7">
        <v>0.26025765468443984</v>
      </c>
      <c r="G58">
        <v>0</v>
      </c>
      <c r="H58">
        <v>0</v>
      </c>
      <c r="I58">
        <v>0</v>
      </c>
      <c r="J58">
        <v>0</v>
      </c>
      <c r="K58">
        <v>0</v>
      </c>
      <c r="L58">
        <v>0</v>
      </c>
      <c r="M58">
        <v>0</v>
      </c>
      <c r="N58">
        <v>0</v>
      </c>
      <c r="O58">
        <v>0</v>
      </c>
      <c r="P58">
        <v>0</v>
      </c>
      <c r="Q58">
        <v>0</v>
      </c>
      <c r="R58">
        <v>0</v>
      </c>
      <c r="S58">
        <v>0</v>
      </c>
      <c r="T58">
        <v>0</v>
      </c>
      <c r="U58">
        <v>0</v>
      </c>
      <c r="V58">
        <v>0</v>
      </c>
      <c r="W58">
        <v>0</v>
      </c>
      <c r="X58">
        <v>0</v>
      </c>
      <c r="Y58">
        <v>7.9031641587280502E-2</v>
      </c>
      <c r="Z58">
        <v>0</v>
      </c>
    </row>
    <row r="59" spans="1:26" x14ac:dyDescent="0.2">
      <c r="A59" s="3">
        <v>0.110454009894264</v>
      </c>
      <c r="B59" s="3">
        <v>3.2686434254715329E-3</v>
      </c>
      <c r="C59" s="7">
        <v>0.55364617170174035</v>
      </c>
      <c r="D59" s="7">
        <v>3.2620681041270638E-2</v>
      </c>
      <c r="E59" s="7">
        <v>2.9219468113003751E-2</v>
      </c>
      <c r="G59">
        <v>0</v>
      </c>
      <c r="H59">
        <v>0</v>
      </c>
      <c r="I59">
        <v>0</v>
      </c>
      <c r="J59">
        <v>0</v>
      </c>
      <c r="K59">
        <v>0</v>
      </c>
      <c r="L59">
        <v>0</v>
      </c>
      <c r="M59">
        <v>0</v>
      </c>
      <c r="N59">
        <v>0</v>
      </c>
      <c r="O59">
        <v>0</v>
      </c>
      <c r="P59">
        <v>0</v>
      </c>
      <c r="Q59">
        <v>0</v>
      </c>
      <c r="R59">
        <v>0</v>
      </c>
      <c r="S59">
        <v>0</v>
      </c>
      <c r="T59">
        <v>0</v>
      </c>
      <c r="U59">
        <v>0</v>
      </c>
      <c r="V59">
        <v>0</v>
      </c>
      <c r="W59">
        <v>0</v>
      </c>
      <c r="X59">
        <v>0</v>
      </c>
      <c r="Y59">
        <v>0</v>
      </c>
      <c r="Z59">
        <v>0.110454009894264</v>
      </c>
    </row>
    <row r="62" spans="1:26" x14ac:dyDescent="0.2">
      <c r="G62" cm="1">
        <f t="array" ref="G62:Z81">IF(_xlfn.SEQUENCE(20,20)=TRANSPOSE(_xlfn.SEQUENCE(20,20)), B40:B59, 0)</f>
        <v>3.6866646379117157E-3</v>
      </c>
      <c r="H62">
        <v>0</v>
      </c>
      <c r="I62">
        <v>0</v>
      </c>
      <c r="J62">
        <v>0</v>
      </c>
      <c r="K62">
        <v>0</v>
      </c>
      <c r="L62">
        <v>0</v>
      </c>
      <c r="M62">
        <v>0</v>
      </c>
      <c r="N62">
        <v>0</v>
      </c>
      <c r="O62">
        <v>0</v>
      </c>
      <c r="P62">
        <v>0</v>
      </c>
      <c r="Q62">
        <v>0</v>
      </c>
      <c r="R62">
        <v>0</v>
      </c>
      <c r="S62">
        <v>0</v>
      </c>
      <c r="T62">
        <v>0</v>
      </c>
      <c r="U62">
        <v>0</v>
      </c>
      <c r="V62">
        <v>0</v>
      </c>
      <c r="W62">
        <v>0</v>
      </c>
      <c r="X62">
        <v>0</v>
      </c>
      <c r="Y62">
        <v>0</v>
      </c>
      <c r="Z62">
        <v>0</v>
      </c>
    </row>
    <row r="63" spans="1:26" x14ac:dyDescent="0.2">
      <c r="G63">
        <v>0</v>
      </c>
      <c r="H63">
        <v>3.8236485539640237E-4</v>
      </c>
      <c r="I63">
        <v>0</v>
      </c>
      <c r="J63">
        <v>0</v>
      </c>
      <c r="K63">
        <v>0</v>
      </c>
      <c r="L63">
        <v>0</v>
      </c>
      <c r="M63">
        <v>0</v>
      </c>
      <c r="N63">
        <v>0</v>
      </c>
      <c r="O63">
        <v>0</v>
      </c>
      <c r="P63">
        <v>0</v>
      </c>
      <c r="Q63">
        <v>0</v>
      </c>
      <c r="R63">
        <v>0</v>
      </c>
      <c r="S63">
        <v>0</v>
      </c>
      <c r="T63">
        <v>0</v>
      </c>
      <c r="U63">
        <v>0</v>
      </c>
      <c r="V63">
        <v>0</v>
      </c>
      <c r="W63">
        <v>0</v>
      </c>
      <c r="X63">
        <v>0</v>
      </c>
      <c r="Y63">
        <v>0</v>
      </c>
      <c r="Z63">
        <v>0</v>
      </c>
    </row>
    <row r="64" spans="1:26" x14ac:dyDescent="0.2">
      <c r="G64">
        <v>0</v>
      </c>
      <c r="H64">
        <v>0</v>
      </c>
      <c r="I64">
        <v>9.0066000516285452E-3</v>
      </c>
      <c r="J64">
        <v>0</v>
      </c>
      <c r="K64">
        <v>0</v>
      </c>
      <c r="L64">
        <v>0</v>
      </c>
      <c r="M64">
        <v>0</v>
      </c>
      <c r="N64">
        <v>0</v>
      </c>
      <c r="O64">
        <v>0</v>
      </c>
      <c r="P64">
        <v>0</v>
      </c>
      <c r="Q64">
        <v>0</v>
      </c>
      <c r="R64">
        <v>0</v>
      </c>
      <c r="S64">
        <v>0</v>
      </c>
      <c r="T64">
        <v>0</v>
      </c>
      <c r="U64">
        <v>0</v>
      </c>
      <c r="V64">
        <v>0</v>
      </c>
      <c r="W64">
        <v>0</v>
      </c>
      <c r="X64">
        <v>0</v>
      </c>
      <c r="Y64">
        <v>0</v>
      </c>
      <c r="Z64">
        <v>0</v>
      </c>
    </row>
    <row r="65" spans="7:26" x14ac:dyDescent="0.2">
      <c r="G65">
        <v>0</v>
      </c>
      <c r="H65">
        <v>0</v>
      </c>
      <c r="I65">
        <v>0</v>
      </c>
      <c r="J65">
        <v>4.8252761872566002E-4</v>
      </c>
      <c r="K65">
        <v>0</v>
      </c>
      <c r="L65">
        <v>0</v>
      </c>
      <c r="M65">
        <v>0</v>
      </c>
      <c r="N65">
        <v>0</v>
      </c>
      <c r="O65">
        <v>0</v>
      </c>
      <c r="P65">
        <v>0</v>
      </c>
      <c r="Q65">
        <v>0</v>
      </c>
      <c r="R65">
        <v>0</v>
      </c>
      <c r="S65">
        <v>0</v>
      </c>
      <c r="T65">
        <v>0</v>
      </c>
      <c r="U65">
        <v>0</v>
      </c>
      <c r="V65">
        <v>0</v>
      </c>
      <c r="W65">
        <v>0</v>
      </c>
      <c r="X65">
        <v>0</v>
      </c>
      <c r="Y65">
        <v>0</v>
      </c>
      <c r="Z65">
        <v>0</v>
      </c>
    </row>
    <row r="66" spans="7:26" x14ac:dyDescent="0.2">
      <c r="G66">
        <v>0</v>
      </c>
      <c r="H66">
        <v>0</v>
      </c>
      <c r="I66">
        <v>0</v>
      </c>
      <c r="J66">
        <v>0</v>
      </c>
      <c r="K66">
        <v>3.5703522733389825E-4</v>
      </c>
      <c r="L66">
        <v>0</v>
      </c>
      <c r="M66">
        <v>0</v>
      </c>
      <c r="N66">
        <v>0</v>
      </c>
      <c r="O66">
        <v>0</v>
      </c>
      <c r="P66">
        <v>0</v>
      </c>
      <c r="Q66">
        <v>0</v>
      </c>
      <c r="R66">
        <v>0</v>
      </c>
      <c r="S66">
        <v>0</v>
      </c>
      <c r="T66">
        <v>0</v>
      </c>
      <c r="U66">
        <v>0</v>
      </c>
      <c r="V66">
        <v>0</v>
      </c>
      <c r="W66">
        <v>0</v>
      </c>
      <c r="X66">
        <v>0</v>
      </c>
      <c r="Y66">
        <v>0</v>
      </c>
      <c r="Z66">
        <v>0</v>
      </c>
    </row>
    <row r="67" spans="7:26" x14ac:dyDescent="0.2">
      <c r="G67">
        <v>0</v>
      </c>
      <c r="H67">
        <v>0</v>
      </c>
      <c r="I67">
        <v>0</v>
      </c>
      <c r="J67">
        <v>0</v>
      </c>
      <c r="K67">
        <v>0</v>
      </c>
      <c r="L67">
        <v>1.3387162487323147E-3</v>
      </c>
      <c r="M67">
        <v>0</v>
      </c>
      <c r="N67">
        <v>0</v>
      </c>
      <c r="O67">
        <v>0</v>
      </c>
      <c r="P67">
        <v>0</v>
      </c>
      <c r="Q67">
        <v>0</v>
      </c>
      <c r="R67">
        <v>0</v>
      </c>
      <c r="S67">
        <v>0</v>
      </c>
      <c r="T67">
        <v>0</v>
      </c>
      <c r="U67">
        <v>0</v>
      </c>
      <c r="V67">
        <v>0</v>
      </c>
      <c r="W67">
        <v>0</v>
      </c>
      <c r="X67">
        <v>0</v>
      </c>
      <c r="Y67">
        <v>0</v>
      </c>
      <c r="Z67">
        <v>0</v>
      </c>
    </row>
    <row r="68" spans="7:26" x14ac:dyDescent="0.2">
      <c r="G68">
        <v>0</v>
      </c>
      <c r="H68">
        <v>0</v>
      </c>
      <c r="I68">
        <v>0</v>
      </c>
      <c r="J68">
        <v>0</v>
      </c>
      <c r="K68">
        <v>0</v>
      </c>
      <c r="L68">
        <v>0</v>
      </c>
      <c r="M68">
        <v>1.574030013685233E-3</v>
      </c>
      <c r="N68">
        <v>0</v>
      </c>
      <c r="O68">
        <v>0</v>
      </c>
      <c r="P68">
        <v>0</v>
      </c>
      <c r="Q68">
        <v>0</v>
      </c>
      <c r="R68">
        <v>0</v>
      </c>
      <c r="S68">
        <v>0</v>
      </c>
      <c r="T68">
        <v>0</v>
      </c>
      <c r="U68">
        <v>0</v>
      </c>
      <c r="V68">
        <v>0</v>
      </c>
      <c r="W68">
        <v>0</v>
      </c>
      <c r="X68">
        <v>0</v>
      </c>
      <c r="Y68">
        <v>0</v>
      </c>
      <c r="Z68">
        <v>0</v>
      </c>
    </row>
    <row r="69" spans="7:26" x14ac:dyDescent="0.2">
      <c r="G69">
        <v>0</v>
      </c>
      <c r="H69">
        <v>0</v>
      </c>
      <c r="I69">
        <v>0</v>
      </c>
      <c r="J69">
        <v>0</v>
      </c>
      <c r="K69">
        <v>0</v>
      </c>
      <c r="L69">
        <v>0</v>
      </c>
      <c r="M69">
        <v>0</v>
      </c>
      <c r="N69">
        <v>3.7371486137193657E-3</v>
      </c>
      <c r="O69">
        <v>0</v>
      </c>
      <c r="P69">
        <v>0</v>
      </c>
      <c r="Q69">
        <v>0</v>
      </c>
      <c r="R69">
        <v>0</v>
      </c>
      <c r="S69">
        <v>0</v>
      </c>
      <c r="T69">
        <v>0</v>
      </c>
      <c r="U69">
        <v>0</v>
      </c>
      <c r="V69">
        <v>0</v>
      </c>
      <c r="W69">
        <v>0</v>
      </c>
      <c r="X69">
        <v>0</v>
      </c>
      <c r="Y69">
        <v>0</v>
      </c>
      <c r="Z69">
        <v>0</v>
      </c>
    </row>
    <row r="70" spans="7:26" x14ac:dyDescent="0.2">
      <c r="G70">
        <v>0</v>
      </c>
      <c r="H70">
        <v>0</v>
      </c>
      <c r="I70">
        <v>0</v>
      </c>
      <c r="J70">
        <v>0</v>
      </c>
      <c r="K70">
        <v>0</v>
      </c>
      <c r="L70">
        <v>0</v>
      </c>
      <c r="M70">
        <v>0</v>
      </c>
      <c r="N70">
        <v>0</v>
      </c>
      <c r="O70">
        <v>2.7196206162950123E-2</v>
      </c>
      <c r="P70">
        <v>0</v>
      </c>
      <c r="Q70">
        <v>0</v>
      </c>
      <c r="R70">
        <v>0</v>
      </c>
      <c r="S70">
        <v>0</v>
      </c>
      <c r="T70">
        <v>0</v>
      </c>
      <c r="U70">
        <v>0</v>
      </c>
      <c r="V70">
        <v>0</v>
      </c>
      <c r="W70">
        <v>0</v>
      </c>
      <c r="X70">
        <v>0</v>
      </c>
      <c r="Y70">
        <v>0</v>
      </c>
      <c r="Z70">
        <v>0</v>
      </c>
    </row>
    <row r="71" spans="7:26" x14ac:dyDescent="0.2">
      <c r="G71">
        <v>0</v>
      </c>
      <c r="H71">
        <v>0</v>
      </c>
      <c r="I71">
        <v>0</v>
      </c>
      <c r="J71">
        <v>0</v>
      </c>
      <c r="K71">
        <v>0</v>
      </c>
      <c r="L71">
        <v>0</v>
      </c>
      <c r="M71">
        <v>0</v>
      </c>
      <c r="N71">
        <v>0</v>
      </c>
      <c r="O71">
        <v>0</v>
      </c>
      <c r="P71">
        <v>4.4741622836592205E-3</v>
      </c>
      <c r="Q71">
        <v>0</v>
      </c>
      <c r="R71">
        <v>0</v>
      </c>
      <c r="S71">
        <v>0</v>
      </c>
      <c r="T71">
        <v>0</v>
      </c>
      <c r="U71">
        <v>0</v>
      </c>
      <c r="V71">
        <v>0</v>
      </c>
      <c r="W71">
        <v>0</v>
      </c>
      <c r="X71">
        <v>0</v>
      </c>
      <c r="Y71">
        <v>0</v>
      </c>
      <c r="Z71">
        <v>0</v>
      </c>
    </row>
    <row r="72" spans="7:26" x14ac:dyDescent="0.2">
      <c r="G72">
        <v>0</v>
      </c>
      <c r="H72">
        <v>0</v>
      </c>
      <c r="I72">
        <v>0</v>
      </c>
      <c r="J72">
        <v>0</v>
      </c>
      <c r="K72">
        <v>0</v>
      </c>
      <c r="L72">
        <v>0</v>
      </c>
      <c r="M72">
        <v>0</v>
      </c>
      <c r="N72">
        <v>0</v>
      </c>
      <c r="O72">
        <v>0</v>
      </c>
      <c r="P72">
        <v>0</v>
      </c>
      <c r="Q72">
        <v>9.5325624598010961E-3</v>
      </c>
      <c r="R72">
        <v>0</v>
      </c>
      <c r="S72">
        <v>0</v>
      </c>
      <c r="T72">
        <v>0</v>
      </c>
      <c r="U72">
        <v>0</v>
      </c>
      <c r="V72">
        <v>0</v>
      </c>
      <c r="W72">
        <v>0</v>
      </c>
      <c r="X72">
        <v>0</v>
      </c>
      <c r="Y72">
        <v>0</v>
      </c>
      <c r="Z72">
        <v>0</v>
      </c>
    </row>
    <row r="73" spans="7:26" x14ac:dyDescent="0.2">
      <c r="G73">
        <v>0</v>
      </c>
      <c r="H73">
        <v>0</v>
      </c>
      <c r="I73">
        <v>0</v>
      </c>
      <c r="J73">
        <v>0</v>
      </c>
      <c r="K73">
        <v>0</v>
      </c>
      <c r="L73">
        <v>0</v>
      </c>
      <c r="M73">
        <v>0</v>
      </c>
      <c r="N73">
        <v>0</v>
      </c>
      <c r="O73">
        <v>0</v>
      </c>
      <c r="P73">
        <v>0</v>
      </c>
      <c r="Q73">
        <v>0</v>
      </c>
      <c r="R73">
        <v>1.0166197456092121E-2</v>
      </c>
      <c r="S73">
        <v>0</v>
      </c>
      <c r="T73">
        <v>0</v>
      </c>
      <c r="U73">
        <v>0</v>
      </c>
      <c r="V73">
        <v>0</v>
      </c>
      <c r="W73">
        <v>0</v>
      </c>
      <c r="X73">
        <v>0</v>
      </c>
      <c r="Y73">
        <v>0</v>
      </c>
      <c r="Z73">
        <v>0</v>
      </c>
    </row>
    <row r="74" spans="7:26" x14ac:dyDescent="0.2">
      <c r="G74">
        <v>0</v>
      </c>
      <c r="H74">
        <v>0</v>
      </c>
      <c r="I74">
        <v>0</v>
      </c>
      <c r="J74">
        <v>0</v>
      </c>
      <c r="K74">
        <v>0</v>
      </c>
      <c r="L74">
        <v>0</v>
      </c>
      <c r="M74">
        <v>0</v>
      </c>
      <c r="N74">
        <v>0</v>
      </c>
      <c r="O74">
        <v>0</v>
      </c>
      <c r="P74">
        <v>0</v>
      </c>
      <c r="Q74">
        <v>0</v>
      </c>
      <c r="R74">
        <v>0</v>
      </c>
      <c r="S74">
        <v>0</v>
      </c>
      <c r="T74">
        <v>0</v>
      </c>
      <c r="U74">
        <v>0</v>
      </c>
      <c r="V74">
        <v>0</v>
      </c>
      <c r="W74">
        <v>0</v>
      </c>
      <c r="X74">
        <v>0</v>
      </c>
      <c r="Y74">
        <v>0</v>
      </c>
      <c r="Z74">
        <v>0</v>
      </c>
    </row>
    <row r="75" spans="7:26" x14ac:dyDescent="0.2">
      <c r="G75">
        <v>0</v>
      </c>
      <c r="H75">
        <v>0</v>
      </c>
      <c r="I75">
        <v>0</v>
      </c>
      <c r="J75">
        <v>0</v>
      </c>
      <c r="K75">
        <v>0</v>
      </c>
      <c r="L75">
        <v>0</v>
      </c>
      <c r="M75">
        <v>0</v>
      </c>
      <c r="N75">
        <v>0</v>
      </c>
      <c r="O75">
        <v>0</v>
      </c>
      <c r="P75">
        <v>0</v>
      </c>
      <c r="Q75">
        <v>0</v>
      </c>
      <c r="R75">
        <v>0</v>
      </c>
      <c r="S75">
        <v>0</v>
      </c>
      <c r="T75">
        <v>2.1068364221972003E-3</v>
      </c>
      <c r="U75">
        <v>0</v>
      </c>
      <c r="V75">
        <v>0</v>
      </c>
      <c r="W75">
        <v>0</v>
      </c>
      <c r="X75">
        <v>0</v>
      </c>
      <c r="Y75">
        <v>0</v>
      </c>
      <c r="Z75">
        <v>0</v>
      </c>
    </row>
    <row r="76" spans="7:26" x14ac:dyDescent="0.2">
      <c r="G76">
        <v>0</v>
      </c>
      <c r="H76">
        <v>0</v>
      </c>
      <c r="I76">
        <v>0</v>
      </c>
      <c r="J76">
        <v>0</v>
      </c>
      <c r="K76">
        <v>0</v>
      </c>
      <c r="L76">
        <v>0</v>
      </c>
      <c r="M76">
        <v>0</v>
      </c>
      <c r="N76">
        <v>0</v>
      </c>
      <c r="O76">
        <v>0</v>
      </c>
      <c r="P76">
        <v>0</v>
      </c>
      <c r="Q76">
        <v>0</v>
      </c>
      <c r="R76">
        <v>0</v>
      </c>
      <c r="S76">
        <v>0</v>
      </c>
      <c r="T76">
        <v>0</v>
      </c>
      <c r="U76">
        <v>1.0134614819949008E-3</v>
      </c>
      <c r="V76">
        <v>0</v>
      </c>
      <c r="W76">
        <v>0</v>
      </c>
      <c r="X76">
        <v>0</v>
      </c>
      <c r="Y76">
        <v>0</v>
      </c>
      <c r="Z76">
        <v>0</v>
      </c>
    </row>
    <row r="77" spans="7:26" x14ac:dyDescent="0.2">
      <c r="G77">
        <v>0</v>
      </c>
      <c r="H77">
        <v>0</v>
      </c>
      <c r="I77">
        <v>0</v>
      </c>
      <c r="J77">
        <v>0</v>
      </c>
      <c r="K77">
        <v>0</v>
      </c>
      <c r="L77">
        <v>0</v>
      </c>
      <c r="M77">
        <v>0</v>
      </c>
      <c r="N77">
        <v>0</v>
      </c>
      <c r="O77">
        <v>0</v>
      </c>
      <c r="P77">
        <v>0</v>
      </c>
      <c r="Q77">
        <v>0</v>
      </c>
      <c r="R77">
        <v>0</v>
      </c>
      <c r="S77">
        <v>0</v>
      </c>
      <c r="T77">
        <v>0</v>
      </c>
      <c r="U77">
        <v>0</v>
      </c>
      <c r="V77">
        <v>4.4921957711179525E-3</v>
      </c>
      <c r="W77">
        <v>0</v>
      </c>
      <c r="X77">
        <v>0</v>
      </c>
      <c r="Y77">
        <v>0</v>
      </c>
      <c r="Z77">
        <v>0</v>
      </c>
    </row>
    <row r="78" spans="7:26" x14ac:dyDescent="0.2">
      <c r="G78">
        <v>0</v>
      </c>
      <c r="H78">
        <v>0</v>
      </c>
      <c r="I78">
        <v>0</v>
      </c>
      <c r="J78">
        <v>0</v>
      </c>
      <c r="K78">
        <v>0</v>
      </c>
      <c r="L78">
        <v>0</v>
      </c>
      <c r="M78">
        <v>0</v>
      </c>
      <c r="N78">
        <v>0</v>
      </c>
      <c r="O78">
        <v>0</v>
      </c>
      <c r="P78">
        <v>0</v>
      </c>
      <c r="Q78">
        <v>0</v>
      </c>
      <c r="R78">
        <v>0</v>
      </c>
      <c r="S78">
        <v>0</v>
      </c>
      <c r="T78">
        <v>0</v>
      </c>
      <c r="U78">
        <v>0</v>
      </c>
      <c r="V78">
        <v>0</v>
      </c>
      <c r="W78">
        <v>6.5869507407727715E-3</v>
      </c>
      <c r="X78">
        <v>0</v>
      </c>
      <c r="Y78">
        <v>0</v>
      </c>
      <c r="Z78">
        <v>0</v>
      </c>
    </row>
    <row r="79" spans="7:26" x14ac:dyDescent="0.2">
      <c r="G79">
        <v>0</v>
      </c>
      <c r="H79">
        <v>0</v>
      </c>
      <c r="I79">
        <v>0</v>
      </c>
      <c r="J79">
        <v>0</v>
      </c>
      <c r="K79">
        <v>0</v>
      </c>
      <c r="L79">
        <v>0</v>
      </c>
      <c r="M79">
        <v>0</v>
      </c>
      <c r="N79">
        <v>0</v>
      </c>
      <c r="O79">
        <v>0</v>
      </c>
      <c r="P79">
        <v>0</v>
      </c>
      <c r="Q79">
        <v>0</v>
      </c>
      <c r="R79">
        <v>0</v>
      </c>
      <c r="S79">
        <v>0</v>
      </c>
      <c r="T79">
        <v>0</v>
      </c>
      <c r="U79">
        <v>0</v>
      </c>
      <c r="V79">
        <v>0</v>
      </c>
      <c r="W79">
        <v>0</v>
      </c>
      <c r="X79">
        <v>2.8547517839932417E-2</v>
      </c>
      <c r="Y79">
        <v>0</v>
      </c>
      <c r="Z79">
        <v>0</v>
      </c>
    </row>
    <row r="80" spans="7:26" x14ac:dyDescent="0.2">
      <c r="G80">
        <v>0</v>
      </c>
      <c r="H80">
        <v>0</v>
      </c>
      <c r="I80">
        <v>0</v>
      </c>
      <c r="J80">
        <v>0</v>
      </c>
      <c r="K80">
        <v>0</v>
      </c>
      <c r="L80">
        <v>0</v>
      </c>
      <c r="M80">
        <v>0</v>
      </c>
      <c r="N80">
        <v>0</v>
      </c>
      <c r="O80">
        <v>0</v>
      </c>
      <c r="P80">
        <v>0</v>
      </c>
      <c r="Q80">
        <v>0</v>
      </c>
      <c r="R80">
        <v>0</v>
      </c>
      <c r="S80">
        <v>0</v>
      </c>
      <c r="T80">
        <v>0</v>
      </c>
      <c r="U80">
        <v>0</v>
      </c>
      <c r="V80">
        <v>0</v>
      </c>
      <c r="W80">
        <v>0</v>
      </c>
      <c r="X80">
        <v>0</v>
      </c>
      <c r="Y80">
        <v>1.2672781387053793E-2</v>
      </c>
      <c r="Z80">
        <v>0</v>
      </c>
    </row>
    <row r="81" spans="7:26" x14ac:dyDescent="0.2">
      <c r="G81">
        <v>0</v>
      </c>
      <c r="H81">
        <v>0</v>
      </c>
      <c r="I81">
        <v>0</v>
      </c>
      <c r="J81">
        <v>0</v>
      </c>
      <c r="K81">
        <v>0</v>
      </c>
      <c r="L81">
        <v>0</v>
      </c>
      <c r="M81">
        <v>0</v>
      </c>
      <c r="N81">
        <v>0</v>
      </c>
      <c r="O81">
        <v>0</v>
      </c>
      <c r="P81">
        <v>0</v>
      </c>
      <c r="Q81">
        <v>0</v>
      </c>
      <c r="R81">
        <v>0</v>
      </c>
      <c r="S81">
        <v>0</v>
      </c>
      <c r="T81">
        <v>0</v>
      </c>
      <c r="U81">
        <v>0</v>
      </c>
      <c r="V81">
        <v>0</v>
      </c>
      <c r="W81">
        <v>0</v>
      </c>
      <c r="X81">
        <v>0</v>
      </c>
      <c r="Y81">
        <v>0</v>
      </c>
      <c r="Z81">
        <v>3.2686434254715329E-3</v>
      </c>
    </row>
    <row r="83" spans="7:26" x14ac:dyDescent="0.2">
      <c r="G83" cm="1">
        <f t="array" ref="G83:Z102">IF(_xlfn.SEQUENCE(20,20)=TRANSPOSE(_xlfn.SEQUENCE(20,20)), C40:C59, 0)</f>
        <v>0.11684658165123223</v>
      </c>
      <c r="H83">
        <v>0</v>
      </c>
      <c r="I83">
        <v>0</v>
      </c>
      <c r="J83">
        <v>0</v>
      </c>
      <c r="K83">
        <v>0</v>
      </c>
      <c r="L83">
        <v>0</v>
      </c>
      <c r="M83">
        <v>0</v>
      </c>
      <c r="N83">
        <v>0</v>
      </c>
      <c r="O83">
        <v>0</v>
      </c>
      <c r="P83">
        <v>0</v>
      </c>
      <c r="Q83">
        <v>0</v>
      </c>
      <c r="R83">
        <v>0</v>
      </c>
      <c r="S83">
        <v>0</v>
      </c>
      <c r="T83">
        <v>0</v>
      </c>
      <c r="U83">
        <v>0</v>
      </c>
      <c r="V83">
        <v>0</v>
      </c>
      <c r="W83">
        <v>0</v>
      </c>
      <c r="X83">
        <v>0</v>
      </c>
      <c r="Y83">
        <v>0</v>
      </c>
      <c r="Z83">
        <v>0</v>
      </c>
    </row>
    <row r="84" spans="7:26" x14ac:dyDescent="0.2">
      <c r="G84">
        <v>0</v>
      </c>
      <c r="H84">
        <v>6.0583982163822207E-2</v>
      </c>
      <c r="I84">
        <v>0</v>
      </c>
      <c r="J84">
        <v>0</v>
      </c>
      <c r="K84">
        <v>0</v>
      </c>
      <c r="L84">
        <v>0</v>
      </c>
      <c r="M84">
        <v>0</v>
      </c>
      <c r="N84">
        <v>0</v>
      </c>
      <c r="O84">
        <v>0</v>
      </c>
      <c r="P84">
        <v>0</v>
      </c>
      <c r="Q84">
        <v>0</v>
      </c>
      <c r="R84">
        <v>0</v>
      </c>
      <c r="S84">
        <v>0</v>
      </c>
      <c r="T84">
        <v>0</v>
      </c>
      <c r="U84">
        <v>0</v>
      </c>
      <c r="V84">
        <v>0</v>
      </c>
      <c r="W84">
        <v>0</v>
      </c>
      <c r="X84">
        <v>0</v>
      </c>
      <c r="Y84">
        <v>0</v>
      </c>
      <c r="Z84">
        <v>0</v>
      </c>
    </row>
    <row r="85" spans="7:26" x14ac:dyDescent="0.2">
      <c r="G85">
        <v>0</v>
      </c>
      <c r="H85">
        <v>0</v>
      </c>
      <c r="I85">
        <v>7.7984609279055234E-2</v>
      </c>
      <c r="J85">
        <v>0</v>
      </c>
      <c r="K85">
        <v>0</v>
      </c>
      <c r="L85">
        <v>0</v>
      </c>
      <c r="M85">
        <v>0</v>
      </c>
      <c r="N85">
        <v>0</v>
      </c>
      <c r="O85">
        <v>0</v>
      </c>
      <c r="P85">
        <v>0</v>
      </c>
      <c r="Q85">
        <v>0</v>
      </c>
      <c r="R85">
        <v>0</v>
      </c>
      <c r="S85">
        <v>0</v>
      </c>
      <c r="T85">
        <v>0</v>
      </c>
      <c r="U85">
        <v>0</v>
      </c>
      <c r="V85">
        <v>0</v>
      </c>
      <c r="W85">
        <v>0</v>
      </c>
      <c r="X85">
        <v>0</v>
      </c>
      <c r="Y85">
        <v>0</v>
      </c>
      <c r="Z85">
        <v>0</v>
      </c>
    </row>
    <row r="86" spans="7:26" x14ac:dyDescent="0.2">
      <c r="G86">
        <v>0</v>
      </c>
      <c r="H86">
        <v>0</v>
      </c>
      <c r="I86">
        <v>0</v>
      </c>
      <c r="J86">
        <v>0.20938418216099117</v>
      </c>
      <c r="K86">
        <v>0</v>
      </c>
      <c r="L86">
        <v>0</v>
      </c>
      <c r="M86">
        <v>0</v>
      </c>
      <c r="N86">
        <v>0</v>
      </c>
      <c r="O86">
        <v>0</v>
      </c>
      <c r="P86">
        <v>0</v>
      </c>
      <c r="Q86">
        <v>0</v>
      </c>
      <c r="R86">
        <v>0</v>
      </c>
      <c r="S86">
        <v>0</v>
      </c>
      <c r="T86">
        <v>0</v>
      </c>
      <c r="U86">
        <v>0</v>
      </c>
      <c r="V86">
        <v>0</v>
      </c>
      <c r="W86">
        <v>0</v>
      </c>
      <c r="X86">
        <v>0</v>
      </c>
      <c r="Y86">
        <v>0</v>
      </c>
      <c r="Z86">
        <v>0</v>
      </c>
    </row>
    <row r="87" spans="7:26" x14ac:dyDescent="0.2">
      <c r="G87">
        <v>0</v>
      </c>
      <c r="H87">
        <v>0</v>
      </c>
      <c r="I87">
        <v>0</v>
      </c>
      <c r="J87">
        <v>0</v>
      </c>
      <c r="K87">
        <v>8.2678910377921133E-2</v>
      </c>
      <c r="L87">
        <v>0</v>
      </c>
      <c r="M87">
        <v>0</v>
      </c>
      <c r="N87">
        <v>0</v>
      </c>
      <c r="O87">
        <v>0</v>
      </c>
      <c r="P87">
        <v>0</v>
      </c>
      <c r="Q87">
        <v>0</v>
      </c>
      <c r="R87">
        <v>0</v>
      </c>
      <c r="S87">
        <v>0</v>
      </c>
      <c r="T87">
        <v>0</v>
      </c>
      <c r="U87">
        <v>0</v>
      </c>
      <c r="V87">
        <v>0</v>
      </c>
      <c r="W87">
        <v>0</v>
      </c>
      <c r="X87">
        <v>0</v>
      </c>
      <c r="Y87">
        <v>0</v>
      </c>
      <c r="Z87">
        <v>0</v>
      </c>
    </row>
    <row r="88" spans="7:26" x14ac:dyDescent="0.2">
      <c r="G88">
        <v>0</v>
      </c>
      <c r="H88">
        <v>0</v>
      </c>
      <c r="I88">
        <v>0</v>
      </c>
      <c r="J88">
        <v>0</v>
      </c>
      <c r="K88">
        <v>0</v>
      </c>
      <c r="L88">
        <v>0.30767613713075798</v>
      </c>
      <c r="M88">
        <v>0</v>
      </c>
      <c r="N88">
        <v>0</v>
      </c>
      <c r="O88">
        <v>0</v>
      </c>
      <c r="P88">
        <v>0</v>
      </c>
      <c r="Q88">
        <v>0</v>
      </c>
      <c r="R88">
        <v>0</v>
      </c>
      <c r="S88">
        <v>0</v>
      </c>
      <c r="T88">
        <v>0</v>
      </c>
      <c r="U88">
        <v>0</v>
      </c>
      <c r="V88">
        <v>0</v>
      </c>
      <c r="W88">
        <v>0</v>
      </c>
      <c r="X88">
        <v>0</v>
      </c>
      <c r="Y88">
        <v>0</v>
      </c>
      <c r="Z88">
        <v>0</v>
      </c>
    </row>
    <row r="89" spans="7:26" x14ac:dyDescent="0.2">
      <c r="G89">
        <v>0</v>
      </c>
      <c r="H89">
        <v>0</v>
      </c>
      <c r="I89">
        <v>0</v>
      </c>
      <c r="J89">
        <v>0</v>
      </c>
      <c r="K89">
        <v>0</v>
      </c>
      <c r="L89">
        <v>0</v>
      </c>
      <c r="M89">
        <v>4.7113118239369797E-2</v>
      </c>
      <c r="N89">
        <v>0</v>
      </c>
      <c r="O89">
        <v>0</v>
      </c>
      <c r="P89">
        <v>0</v>
      </c>
      <c r="Q89">
        <v>0</v>
      </c>
      <c r="R89">
        <v>0</v>
      </c>
      <c r="S89">
        <v>0</v>
      </c>
      <c r="T89">
        <v>0</v>
      </c>
      <c r="U89">
        <v>0</v>
      </c>
      <c r="V89">
        <v>0</v>
      </c>
      <c r="W89">
        <v>0</v>
      </c>
      <c r="X89">
        <v>0</v>
      </c>
      <c r="Y89">
        <v>0</v>
      </c>
      <c r="Z89">
        <v>0</v>
      </c>
    </row>
    <row r="90" spans="7:26" x14ac:dyDescent="0.2">
      <c r="G90">
        <v>0</v>
      </c>
      <c r="H90">
        <v>0</v>
      </c>
      <c r="I90">
        <v>0</v>
      </c>
      <c r="J90">
        <v>0</v>
      </c>
      <c r="K90">
        <v>0</v>
      </c>
      <c r="L90">
        <v>0</v>
      </c>
      <c r="M90">
        <v>0</v>
      </c>
      <c r="N90">
        <v>0.2478964590496617</v>
      </c>
      <c r="O90">
        <v>0</v>
      </c>
      <c r="P90">
        <v>0</v>
      </c>
      <c r="Q90">
        <v>0</v>
      </c>
      <c r="R90">
        <v>0</v>
      </c>
      <c r="S90">
        <v>0</v>
      </c>
      <c r="T90">
        <v>0</v>
      </c>
      <c r="U90">
        <v>0</v>
      </c>
      <c r="V90">
        <v>0</v>
      </c>
      <c r="W90">
        <v>0</v>
      </c>
      <c r="X90">
        <v>0</v>
      </c>
      <c r="Y90">
        <v>0</v>
      </c>
      <c r="Z90">
        <v>0</v>
      </c>
    </row>
    <row r="91" spans="7:26" x14ac:dyDescent="0.2">
      <c r="G91">
        <v>0</v>
      </c>
      <c r="H91">
        <v>0</v>
      </c>
      <c r="I91">
        <v>0</v>
      </c>
      <c r="J91">
        <v>0</v>
      </c>
      <c r="K91">
        <v>0</v>
      </c>
      <c r="L91">
        <v>0</v>
      </c>
      <c r="M91">
        <v>0</v>
      </c>
      <c r="N91">
        <v>0</v>
      </c>
      <c r="O91">
        <v>0.25826320710083694</v>
      </c>
      <c r="P91">
        <v>0</v>
      </c>
      <c r="Q91">
        <v>0</v>
      </c>
      <c r="R91">
        <v>0</v>
      </c>
      <c r="S91">
        <v>0</v>
      </c>
      <c r="T91">
        <v>0</v>
      </c>
      <c r="U91">
        <v>0</v>
      </c>
      <c r="V91">
        <v>0</v>
      </c>
      <c r="W91">
        <v>0</v>
      </c>
      <c r="X91">
        <v>0</v>
      </c>
      <c r="Y91">
        <v>0</v>
      </c>
      <c r="Z91">
        <v>0</v>
      </c>
    </row>
    <row r="92" spans="7:26" x14ac:dyDescent="0.2">
      <c r="G92">
        <v>0</v>
      </c>
      <c r="H92">
        <v>0</v>
      </c>
      <c r="I92">
        <v>0</v>
      </c>
      <c r="J92">
        <v>0</v>
      </c>
      <c r="K92">
        <v>0</v>
      </c>
      <c r="L92">
        <v>0</v>
      </c>
      <c r="M92">
        <v>0</v>
      </c>
      <c r="N92">
        <v>0</v>
      </c>
      <c r="O92">
        <v>0</v>
      </c>
      <c r="P92">
        <v>0.12837000997554654</v>
      </c>
      <c r="Q92">
        <v>0</v>
      </c>
      <c r="R92">
        <v>0</v>
      </c>
      <c r="S92">
        <v>0</v>
      </c>
      <c r="T92">
        <v>0</v>
      </c>
      <c r="U92">
        <v>0</v>
      </c>
      <c r="V92">
        <v>0</v>
      </c>
      <c r="W92">
        <v>0</v>
      </c>
      <c r="X92">
        <v>0</v>
      </c>
      <c r="Y92">
        <v>0</v>
      </c>
      <c r="Z92">
        <v>0</v>
      </c>
    </row>
    <row r="93" spans="7:26" x14ac:dyDescent="0.2">
      <c r="G93">
        <v>0</v>
      </c>
      <c r="H93">
        <v>0</v>
      </c>
      <c r="I93">
        <v>0</v>
      </c>
      <c r="J93">
        <v>0</v>
      </c>
      <c r="K93">
        <v>0</v>
      </c>
      <c r="L93">
        <v>0</v>
      </c>
      <c r="M93">
        <v>0</v>
      </c>
      <c r="N93">
        <v>0</v>
      </c>
      <c r="O93">
        <v>0</v>
      </c>
      <c r="P93">
        <v>0</v>
      </c>
      <c r="Q93">
        <v>0.20256296368261756</v>
      </c>
      <c r="R93">
        <v>0</v>
      </c>
      <c r="S93">
        <v>0</v>
      </c>
      <c r="T93">
        <v>0</v>
      </c>
      <c r="U93">
        <v>0</v>
      </c>
      <c r="V93">
        <v>0</v>
      </c>
      <c r="W93">
        <v>0</v>
      </c>
      <c r="X93">
        <v>0</v>
      </c>
      <c r="Y93">
        <v>0</v>
      </c>
      <c r="Z93">
        <v>0</v>
      </c>
    </row>
    <row r="94" spans="7:26" x14ac:dyDescent="0.2">
      <c r="G94">
        <v>0</v>
      </c>
      <c r="H94">
        <v>0</v>
      </c>
      <c r="I94">
        <v>0</v>
      </c>
      <c r="J94">
        <v>0</v>
      </c>
      <c r="K94">
        <v>0</v>
      </c>
      <c r="L94">
        <v>0</v>
      </c>
      <c r="M94">
        <v>0</v>
      </c>
      <c r="N94">
        <v>0</v>
      </c>
      <c r="O94">
        <v>0</v>
      </c>
      <c r="P94">
        <v>0</v>
      </c>
      <c r="Q94">
        <v>0</v>
      </c>
      <c r="R94">
        <v>8.9646550075402426E-2</v>
      </c>
      <c r="S94">
        <v>0</v>
      </c>
      <c r="T94">
        <v>0</v>
      </c>
      <c r="U94">
        <v>0</v>
      </c>
      <c r="V94">
        <v>0</v>
      </c>
      <c r="W94">
        <v>0</v>
      </c>
      <c r="X94">
        <v>0</v>
      </c>
      <c r="Y94">
        <v>0</v>
      </c>
      <c r="Z94">
        <v>0</v>
      </c>
    </row>
    <row r="95" spans="7:26" x14ac:dyDescent="0.2">
      <c r="G95">
        <v>0</v>
      </c>
      <c r="H95">
        <v>0</v>
      </c>
      <c r="I95">
        <v>0</v>
      </c>
      <c r="J95">
        <v>0</v>
      </c>
      <c r="K95">
        <v>0</v>
      </c>
      <c r="L95">
        <v>0</v>
      </c>
      <c r="M95">
        <v>0</v>
      </c>
      <c r="N95">
        <v>0</v>
      </c>
      <c r="O95">
        <v>0</v>
      </c>
      <c r="P95">
        <v>0</v>
      </c>
      <c r="Q95">
        <v>0</v>
      </c>
      <c r="R95">
        <v>0</v>
      </c>
      <c r="S95">
        <v>0</v>
      </c>
      <c r="T95">
        <v>0</v>
      </c>
      <c r="U95">
        <v>0</v>
      </c>
      <c r="V95">
        <v>0</v>
      </c>
      <c r="W95">
        <v>0</v>
      </c>
      <c r="X95">
        <v>0</v>
      </c>
      <c r="Y95">
        <v>0</v>
      </c>
      <c r="Z95">
        <v>0</v>
      </c>
    </row>
    <row r="96" spans="7:26" x14ac:dyDescent="0.2">
      <c r="G96">
        <v>0</v>
      </c>
      <c r="H96">
        <v>0</v>
      </c>
      <c r="I96">
        <v>0</v>
      </c>
      <c r="J96">
        <v>0</v>
      </c>
      <c r="K96">
        <v>0</v>
      </c>
      <c r="L96">
        <v>0</v>
      </c>
      <c r="M96">
        <v>0</v>
      </c>
      <c r="N96">
        <v>0</v>
      </c>
      <c r="O96">
        <v>0</v>
      </c>
      <c r="P96">
        <v>0</v>
      </c>
      <c r="Q96">
        <v>0</v>
      </c>
      <c r="R96">
        <v>0</v>
      </c>
      <c r="S96">
        <v>0</v>
      </c>
      <c r="T96">
        <v>0.3427715996561792</v>
      </c>
      <c r="U96">
        <v>0</v>
      </c>
      <c r="V96">
        <v>0</v>
      </c>
      <c r="W96">
        <v>0</v>
      </c>
      <c r="X96">
        <v>0</v>
      </c>
      <c r="Y96">
        <v>0</v>
      </c>
      <c r="Z96">
        <v>0</v>
      </c>
    </row>
    <row r="97" spans="7:26" x14ac:dyDescent="0.2">
      <c r="G97">
        <v>0</v>
      </c>
      <c r="H97">
        <v>0</v>
      </c>
      <c r="I97">
        <v>0</v>
      </c>
      <c r="J97">
        <v>0</v>
      </c>
      <c r="K97">
        <v>0</v>
      </c>
      <c r="L97">
        <v>0</v>
      </c>
      <c r="M97">
        <v>0</v>
      </c>
      <c r="N97">
        <v>0</v>
      </c>
      <c r="O97">
        <v>0</v>
      </c>
      <c r="P97">
        <v>0</v>
      </c>
      <c r="Q97">
        <v>0</v>
      </c>
      <c r="R97">
        <v>0</v>
      </c>
      <c r="S97">
        <v>0</v>
      </c>
      <c r="T97">
        <v>0</v>
      </c>
      <c r="U97">
        <v>0.31844186086787141</v>
      </c>
      <c r="V97">
        <v>0</v>
      </c>
      <c r="W97">
        <v>0</v>
      </c>
      <c r="X97">
        <v>0</v>
      </c>
      <c r="Y97">
        <v>0</v>
      </c>
      <c r="Z97">
        <v>0</v>
      </c>
    </row>
    <row r="98" spans="7:26" x14ac:dyDescent="0.2">
      <c r="G98">
        <v>0</v>
      </c>
      <c r="H98">
        <v>0</v>
      </c>
      <c r="I98">
        <v>0</v>
      </c>
      <c r="J98">
        <v>0</v>
      </c>
      <c r="K98">
        <v>0</v>
      </c>
      <c r="L98">
        <v>0</v>
      </c>
      <c r="M98">
        <v>0</v>
      </c>
      <c r="N98">
        <v>0</v>
      </c>
      <c r="O98">
        <v>0</v>
      </c>
      <c r="P98">
        <v>0</v>
      </c>
      <c r="Q98">
        <v>0</v>
      </c>
      <c r="R98">
        <v>0</v>
      </c>
      <c r="S98">
        <v>0</v>
      </c>
      <c r="T98">
        <v>0</v>
      </c>
      <c r="U98">
        <v>0</v>
      </c>
      <c r="V98">
        <v>0.30713862066894904</v>
      </c>
      <c r="W98">
        <v>0</v>
      </c>
      <c r="X98">
        <v>0</v>
      </c>
      <c r="Y98">
        <v>0</v>
      </c>
      <c r="Z98">
        <v>0</v>
      </c>
    </row>
    <row r="99" spans="7:26" x14ac:dyDescent="0.2">
      <c r="G99">
        <v>0</v>
      </c>
      <c r="H99">
        <v>0</v>
      </c>
      <c r="I99">
        <v>0</v>
      </c>
      <c r="J99">
        <v>0</v>
      </c>
      <c r="K99">
        <v>0</v>
      </c>
      <c r="L99">
        <v>0</v>
      </c>
      <c r="M99">
        <v>0</v>
      </c>
      <c r="N99">
        <v>0</v>
      </c>
      <c r="O99">
        <v>0</v>
      </c>
      <c r="P99">
        <v>0</v>
      </c>
      <c r="Q99">
        <v>0</v>
      </c>
      <c r="R99">
        <v>0</v>
      </c>
      <c r="S99">
        <v>0</v>
      </c>
      <c r="T99">
        <v>0</v>
      </c>
      <c r="U99">
        <v>0</v>
      </c>
      <c r="V99">
        <v>0</v>
      </c>
      <c r="W99">
        <v>0.58727039733235564</v>
      </c>
      <c r="X99">
        <v>0</v>
      </c>
      <c r="Y99">
        <v>0</v>
      </c>
      <c r="Z99">
        <v>0</v>
      </c>
    </row>
    <row r="100" spans="7:26" x14ac:dyDescent="0.2">
      <c r="G100">
        <v>0</v>
      </c>
      <c r="H100">
        <v>0</v>
      </c>
      <c r="I100">
        <v>0</v>
      </c>
      <c r="J100">
        <v>0</v>
      </c>
      <c r="K100">
        <v>0</v>
      </c>
      <c r="L100">
        <v>0</v>
      </c>
      <c r="M100">
        <v>0</v>
      </c>
      <c r="N100">
        <v>0</v>
      </c>
      <c r="O100">
        <v>0</v>
      </c>
      <c r="P100">
        <v>0</v>
      </c>
      <c r="Q100">
        <v>0</v>
      </c>
      <c r="R100">
        <v>0</v>
      </c>
      <c r="S100">
        <v>0</v>
      </c>
      <c r="T100">
        <v>0</v>
      </c>
      <c r="U100">
        <v>0</v>
      </c>
      <c r="V100">
        <v>0</v>
      </c>
      <c r="W100">
        <v>0</v>
      </c>
      <c r="X100">
        <v>0.48073918430587953</v>
      </c>
      <c r="Y100">
        <v>0</v>
      </c>
      <c r="Z100">
        <v>0</v>
      </c>
    </row>
    <row r="101" spans="7:26" x14ac:dyDescent="0.2">
      <c r="G101">
        <v>0</v>
      </c>
      <c r="H101">
        <v>0</v>
      </c>
      <c r="I101">
        <v>0</v>
      </c>
      <c r="J101">
        <v>0</v>
      </c>
      <c r="K101">
        <v>0</v>
      </c>
      <c r="L101">
        <v>0</v>
      </c>
      <c r="M101">
        <v>0</v>
      </c>
      <c r="N101">
        <v>0</v>
      </c>
      <c r="O101">
        <v>0</v>
      </c>
      <c r="P101">
        <v>0</v>
      </c>
      <c r="Q101">
        <v>0</v>
      </c>
      <c r="R101">
        <v>0</v>
      </c>
      <c r="S101">
        <v>0</v>
      </c>
      <c r="T101">
        <v>0</v>
      </c>
      <c r="U101">
        <v>0</v>
      </c>
      <c r="V101">
        <v>0</v>
      </c>
      <c r="W101">
        <v>0</v>
      </c>
      <c r="X101">
        <v>0</v>
      </c>
      <c r="Y101">
        <v>0.27430916613340389</v>
      </c>
      <c r="Z101">
        <v>0</v>
      </c>
    </row>
    <row r="102" spans="7:26" x14ac:dyDescent="0.2">
      <c r="G102">
        <v>0</v>
      </c>
      <c r="H102">
        <v>0</v>
      </c>
      <c r="I102">
        <v>0</v>
      </c>
      <c r="J102">
        <v>0</v>
      </c>
      <c r="K102">
        <v>0</v>
      </c>
      <c r="L102">
        <v>0</v>
      </c>
      <c r="M102">
        <v>0</v>
      </c>
      <c r="N102">
        <v>0</v>
      </c>
      <c r="O102">
        <v>0</v>
      </c>
      <c r="P102">
        <v>0</v>
      </c>
      <c r="Q102">
        <v>0</v>
      </c>
      <c r="R102">
        <v>0</v>
      </c>
      <c r="S102">
        <v>0</v>
      </c>
      <c r="T102">
        <v>0</v>
      </c>
      <c r="U102">
        <v>0</v>
      </c>
      <c r="V102">
        <v>0</v>
      </c>
      <c r="W102">
        <v>0</v>
      </c>
      <c r="X102">
        <v>0</v>
      </c>
      <c r="Y102">
        <v>0</v>
      </c>
      <c r="Z102">
        <v>0.55364617170174035</v>
      </c>
    </row>
    <row r="105" spans="7:26" x14ac:dyDescent="0.2">
      <c r="G105" cm="1">
        <f t="array" ref="G105:Z124">IF(_xlfn.SEQUENCE(20,20)=TRANSPOSE(_xlfn.SEQUENCE(20,20)), D40:D59, 0)</f>
        <v>8.6253532014750438E-3</v>
      </c>
      <c r="H105">
        <v>0</v>
      </c>
      <c r="I105">
        <v>0</v>
      </c>
      <c r="J105">
        <v>0</v>
      </c>
      <c r="K105">
        <v>0</v>
      </c>
      <c r="L105">
        <v>0</v>
      </c>
      <c r="M105">
        <v>0</v>
      </c>
      <c r="N105">
        <v>0</v>
      </c>
      <c r="O105">
        <v>0</v>
      </c>
      <c r="P105">
        <v>0</v>
      </c>
      <c r="Q105">
        <v>0</v>
      </c>
      <c r="R105">
        <v>0</v>
      </c>
      <c r="S105">
        <v>0</v>
      </c>
      <c r="T105">
        <v>0</v>
      </c>
      <c r="U105">
        <v>0</v>
      </c>
      <c r="V105">
        <v>0</v>
      </c>
      <c r="W105">
        <v>0</v>
      </c>
      <c r="X105">
        <v>0</v>
      </c>
      <c r="Y105">
        <v>0</v>
      </c>
      <c r="Z105">
        <v>0</v>
      </c>
    </row>
    <row r="106" spans="7:26" x14ac:dyDescent="0.2">
      <c r="G106">
        <v>0</v>
      </c>
      <c r="H106">
        <v>1.8033316883395525E-3</v>
      </c>
      <c r="I106">
        <v>0</v>
      </c>
      <c r="J106">
        <v>0</v>
      </c>
      <c r="K106">
        <v>0</v>
      </c>
      <c r="L106">
        <v>0</v>
      </c>
      <c r="M106">
        <v>0</v>
      </c>
      <c r="N106">
        <v>0</v>
      </c>
      <c r="O106">
        <v>0</v>
      </c>
      <c r="P106">
        <v>0</v>
      </c>
      <c r="Q106">
        <v>0</v>
      </c>
      <c r="R106">
        <v>0</v>
      </c>
      <c r="S106">
        <v>0</v>
      </c>
      <c r="T106">
        <v>0</v>
      </c>
      <c r="U106">
        <v>0</v>
      </c>
      <c r="V106">
        <v>0</v>
      </c>
      <c r="W106">
        <v>0</v>
      </c>
      <c r="X106">
        <v>0</v>
      </c>
      <c r="Y106">
        <v>0</v>
      </c>
      <c r="Z106">
        <v>0</v>
      </c>
    </row>
    <row r="107" spans="7:26" x14ac:dyDescent="0.2">
      <c r="G107">
        <v>0</v>
      </c>
      <c r="H107">
        <v>0</v>
      </c>
      <c r="I107">
        <v>1.1337222172251053E-2</v>
      </c>
      <c r="J107">
        <v>0</v>
      </c>
      <c r="K107">
        <v>0</v>
      </c>
      <c r="L107">
        <v>0</v>
      </c>
      <c r="M107">
        <v>0</v>
      </c>
      <c r="N107">
        <v>0</v>
      </c>
      <c r="O107">
        <v>0</v>
      </c>
      <c r="P107">
        <v>0</v>
      </c>
      <c r="Q107">
        <v>0</v>
      </c>
      <c r="R107">
        <v>0</v>
      </c>
      <c r="S107">
        <v>0</v>
      </c>
      <c r="T107">
        <v>0</v>
      </c>
      <c r="U107">
        <v>0</v>
      </c>
      <c r="V107">
        <v>0</v>
      </c>
      <c r="W107">
        <v>0</v>
      </c>
      <c r="X107">
        <v>0</v>
      </c>
      <c r="Y107">
        <v>0</v>
      </c>
      <c r="Z107">
        <v>0</v>
      </c>
    </row>
    <row r="108" spans="7:26" x14ac:dyDescent="0.2">
      <c r="G108">
        <v>0</v>
      </c>
      <c r="H108">
        <v>0</v>
      </c>
      <c r="I108">
        <v>0</v>
      </c>
      <c r="J108">
        <v>2.4320162891296657E-2</v>
      </c>
      <c r="K108">
        <v>0</v>
      </c>
      <c r="L108">
        <v>0</v>
      </c>
      <c r="M108">
        <v>0</v>
      </c>
      <c r="N108">
        <v>0</v>
      </c>
      <c r="O108">
        <v>0</v>
      </c>
      <c r="P108">
        <v>0</v>
      </c>
      <c r="Q108">
        <v>0</v>
      </c>
      <c r="R108">
        <v>0</v>
      </c>
      <c r="S108">
        <v>0</v>
      </c>
      <c r="T108">
        <v>0</v>
      </c>
      <c r="U108">
        <v>0</v>
      </c>
      <c r="V108">
        <v>0</v>
      </c>
      <c r="W108">
        <v>0</v>
      </c>
      <c r="X108">
        <v>0</v>
      </c>
      <c r="Y108">
        <v>0</v>
      </c>
      <c r="Z108">
        <v>0</v>
      </c>
    </row>
    <row r="109" spans="7:26" x14ac:dyDescent="0.2">
      <c r="G109">
        <v>0</v>
      </c>
      <c r="H109">
        <v>0</v>
      </c>
      <c r="I109">
        <v>0</v>
      </c>
      <c r="J109">
        <v>0</v>
      </c>
      <c r="K109">
        <v>-2.8826618131872996E-4</v>
      </c>
      <c r="L109">
        <v>0</v>
      </c>
      <c r="M109">
        <v>0</v>
      </c>
      <c r="N109">
        <v>0</v>
      </c>
      <c r="O109">
        <v>0</v>
      </c>
      <c r="P109">
        <v>0</v>
      </c>
      <c r="Q109">
        <v>0</v>
      </c>
      <c r="R109">
        <v>0</v>
      </c>
      <c r="S109">
        <v>0</v>
      </c>
      <c r="T109">
        <v>0</v>
      </c>
      <c r="U109">
        <v>0</v>
      </c>
      <c r="V109">
        <v>0</v>
      </c>
      <c r="W109">
        <v>0</v>
      </c>
      <c r="X109">
        <v>0</v>
      </c>
      <c r="Y109">
        <v>0</v>
      </c>
      <c r="Z109">
        <v>0</v>
      </c>
    </row>
    <row r="110" spans="7:26" x14ac:dyDescent="0.2">
      <c r="G110">
        <v>0</v>
      </c>
      <c r="H110">
        <v>0</v>
      </c>
      <c r="I110">
        <v>0</v>
      </c>
      <c r="J110">
        <v>0</v>
      </c>
      <c r="K110">
        <v>0</v>
      </c>
      <c r="L110">
        <v>-3.8158550503704773E-3</v>
      </c>
      <c r="M110">
        <v>0</v>
      </c>
      <c r="N110">
        <v>0</v>
      </c>
      <c r="O110">
        <v>0</v>
      </c>
      <c r="P110">
        <v>0</v>
      </c>
      <c r="Q110">
        <v>0</v>
      </c>
      <c r="R110">
        <v>0</v>
      </c>
      <c r="S110">
        <v>0</v>
      </c>
      <c r="T110">
        <v>0</v>
      </c>
      <c r="U110">
        <v>0</v>
      </c>
      <c r="V110">
        <v>0</v>
      </c>
      <c r="W110">
        <v>0</v>
      </c>
      <c r="X110">
        <v>0</v>
      </c>
      <c r="Y110">
        <v>0</v>
      </c>
      <c r="Z110">
        <v>0</v>
      </c>
    </row>
    <row r="111" spans="7:26" x14ac:dyDescent="0.2">
      <c r="G111">
        <v>0</v>
      </c>
      <c r="H111">
        <v>0</v>
      </c>
      <c r="I111">
        <v>0</v>
      </c>
      <c r="J111">
        <v>0</v>
      </c>
      <c r="K111">
        <v>0</v>
      </c>
      <c r="L111">
        <v>0</v>
      </c>
      <c r="M111">
        <v>1.2881671655455308E-3</v>
      </c>
      <c r="N111">
        <v>0</v>
      </c>
      <c r="O111">
        <v>0</v>
      </c>
      <c r="P111">
        <v>0</v>
      </c>
      <c r="Q111">
        <v>0</v>
      </c>
      <c r="R111">
        <v>0</v>
      </c>
      <c r="S111">
        <v>0</v>
      </c>
      <c r="T111">
        <v>0</v>
      </c>
      <c r="U111">
        <v>0</v>
      </c>
      <c r="V111">
        <v>0</v>
      </c>
      <c r="W111">
        <v>0</v>
      </c>
      <c r="X111">
        <v>0</v>
      </c>
      <c r="Y111">
        <v>0</v>
      </c>
      <c r="Z111">
        <v>0</v>
      </c>
    </row>
    <row r="112" spans="7:26" x14ac:dyDescent="0.2">
      <c r="G112">
        <v>0</v>
      </c>
      <c r="H112">
        <v>0</v>
      </c>
      <c r="I112">
        <v>0</v>
      </c>
      <c r="J112">
        <v>0</v>
      </c>
      <c r="K112">
        <v>0</v>
      </c>
      <c r="L112">
        <v>0</v>
      </c>
      <c r="M112">
        <v>0</v>
      </c>
      <c r="N112">
        <v>1.252788314431144E-2</v>
      </c>
      <c r="O112">
        <v>0</v>
      </c>
      <c r="P112">
        <v>0</v>
      </c>
      <c r="Q112">
        <v>0</v>
      </c>
      <c r="R112">
        <v>0</v>
      </c>
      <c r="S112">
        <v>0</v>
      </c>
      <c r="T112">
        <v>0</v>
      </c>
      <c r="U112">
        <v>0</v>
      </c>
      <c r="V112">
        <v>0</v>
      </c>
      <c r="W112">
        <v>0</v>
      </c>
      <c r="X112">
        <v>0</v>
      </c>
      <c r="Y112">
        <v>0</v>
      </c>
      <c r="Z112">
        <v>0</v>
      </c>
    </row>
    <row r="113" spans="7:26" x14ac:dyDescent="0.2">
      <c r="G113">
        <v>0</v>
      </c>
      <c r="H113">
        <v>0</v>
      </c>
      <c r="I113">
        <v>0</v>
      </c>
      <c r="J113">
        <v>0</v>
      </c>
      <c r="K113">
        <v>0</v>
      </c>
      <c r="L113">
        <v>0</v>
      </c>
      <c r="M113">
        <v>0</v>
      </c>
      <c r="N113">
        <v>0</v>
      </c>
      <c r="O113">
        <v>-1.4942395377793823E-2</v>
      </c>
      <c r="P113">
        <v>0</v>
      </c>
      <c r="Q113">
        <v>0</v>
      </c>
      <c r="R113">
        <v>0</v>
      </c>
      <c r="S113">
        <v>0</v>
      </c>
      <c r="T113">
        <v>0</v>
      </c>
      <c r="U113">
        <v>0</v>
      </c>
      <c r="V113">
        <v>0</v>
      </c>
      <c r="W113">
        <v>0</v>
      </c>
      <c r="X113">
        <v>0</v>
      </c>
      <c r="Y113">
        <v>0</v>
      </c>
      <c r="Z113">
        <v>0</v>
      </c>
    </row>
    <row r="114" spans="7:26" x14ac:dyDescent="0.2">
      <c r="G114">
        <v>0</v>
      </c>
      <c r="H114">
        <v>0</v>
      </c>
      <c r="I114">
        <v>0</v>
      </c>
      <c r="J114">
        <v>0</v>
      </c>
      <c r="K114">
        <v>0</v>
      </c>
      <c r="L114">
        <v>0</v>
      </c>
      <c r="M114">
        <v>0</v>
      </c>
      <c r="N114">
        <v>0</v>
      </c>
      <c r="O114">
        <v>0</v>
      </c>
      <c r="P114">
        <v>-3.1367043807706605E-4</v>
      </c>
      <c r="Q114">
        <v>0</v>
      </c>
      <c r="R114">
        <v>0</v>
      </c>
      <c r="S114">
        <v>0</v>
      </c>
      <c r="T114">
        <v>0</v>
      </c>
      <c r="U114">
        <v>0</v>
      </c>
      <c r="V114">
        <v>0</v>
      </c>
      <c r="W114">
        <v>0</v>
      </c>
      <c r="X114">
        <v>0</v>
      </c>
      <c r="Y114">
        <v>0</v>
      </c>
      <c r="Z114">
        <v>0</v>
      </c>
    </row>
    <row r="115" spans="7:26" x14ac:dyDescent="0.2">
      <c r="G115">
        <v>0</v>
      </c>
      <c r="H115">
        <v>0</v>
      </c>
      <c r="I115">
        <v>0</v>
      </c>
      <c r="J115">
        <v>0</v>
      </c>
      <c r="K115">
        <v>0</v>
      </c>
      <c r="L115">
        <v>0</v>
      </c>
      <c r="M115">
        <v>0</v>
      </c>
      <c r="N115">
        <v>0</v>
      </c>
      <c r="O115">
        <v>0</v>
      </c>
      <c r="P115">
        <v>0</v>
      </c>
      <c r="Q115">
        <v>-5.8339399781355366E-4</v>
      </c>
      <c r="R115">
        <v>0</v>
      </c>
      <c r="S115">
        <v>0</v>
      </c>
      <c r="T115">
        <v>0</v>
      </c>
      <c r="U115">
        <v>0</v>
      </c>
      <c r="V115">
        <v>0</v>
      </c>
      <c r="W115">
        <v>0</v>
      </c>
      <c r="X115">
        <v>0</v>
      </c>
      <c r="Y115">
        <v>0</v>
      </c>
      <c r="Z115">
        <v>0</v>
      </c>
    </row>
    <row r="116" spans="7:26" x14ac:dyDescent="0.2">
      <c r="G116">
        <v>0</v>
      </c>
      <c r="H116">
        <v>0</v>
      </c>
      <c r="I116">
        <v>0</v>
      </c>
      <c r="J116">
        <v>0</v>
      </c>
      <c r="K116">
        <v>0</v>
      </c>
      <c r="L116">
        <v>0</v>
      </c>
      <c r="M116">
        <v>0</v>
      </c>
      <c r="N116">
        <v>0</v>
      </c>
      <c r="O116">
        <v>0</v>
      </c>
      <c r="P116">
        <v>0</v>
      </c>
      <c r="Q116">
        <v>0</v>
      </c>
      <c r="R116">
        <v>4.5740516266499658E-2</v>
      </c>
      <c r="S116">
        <v>0</v>
      </c>
      <c r="T116">
        <v>0</v>
      </c>
      <c r="U116">
        <v>0</v>
      </c>
      <c r="V116">
        <v>0</v>
      </c>
      <c r="W116">
        <v>0</v>
      </c>
      <c r="X116">
        <v>0</v>
      </c>
      <c r="Y116">
        <v>0</v>
      </c>
      <c r="Z116">
        <v>0</v>
      </c>
    </row>
    <row r="117" spans="7:26" x14ac:dyDescent="0.2">
      <c r="G117">
        <v>0</v>
      </c>
      <c r="H117">
        <v>0</v>
      </c>
      <c r="I117">
        <v>0</v>
      </c>
      <c r="J117">
        <v>0</v>
      </c>
      <c r="K117">
        <v>0</v>
      </c>
      <c r="L117">
        <v>0</v>
      </c>
      <c r="M117">
        <v>0</v>
      </c>
      <c r="N117">
        <v>0</v>
      </c>
      <c r="O117">
        <v>0</v>
      </c>
      <c r="P117">
        <v>0</v>
      </c>
      <c r="Q117">
        <v>0</v>
      </c>
      <c r="R117">
        <v>0</v>
      </c>
      <c r="S117">
        <v>4.5620600192358987E-2</v>
      </c>
      <c r="T117">
        <v>0</v>
      </c>
      <c r="U117">
        <v>0</v>
      </c>
      <c r="V117">
        <v>0</v>
      </c>
      <c r="W117">
        <v>0</v>
      </c>
      <c r="X117">
        <v>0</v>
      </c>
      <c r="Y117">
        <v>0</v>
      </c>
      <c r="Z117">
        <v>0</v>
      </c>
    </row>
    <row r="118" spans="7:26" x14ac:dyDescent="0.2">
      <c r="G118">
        <v>0</v>
      </c>
      <c r="H118">
        <v>0</v>
      </c>
      <c r="I118">
        <v>0</v>
      </c>
      <c r="J118">
        <v>0</v>
      </c>
      <c r="K118">
        <v>0</v>
      </c>
      <c r="L118">
        <v>0</v>
      </c>
      <c r="M118">
        <v>0</v>
      </c>
      <c r="N118">
        <v>0</v>
      </c>
      <c r="O118">
        <v>0</v>
      </c>
      <c r="P118">
        <v>0</v>
      </c>
      <c r="Q118">
        <v>0</v>
      </c>
      <c r="R118">
        <v>0</v>
      </c>
      <c r="S118">
        <v>0</v>
      </c>
      <c r="T118">
        <v>-5.0680116959075597E-3</v>
      </c>
      <c r="U118">
        <v>0</v>
      </c>
      <c r="V118">
        <v>0</v>
      </c>
      <c r="W118">
        <v>0</v>
      </c>
      <c r="X118">
        <v>0</v>
      </c>
      <c r="Y118">
        <v>0</v>
      </c>
      <c r="Z118">
        <v>0</v>
      </c>
    </row>
    <row r="119" spans="7:26" x14ac:dyDescent="0.2">
      <c r="G119">
        <v>0</v>
      </c>
      <c r="H119">
        <v>0</v>
      </c>
      <c r="I119">
        <v>0</v>
      </c>
      <c r="J119">
        <v>0</v>
      </c>
      <c r="K119">
        <v>0</v>
      </c>
      <c r="L119">
        <v>0</v>
      </c>
      <c r="M119">
        <v>0</v>
      </c>
      <c r="N119">
        <v>0</v>
      </c>
      <c r="O119">
        <v>0</v>
      </c>
      <c r="P119">
        <v>0</v>
      </c>
      <c r="Q119">
        <v>0</v>
      </c>
      <c r="R119">
        <v>0</v>
      </c>
      <c r="S119">
        <v>0</v>
      </c>
      <c r="T119">
        <v>0</v>
      </c>
      <c r="U119">
        <v>-4.8110542488322651E-3</v>
      </c>
      <c r="V119">
        <v>0</v>
      </c>
      <c r="W119">
        <v>0</v>
      </c>
      <c r="X119">
        <v>0</v>
      </c>
      <c r="Y119">
        <v>0</v>
      </c>
      <c r="Z119">
        <v>0</v>
      </c>
    </row>
    <row r="120" spans="7:26" x14ac:dyDescent="0.2">
      <c r="G120">
        <v>0</v>
      </c>
      <c r="H120">
        <v>0</v>
      </c>
      <c r="I120">
        <v>0</v>
      </c>
      <c r="J120">
        <v>0</v>
      </c>
      <c r="K120">
        <v>0</v>
      </c>
      <c r="L120">
        <v>0</v>
      </c>
      <c r="M120">
        <v>0</v>
      </c>
      <c r="N120">
        <v>0</v>
      </c>
      <c r="O120">
        <v>0</v>
      </c>
      <c r="P120">
        <v>0</v>
      </c>
      <c r="Q120">
        <v>0</v>
      </c>
      <c r="R120">
        <v>0</v>
      </c>
      <c r="S120">
        <v>0</v>
      </c>
      <c r="T120">
        <v>0</v>
      </c>
      <c r="U120">
        <v>0</v>
      </c>
      <c r="V120">
        <v>5.1386168541075496E-4</v>
      </c>
      <c r="W120">
        <v>0</v>
      </c>
      <c r="X120">
        <v>0</v>
      </c>
      <c r="Y120">
        <v>0</v>
      </c>
      <c r="Z120">
        <v>0</v>
      </c>
    </row>
    <row r="121" spans="7:26" x14ac:dyDescent="0.2">
      <c r="G121">
        <v>0</v>
      </c>
      <c r="H121">
        <v>0</v>
      </c>
      <c r="I121">
        <v>0</v>
      </c>
      <c r="J121">
        <v>0</v>
      </c>
      <c r="K121">
        <v>0</v>
      </c>
      <c r="L121">
        <v>0</v>
      </c>
      <c r="M121">
        <v>0</v>
      </c>
      <c r="N121">
        <v>0</v>
      </c>
      <c r="O121">
        <v>0</v>
      </c>
      <c r="P121">
        <v>0</v>
      </c>
      <c r="Q121">
        <v>0</v>
      </c>
      <c r="R121">
        <v>0</v>
      </c>
      <c r="S121">
        <v>0</v>
      </c>
      <c r="T121">
        <v>0</v>
      </c>
      <c r="U121">
        <v>0</v>
      </c>
      <c r="V121">
        <v>0</v>
      </c>
      <c r="W121">
        <v>-5.4584852894847477E-3</v>
      </c>
      <c r="X121">
        <v>0</v>
      </c>
      <c r="Y121">
        <v>0</v>
      </c>
      <c r="Z121">
        <v>0</v>
      </c>
    </row>
    <row r="122" spans="7:26" x14ac:dyDescent="0.2">
      <c r="G122">
        <v>0</v>
      </c>
      <c r="H122">
        <v>0</v>
      </c>
      <c r="I122">
        <v>0</v>
      </c>
      <c r="J122">
        <v>0</v>
      </c>
      <c r="K122">
        <v>0</v>
      </c>
      <c r="L122">
        <v>0</v>
      </c>
      <c r="M122">
        <v>0</v>
      </c>
      <c r="N122">
        <v>0</v>
      </c>
      <c r="O122">
        <v>0</v>
      </c>
      <c r="P122">
        <v>0</v>
      </c>
      <c r="Q122">
        <v>0</v>
      </c>
      <c r="R122">
        <v>0</v>
      </c>
      <c r="S122">
        <v>0</v>
      </c>
      <c r="T122">
        <v>0</v>
      </c>
      <c r="U122">
        <v>0</v>
      </c>
      <c r="V122">
        <v>0</v>
      </c>
      <c r="W122">
        <v>0</v>
      </c>
      <c r="X122">
        <v>-2.3269622468223708E-3</v>
      </c>
      <c r="Y122">
        <v>0</v>
      </c>
      <c r="Z122">
        <v>0</v>
      </c>
    </row>
    <row r="123" spans="7:26" x14ac:dyDescent="0.2">
      <c r="G123">
        <v>0</v>
      </c>
      <c r="H123">
        <v>0</v>
      </c>
      <c r="I123">
        <v>0</v>
      </c>
      <c r="J123">
        <v>0</v>
      </c>
      <c r="K123">
        <v>0</v>
      </c>
      <c r="L123">
        <v>0</v>
      </c>
      <c r="M123">
        <v>0</v>
      </c>
      <c r="N123">
        <v>0</v>
      </c>
      <c r="O123">
        <v>0</v>
      </c>
      <c r="P123">
        <v>0</v>
      </c>
      <c r="Q123">
        <v>0</v>
      </c>
      <c r="R123">
        <v>0</v>
      </c>
      <c r="S123">
        <v>0</v>
      </c>
      <c r="T123">
        <v>0</v>
      </c>
      <c r="U123">
        <v>0</v>
      </c>
      <c r="V123">
        <v>0</v>
      </c>
      <c r="W123">
        <v>0</v>
      </c>
      <c r="X123">
        <v>0</v>
      </c>
      <c r="Y123">
        <v>1.9198269824580064E-2</v>
      </c>
      <c r="Z123">
        <v>0</v>
      </c>
    </row>
    <row r="124" spans="7:26" x14ac:dyDescent="0.2">
      <c r="G124">
        <v>0</v>
      </c>
      <c r="H124">
        <v>0</v>
      </c>
      <c r="I124">
        <v>0</v>
      </c>
      <c r="J124">
        <v>0</v>
      </c>
      <c r="K124">
        <v>0</v>
      </c>
      <c r="L124">
        <v>0</v>
      </c>
      <c r="M124">
        <v>0</v>
      </c>
      <c r="N124">
        <v>0</v>
      </c>
      <c r="O124">
        <v>0</v>
      </c>
      <c r="P124">
        <v>0</v>
      </c>
      <c r="Q124">
        <v>0</v>
      </c>
      <c r="R124">
        <v>0</v>
      </c>
      <c r="S124">
        <v>0</v>
      </c>
      <c r="T124">
        <v>0</v>
      </c>
      <c r="U124">
        <v>0</v>
      </c>
      <c r="V124">
        <v>0</v>
      </c>
      <c r="W124">
        <v>0</v>
      </c>
      <c r="X124">
        <v>0</v>
      </c>
      <c r="Y124">
        <v>0</v>
      </c>
      <c r="Z124">
        <v>3.2620681041270638E-2</v>
      </c>
    </row>
    <row r="127" spans="7:26" x14ac:dyDescent="0.2">
      <c r="G127" cm="1">
        <f t="array" ref="G127:Z146">IF(_xlfn.SEQUENCE(20,20)=TRANSPOSE(_xlfn.SEQUENCE(20,20)), E40:E59, 0)</f>
        <v>0.12200184744283883</v>
      </c>
      <c r="H127">
        <v>0</v>
      </c>
      <c r="I127">
        <v>0</v>
      </c>
      <c r="J127">
        <v>0</v>
      </c>
      <c r="K127">
        <v>0</v>
      </c>
      <c r="L127">
        <v>0</v>
      </c>
      <c r="M127">
        <v>0</v>
      </c>
      <c r="N127">
        <v>0</v>
      </c>
      <c r="O127">
        <v>0</v>
      </c>
      <c r="P127">
        <v>0</v>
      </c>
      <c r="Q127">
        <v>0</v>
      </c>
      <c r="R127">
        <v>0</v>
      </c>
      <c r="S127">
        <v>0</v>
      </c>
      <c r="T127">
        <v>0</v>
      </c>
      <c r="U127">
        <v>0</v>
      </c>
      <c r="V127">
        <v>0</v>
      </c>
      <c r="W127">
        <v>0</v>
      </c>
      <c r="X127">
        <v>0</v>
      </c>
      <c r="Y127">
        <v>0</v>
      </c>
      <c r="Z127">
        <v>0</v>
      </c>
    </row>
    <row r="128" spans="7:26" x14ac:dyDescent="0.2">
      <c r="G128">
        <v>0</v>
      </c>
      <c r="H128">
        <v>0.22797776629454949</v>
      </c>
      <c r="I128">
        <v>0</v>
      </c>
      <c r="J128">
        <v>0</v>
      </c>
      <c r="K128">
        <v>0</v>
      </c>
      <c r="L128">
        <v>0</v>
      </c>
      <c r="M128">
        <v>0</v>
      </c>
      <c r="N128">
        <v>0</v>
      </c>
      <c r="O128">
        <v>0</v>
      </c>
      <c r="P128">
        <v>0</v>
      </c>
      <c r="Q128">
        <v>0</v>
      </c>
      <c r="R128">
        <v>0</v>
      </c>
      <c r="S128">
        <v>0</v>
      </c>
      <c r="T128">
        <v>0</v>
      </c>
      <c r="U128">
        <v>0</v>
      </c>
      <c r="V128">
        <v>0</v>
      </c>
      <c r="W128">
        <v>0</v>
      </c>
      <c r="X128">
        <v>0</v>
      </c>
      <c r="Y128">
        <v>0</v>
      </c>
      <c r="Z128">
        <v>0</v>
      </c>
    </row>
    <row r="129" spans="7:26" x14ac:dyDescent="0.2">
      <c r="G129">
        <v>0</v>
      </c>
      <c r="H129">
        <v>0</v>
      </c>
      <c r="I129">
        <v>0.25313915934292375</v>
      </c>
      <c r="J129">
        <v>0</v>
      </c>
      <c r="K129">
        <v>0</v>
      </c>
      <c r="L129">
        <v>0</v>
      </c>
      <c r="M129">
        <v>0</v>
      </c>
      <c r="N129">
        <v>0</v>
      </c>
      <c r="O129">
        <v>0</v>
      </c>
      <c r="P129">
        <v>0</v>
      </c>
      <c r="Q129">
        <v>0</v>
      </c>
      <c r="R129">
        <v>0</v>
      </c>
      <c r="S129">
        <v>0</v>
      </c>
      <c r="T129">
        <v>0</v>
      </c>
      <c r="U129">
        <v>0</v>
      </c>
      <c r="V129">
        <v>0</v>
      </c>
      <c r="W129">
        <v>0</v>
      </c>
      <c r="X129">
        <v>0</v>
      </c>
      <c r="Y129">
        <v>0</v>
      </c>
      <c r="Z129">
        <v>0</v>
      </c>
    </row>
    <row r="130" spans="7:26" x14ac:dyDescent="0.2">
      <c r="G130">
        <v>0</v>
      </c>
      <c r="H130">
        <v>0</v>
      </c>
      <c r="I130">
        <v>0</v>
      </c>
      <c r="J130">
        <v>6.4819273349827358E-2</v>
      </c>
      <c r="K130">
        <v>0</v>
      </c>
      <c r="L130">
        <v>0</v>
      </c>
      <c r="M130">
        <v>0</v>
      </c>
      <c r="N130">
        <v>0</v>
      </c>
      <c r="O130">
        <v>0</v>
      </c>
      <c r="P130">
        <v>0</v>
      </c>
      <c r="Q130">
        <v>0</v>
      </c>
      <c r="R130">
        <v>0</v>
      </c>
      <c r="S130">
        <v>0</v>
      </c>
      <c r="T130">
        <v>0</v>
      </c>
      <c r="U130">
        <v>0</v>
      </c>
      <c r="V130">
        <v>0</v>
      </c>
      <c r="W130">
        <v>0</v>
      </c>
      <c r="X130">
        <v>0</v>
      </c>
      <c r="Y130">
        <v>0</v>
      </c>
      <c r="Z130">
        <v>0</v>
      </c>
    </row>
    <row r="131" spans="7:26" x14ac:dyDescent="0.2">
      <c r="G131">
        <v>0</v>
      </c>
      <c r="H131">
        <v>0</v>
      </c>
      <c r="I131">
        <v>0</v>
      </c>
      <c r="J131">
        <v>0</v>
      </c>
      <c r="K131">
        <v>0.36630320972738845</v>
      </c>
      <c r="L131">
        <v>0</v>
      </c>
      <c r="M131">
        <v>0</v>
      </c>
      <c r="N131">
        <v>0</v>
      </c>
      <c r="O131">
        <v>0</v>
      </c>
      <c r="P131">
        <v>0</v>
      </c>
      <c r="Q131">
        <v>0</v>
      </c>
      <c r="R131">
        <v>0</v>
      </c>
      <c r="S131">
        <v>0</v>
      </c>
      <c r="T131">
        <v>0</v>
      </c>
      <c r="U131">
        <v>0</v>
      </c>
      <c r="V131">
        <v>0</v>
      </c>
      <c r="W131">
        <v>0</v>
      </c>
      <c r="X131">
        <v>0</v>
      </c>
      <c r="Y131">
        <v>0</v>
      </c>
      <c r="Z131">
        <v>0</v>
      </c>
    </row>
    <row r="132" spans="7:26" x14ac:dyDescent="0.2">
      <c r="G132">
        <v>0</v>
      </c>
      <c r="H132">
        <v>0</v>
      </c>
      <c r="I132">
        <v>0</v>
      </c>
      <c r="J132">
        <v>0</v>
      </c>
      <c r="K132">
        <v>0</v>
      </c>
      <c r="L132">
        <v>0.16970850439198371</v>
      </c>
      <c r="M132">
        <v>0</v>
      </c>
      <c r="N132">
        <v>0</v>
      </c>
      <c r="O132">
        <v>0</v>
      </c>
      <c r="P132">
        <v>0</v>
      </c>
      <c r="Q132">
        <v>0</v>
      </c>
      <c r="R132">
        <v>0</v>
      </c>
      <c r="S132">
        <v>0</v>
      </c>
      <c r="T132">
        <v>0</v>
      </c>
      <c r="U132">
        <v>0</v>
      </c>
      <c r="V132">
        <v>0</v>
      </c>
      <c r="W132">
        <v>0</v>
      </c>
      <c r="X132">
        <v>0</v>
      </c>
      <c r="Y132">
        <v>0</v>
      </c>
      <c r="Z132">
        <v>0</v>
      </c>
    </row>
    <row r="133" spans="7:26" x14ac:dyDescent="0.2">
      <c r="G133">
        <v>0</v>
      </c>
      <c r="H133">
        <v>0</v>
      </c>
      <c r="I133">
        <v>0</v>
      </c>
      <c r="J133">
        <v>0</v>
      </c>
      <c r="K133">
        <v>0</v>
      </c>
      <c r="L133">
        <v>0</v>
      </c>
      <c r="M133">
        <v>0.20423206000636995</v>
      </c>
      <c r="N133">
        <v>0</v>
      </c>
      <c r="O133">
        <v>0</v>
      </c>
      <c r="P133">
        <v>0</v>
      </c>
      <c r="Q133">
        <v>0</v>
      </c>
      <c r="R133">
        <v>0</v>
      </c>
      <c r="S133">
        <v>0</v>
      </c>
      <c r="T133">
        <v>0</v>
      </c>
      <c r="U133">
        <v>0</v>
      </c>
      <c r="V133">
        <v>0</v>
      </c>
      <c r="W133">
        <v>0</v>
      </c>
      <c r="X133">
        <v>0</v>
      </c>
      <c r="Y133">
        <v>0</v>
      </c>
      <c r="Z133">
        <v>0</v>
      </c>
    </row>
    <row r="134" spans="7:26" x14ac:dyDescent="0.2">
      <c r="G134">
        <v>0</v>
      </c>
      <c r="H134">
        <v>0</v>
      </c>
      <c r="I134">
        <v>0</v>
      </c>
      <c r="J134">
        <v>0</v>
      </c>
      <c r="K134">
        <v>0</v>
      </c>
      <c r="L134">
        <v>0</v>
      </c>
      <c r="M134">
        <v>0</v>
      </c>
      <c r="N134">
        <v>0.29874036035606905</v>
      </c>
      <c r="O134">
        <v>0</v>
      </c>
      <c r="P134">
        <v>0</v>
      </c>
      <c r="Q134">
        <v>0</v>
      </c>
      <c r="R134">
        <v>0</v>
      </c>
      <c r="S134">
        <v>0</v>
      </c>
      <c r="T134">
        <v>0</v>
      </c>
      <c r="U134">
        <v>0</v>
      </c>
      <c r="V134">
        <v>0</v>
      </c>
      <c r="W134">
        <v>0</v>
      </c>
      <c r="X134">
        <v>0</v>
      </c>
      <c r="Y134">
        <v>0</v>
      </c>
      <c r="Z134">
        <v>0</v>
      </c>
    </row>
    <row r="135" spans="7:26" x14ac:dyDescent="0.2">
      <c r="G135">
        <v>0</v>
      </c>
      <c r="H135">
        <v>0</v>
      </c>
      <c r="I135">
        <v>0</v>
      </c>
      <c r="J135">
        <v>0</v>
      </c>
      <c r="K135">
        <v>0</v>
      </c>
      <c r="L135">
        <v>0</v>
      </c>
      <c r="M135">
        <v>0</v>
      </c>
      <c r="N135">
        <v>0</v>
      </c>
      <c r="O135">
        <v>8.2875136448951295E-2</v>
      </c>
      <c r="P135">
        <v>0</v>
      </c>
      <c r="Q135">
        <v>0</v>
      </c>
      <c r="R135">
        <v>0</v>
      </c>
      <c r="S135">
        <v>0</v>
      </c>
      <c r="T135">
        <v>0</v>
      </c>
      <c r="U135">
        <v>0</v>
      </c>
      <c r="V135">
        <v>0</v>
      </c>
      <c r="W135">
        <v>0</v>
      </c>
      <c r="X135">
        <v>0</v>
      </c>
      <c r="Y135">
        <v>0</v>
      </c>
      <c r="Z135">
        <v>0</v>
      </c>
    </row>
    <row r="136" spans="7:26" x14ac:dyDescent="0.2">
      <c r="G136">
        <v>0</v>
      </c>
      <c r="H136">
        <v>0</v>
      </c>
      <c r="I136">
        <v>0</v>
      </c>
      <c r="J136">
        <v>0</v>
      </c>
      <c r="K136">
        <v>0</v>
      </c>
      <c r="L136">
        <v>0</v>
      </c>
      <c r="M136">
        <v>0</v>
      </c>
      <c r="N136">
        <v>0</v>
      </c>
      <c r="O136">
        <v>0</v>
      </c>
      <c r="P136">
        <v>5.8084776247958277E-2</v>
      </c>
      <c r="Q136">
        <v>0</v>
      </c>
      <c r="R136">
        <v>0</v>
      </c>
      <c r="S136">
        <v>0</v>
      </c>
      <c r="T136">
        <v>0</v>
      </c>
      <c r="U136">
        <v>0</v>
      </c>
      <c r="V136">
        <v>0</v>
      </c>
      <c r="W136">
        <v>0</v>
      </c>
      <c r="X136">
        <v>0</v>
      </c>
      <c r="Y136">
        <v>0</v>
      </c>
      <c r="Z136">
        <v>0</v>
      </c>
    </row>
    <row r="137" spans="7:26" x14ac:dyDescent="0.2">
      <c r="G137">
        <v>0</v>
      </c>
      <c r="H137">
        <v>0</v>
      </c>
      <c r="I137">
        <v>0</v>
      </c>
      <c r="J137">
        <v>0</v>
      </c>
      <c r="K137">
        <v>0</v>
      </c>
      <c r="L137">
        <v>0</v>
      </c>
      <c r="M137">
        <v>0</v>
      </c>
      <c r="N137">
        <v>0</v>
      </c>
      <c r="O137">
        <v>0</v>
      </c>
      <c r="P137">
        <v>0</v>
      </c>
      <c r="Q137">
        <v>0.27381900770115375</v>
      </c>
      <c r="R137">
        <v>0</v>
      </c>
      <c r="S137">
        <v>0</v>
      </c>
      <c r="T137">
        <v>0</v>
      </c>
      <c r="U137">
        <v>0</v>
      </c>
      <c r="V137">
        <v>0</v>
      </c>
      <c r="W137">
        <v>0</v>
      </c>
      <c r="X137">
        <v>0</v>
      </c>
      <c r="Y137">
        <v>0</v>
      </c>
      <c r="Z137">
        <v>0</v>
      </c>
    </row>
    <row r="138" spans="7:26" x14ac:dyDescent="0.2">
      <c r="G138">
        <v>0</v>
      </c>
      <c r="H138">
        <v>0</v>
      </c>
      <c r="I138">
        <v>0</v>
      </c>
      <c r="J138">
        <v>0</v>
      </c>
      <c r="K138">
        <v>0</v>
      </c>
      <c r="L138">
        <v>0</v>
      </c>
      <c r="M138">
        <v>0</v>
      </c>
      <c r="N138">
        <v>0</v>
      </c>
      <c r="O138">
        <v>0</v>
      </c>
      <c r="P138">
        <v>0</v>
      </c>
      <c r="Q138">
        <v>0</v>
      </c>
      <c r="R138">
        <v>0.34471407125572057</v>
      </c>
      <c r="S138">
        <v>0</v>
      </c>
      <c r="T138">
        <v>0</v>
      </c>
      <c r="U138">
        <v>0</v>
      </c>
      <c r="V138">
        <v>0</v>
      </c>
      <c r="W138">
        <v>0</v>
      </c>
      <c r="X138">
        <v>0</v>
      </c>
      <c r="Y138">
        <v>0</v>
      </c>
      <c r="Z138">
        <v>0</v>
      </c>
    </row>
    <row r="139" spans="7:26" x14ac:dyDescent="0.2">
      <c r="G139">
        <v>0</v>
      </c>
      <c r="H139">
        <v>0</v>
      </c>
      <c r="I139">
        <v>0</v>
      </c>
      <c r="J139">
        <v>0</v>
      </c>
      <c r="K139">
        <v>0</v>
      </c>
      <c r="L139">
        <v>0</v>
      </c>
      <c r="M139">
        <v>0</v>
      </c>
      <c r="N139">
        <v>0</v>
      </c>
      <c r="O139">
        <v>0</v>
      </c>
      <c r="P139">
        <v>0</v>
      </c>
      <c r="Q139">
        <v>0</v>
      </c>
      <c r="R139">
        <v>0</v>
      </c>
      <c r="S139">
        <v>0.78278791209679377</v>
      </c>
      <c r="T139">
        <v>0</v>
      </c>
      <c r="U139">
        <v>0</v>
      </c>
      <c r="V139">
        <v>0</v>
      </c>
      <c r="W139">
        <v>0</v>
      </c>
      <c r="X139">
        <v>0</v>
      </c>
      <c r="Y139">
        <v>0</v>
      </c>
      <c r="Z139">
        <v>0</v>
      </c>
    </row>
    <row r="140" spans="7:26" x14ac:dyDescent="0.2">
      <c r="G140">
        <v>0</v>
      </c>
      <c r="H140">
        <v>0</v>
      </c>
      <c r="I140">
        <v>0</v>
      </c>
      <c r="J140">
        <v>0</v>
      </c>
      <c r="K140">
        <v>0</v>
      </c>
      <c r="L140">
        <v>0</v>
      </c>
      <c r="M140">
        <v>0</v>
      </c>
      <c r="N140">
        <v>0</v>
      </c>
      <c r="O140">
        <v>0</v>
      </c>
      <c r="P140">
        <v>0</v>
      </c>
      <c r="Q140">
        <v>0</v>
      </c>
      <c r="R140">
        <v>0</v>
      </c>
      <c r="S140">
        <v>0</v>
      </c>
      <c r="T140">
        <v>9.4559395045340444E-2</v>
      </c>
      <c r="U140">
        <v>0</v>
      </c>
      <c r="V140">
        <v>0</v>
      </c>
      <c r="W140">
        <v>0</v>
      </c>
      <c r="X140">
        <v>0</v>
      </c>
      <c r="Y140">
        <v>0</v>
      </c>
      <c r="Z140">
        <v>0</v>
      </c>
    </row>
    <row r="141" spans="7:26" x14ac:dyDescent="0.2">
      <c r="G141">
        <v>0</v>
      </c>
      <c r="H141">
        <v>0</v>
      </c>
      <c r="I141">
        <v>0</v>
      </c>
      <c r="J141">
        <v>0</v>
      </c>
      <c r="K141">
        <v>0</v>
      </c>
      <c r="L141">
        <v>0</v>
      </c>
      <c r="M141">
        <v>0</v>
      </c>
      <c r="N141">
        <v>0</v>
      </c>
      <c r="O141">
        <v>0</v>
      </c>
      <c r="P141">
        <v>0</v>
      </c>
      <c r="Q141">
        <v>0</v>
      </c>
      <c r="R141">
        <v>0</v>
      </c>
      <c r="S141">
        <v>0</v>
      </c>
      <c r="T141">
        <v>0</v>
      </c>
      <c r="U141">
        <v>0.29670970014617998</v>
      </c>
      <c r="V141">
        <v>0</v>
      </c>
      <c r="W141">
        <v>0</v>
      </c>
      <c r="X141">
        <v>0</v>
      </c>
      <c r="Y141">
        <v>0</v>
      </c>
      <c r="Z141">
        <v>0</v>
      </c>
    </row>
    <row r="142" spans="7:26" x14ac:dyDescent="0.2">
      <c r="G142">
        <v>0</v>
      </c>
      <c r="H142">
        <v>0</v>
      </c>
      <c r="I142">
        <v>0</v>
      </c>
      <c r="J142">
        <v>0</v>
      </c>
      <c r="K142">
        <v>0</v>
      </c>
      <c r="L142">
        <v>0</v>
      </c>
      <c r="M142">
        <v>0</v>
      </c>
      <c r="N142">
        <v>0</v>
      </c>
      <c r="O142">
        <v>0</v>
      </c>
      <c r="P142">
        <v>0</v>
      </c>
      <c r="Q142">
        <v>0</v>
      </c>
      <c r="R142">
        <v>0</v>
      </c>
      <c r="S142">
        <v>0</v>
      </c>
      <c r="T142">
        <v>0</v>
      </c>
      <c r="U142">
        <v>0</v>
      </c>
      <c r="V142">
        <v>1.422681268611071E-2</v>
      </c>
      <c r="W142">
        <v>0</v>
      </c>
      <c r="X142">
        <v>0</v>
      </c>
      <c r="Y142">
        <v>0</v>
      </c>
      <c r="Z142">
        <v>0</v>
      </c>
    </row>
    <row r="143" spans="7:26" x14ac:dyDescent="0.2">
      <c r="G143">
        <v>0</v>
      </c>
      <c r="H143">
        <v>0</v>
      </c>
      <c r="I143">
        <v>0</v>
      </c>
      <c r="J143">
        <v>0</v>
      </c>
      <c r="K143">
        <v>0</v>
      </c>
      <c r="L143">
        <v>0</v>
      </c>
      <c r="M143">
        <v>0</v>
      </c>
      <c r="N143">
        <v>0</v>
      </c>
      <c r="O143">
        <v>0</v>
      </c>
      <c r="P143">
        <v>0</v>
      </c>
      <c r="Q143">
        <v>0</v>
      </c>
      <c r="R143">
        <v>0</v>
      </c>
      <c r="S143">
        <v>0</v>
      </c>
      <c r="T143">
        <v>0</v>
      </c>
      <c r="U143">
        <v>0</v>
      </c>
      <c r="V143">
        <v>0</v>
      </c>
      <c r="W143">
        <v>0.13031247593814638</v>
      </c>
      <c r="X143">
        <v>0</v>
      </c>
      <c r="Y143">
        <v>0</v>
      </c>
      <c r="Z143">
        <v>0</v>
      </c>
    </row>
    <row r="144" spans="7:26" x14ac:dyDescent="0.2">
      <c r="G144">
        <v>0</v>
      </c>
      <c r="H144">
        <v>0</v>
      </c>
      <c r="I144">
        <v>0</v>
      </c>
      <c r="J144">
        <v>0</v>
      </c>
      <c r="K144">
        <v>0</v>
      </c>
      <c r="L144">
        <v>0</v>
      </c>
      <c r="M144">
        <v>0</v>
      </c>
      <c r="N144">
        <v>0</v>
      </c>
      <c r="O144">
        <v>0</v>
      </c>
      <c r="P144">
        <v>0</v>
      </c>
      <c r="Q144">
        <v>0</v>
      </c>
      <c r="R144">
        <v>0</v>
      </c>
      <c r="S144">
        <v>0</v>
      </c>
      <c r="T144">
        <v>0</v>
      </c>
      <c r="U144">
        <v>0</v>
      </c>
      <c r="V144">
        <v>0</v>
      </c>
      <c r="W144">
        <v>0</v>
      </c>
      <c r="X144">
        <v>4.7778530111387843E-2</v>
      </c>
      <c r="Y144">
        <v>0</v>
      </c>
      <c r="Z144">
        <v>0</v>
      </c>
    </row>
    <row r="145" spans="7:26" x14ac:dyDescent="0.2">
      <c r="G145">
        <v>0</v>
      </c>
      <c r="H145">
        <v>0</v>
      </c>
      <c r="I145">
        <v>0</v>
      </c>
      <c r="J145">
        <v>0</v>
      </c>
      <c r="K145">
        <v>0</v>
      </c>
      <c r="L145">
        <v>0</v>
      </c>
      <c r="M145">
        <v>0</v>
      </c>
      <c r="N145">
        <v>0</v>
      </c>
      <c r="O145">
        <v>0</v>
      </c>
      <c r="P145">
        <v>0</v>
      </c>
      <c r="Q145">
        <v>0</v>
      </c>
      <c r="R145">
        <v>0</v>
      </c>
      <c r="S145">
        <v>0</v>
      </c>
      <c r="T145">
        <v>0</v>
      </c>
      <c r="U145">
        <v>0</v>
      </c>
      <c r="V145">
        <v>0</v>
      </c>
      <c r="W145">
        <v>0</v>
      </c>
      <c r="X145">
        <v>0</v>
      </c>
      <c r="Y145">
        <v>0.26025765468443984</v>
      </c>
      <c r="Z145">
        <v>0</v>
      </c>
    </row>
    <row r="146" spans="7:26" x14ac:dyDescent="0.2">
      <c r="G146">
        <v>0</v>
      </c>
      <c r="H146">
        <v>0</v>
      </c>
      <c r="I146">
        <v>0</v>
      </c>
      <c r="J146">
        <v>0</v>
      </c>
      <c r="K146">
        <v>0</v>
      </c>
      <c r="L146">
        <v>0</v>
      </c>
      <c r="M146">
        <v>0</v>
      </c>
      <c r="N146">
        <v>0</v>
      </c>
      <c r="O146">
        <v>0</v>
      </c>
      <c r="P146">
        <v>0</v>
      </c>
      <c r="Q146">
        <v>0</v>
      </c>
      <c r="R146">
        <v>0</v>
      </c>
      <c r="S146">
        <v>0</v>
      </c>
      <c r="T146">
        <v>0</v>
      </c>
      <c r="U146">
        <v>0</v>
      </c>
      <c r="V146">
        <v>0</v>
      </c>
      <c r="W146">
        <v>0</v>
      </c>
      <c r="X146">
        <v>0</v>
      </c>
      <c r="Y146">
        <v>0</v>
      </c>
      <c r="Z146">
        <v>2.9219468113003751E-2</v>
      </c>
    </row>
  </sheetData>
  <mergeCells count="1">
    <mergeCell ref="A1:Y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A7ED0-848F-D146-A8EB-33A740D09119}">
  <dimension ref="A4:AL178"/>
  <sheetViews>
    <sheetView topLeftCell="A61" zoomScale="92" workbookViewId="0">
      <selection activeCell="U8" sqref="B8:U8"/>
    </sheetView>
  </sheetViews>
  <sheetFormatPr baseColWidth="10" defaultRowHeight="16" x14ac:dyDescent="0.2"/>
  <cols>
    <col min="1" max="1" width="34" bestFit="1" customWidth="1"/>
    <col min="22" max="22" width="21.5" customWidth="1"/>
    <col min="23" max="23" width="14.1640625" customWidth="1"/>
  </cols>
  <sheetData>
    <row r="4" spans="1:26" x14ac:dyDescent="0.2">
      <c r="F4" t="s">
        <v>73</v>
      </c>
    </row>
    <row r="5" spans="1:26" x14ac:dyDescent="0.2">
      <c r="Z5" t="s">
        <v>65</v>
      </c>
    </row>
    <row r="6" spans="1:26" ht="19" x14ac:dyDescent="0.2">
      <c r="A6" s="23" t="s">
        <v>97</v>
      </c>
      <c r="B6" s="23"/>
      <c r="C6" s="23"/>
      <c r="D6" s="23"/>
      <c r="E6" s="23"/>
      <c r="F6" s="23"/>
      <c r="G6" s="23"/>
      <c r="H6" s="23"/>
      <c r="I6" s="23"/>
      <c r="J6" s="23"/>
      <c r="K6" s="23"/>
      <c r="L6" s="23"/>
      <c r="M6" s="23"/>
      <c r="N6" s="23"/>
      <c r="O6" s="23"/>
      <c r="P6" s="23"/>
      <c r="Q6" s="23"/>
      <c r="R6" s="23"/>
      <c r="S6" s="23"/>
      <c r="T6" s="23"/>
      <c r="U6" s="23"/>
      <c r="V6" s="23"/>
      <c r="W6" s="23"/>
      <c r="X6" s="23"/>
    </row>
    <row r="7" spans="1:26" s="10" customFormat="1" ht="85" x14ac:dyDescent="0.2">
      <c r="A7" s="8" t="s">
        <v>74</v>
      </c>
      <c r="B7" s="13" t="s">
        <v>1</v>
      </c>
      <c r="C7" s="13" t="s">
        <v>2</v>
      </c>
      <c r="D7" s="13" t="s">
        <v>3</v>
      </c>
      <c r="E7" s="13" t="s">
        <v>4</v>
      </c>
      <c r="F7" s="13" t="s">
        <v>5</v>
      </c>
      <c r="G7" s="13" t="s">
        <v>6</v>
      </c>
      <c r="H7" s="13" t="s">
        <v>7</v>
      </c>
      <c r="I7" s="13" t="s">
        <v>8</v>
      </c>
      <c r="J7" s="13" t="s">
        <v>9</v>
      </c>
      <c r="K7" s="13" t="s">
        <v>10</v>
      </c>
      <c r="L7" s="13" t="s">
        <v>11</v>
      </c>
      <c r="M7" s="13" t="s">
        <v>12</v>
      </c>
      <c r="N7" s="13" t="s">
        <v>13</v>
      </c>
      <c r="O7" s="13" t="s">
        <v>14</v>
      </c>
      <c r="P7" s="13" t="s">
        <v>15</v>
      </c>
      <c r="Q7" s="13" t="s">
        <v>16</v>
      </c>
      <c r="R7" s="13" t="s">
        <v>17</v>
      </c>
      <c r="S7" s="13" t="s">
        <v>18</v>
      </c>
      <c r="T7" s="13" t="s">
        <v>19</v>
      </c>
      <c r="U7" s="13" t="s">
        <v>20</v>
      </c>
      <c r="V7" s="13" t="s">
        <v>21</v>
      </c>
      <c r="W7" s="13" t="s">
        <v>57</v>
      </c>
      <c r="X7" s="8" t="s">
        <v>49</v>
      </c>
    </row>
    <row r="8" spans="1:26" x14ac:dyDescent="0.2">
      <c r="A8" s="3" t="s">
        <v>1</v>
      </c>
      <c r="B8" s="3">
        <v>674.30219999999997</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4716.8773000000001</v>
      </c>
      <c r="W8" s="3">
        <v>8389.0831999999991</v>
      </c>
      <c r="X8" s="1">
        <v>13780.2628</v>
      </c>
    </row>
    <row r="9" spans="1:26" x14ac:dyDescent="0.2">
      <c r="A9" s="3" t="s">
        <v>2</v>
      </c>
      <c r="B9" s="3">
        <v>0</v>
      </c>
      <c r="C9" s="3">
        <v>457858.86099999998</v>
      </c>
      <c r="D9" s="3">
        <v>6.4428999999999998</v>
      </c>
      <c r="E9" s="3">
        <v>0</v>
      </c>
      <c r="F9" s="3">
        <v>856.12620000000004</v>
      </c>
      <c r="G9" s="3">
        <v>0</v>
      </c>
      <c r="H9" s="3">
        <v>738.42960000000005</v>
      </c>
      <c r="I9" s="3">
        <v>0</v>
      </c>
      <c r="J9" s="3">
        <v>0</v>
      </c>
      <c r="K9" s="3">
        <v>21.9863</v>
      </c>
      <c r="L9" s="3">
        <v>0</v>
      </c>
      <c r="M9" s="3">
        <v>0.1991</v>
      </c>
      <c r="N9" s="3">
        <v>0</v>
      </c>
      <c r="O9" s="3">
        <v>3293.8038999999999</v>
      </c>
      <c r="P9" s="3">
        <v>147.34790000000001</v>
      </c>
      <c r="Q9" s="3">
        <v>4.1288999999999998</v>
      </c>
      <c r="R9" s="3">
        <v>0.25850000000000001</v>
      </c>
      <c r="S9" s="3">
        <v>0</v>
      </c>
      <c r="T9" s="3">
        <v>0</v>
      </c>
      <c r="U9" s="3">
        <v>0</v>
      </c>
      <c r="V9" s="3">
        <v>666036.99560000002</v>
      </c>
      <c r="W9" s="3">
        <v>300014.42219999997</v>
      </c>
      <c r="X9" s="1">
        <v>1428979.0020000001</v>
      </c>
    </row>
    <row r="10" spans="1:26" x14ac:dyDescent="0.2">
      <c r="A10" s="3" t="s">
        <v>3</v>
      </c>
      <c r="B10" s="3">
        <v>0</v>
      </c>
      <c r="C10" s="3">
        <v>489.56880000000001</v>
      </c>
      <c r="D10" s="3">
        <v>23455.824799999999</v>
      </c>
      <c r="E10" s="3">
        <v>0</v>
      </c>
      <c r="F10" s="3">
        <v>0</v>
      </c>
      <c r="G10" s="3">
        <v>0</v>
      </c>
      <c r="H10" s="3">
        <v>0</v>
      </c>
      <c r="I10" s="3">
        <v>0</v>
      </c>
      <c r="J10" s="3">
        <v>0</v>
      </c>
      <c r="K10" s="3">
        <v>0</v>
      </c>
      <c r="L10" s="3">
        <v>0</v>
      </c>
      <c r="M10" s="3">
        <v>0</v>
      </c>
      <c r="N10" s="3">
        <v>0</v>
      </c>
      <c r="O10" s="3">
        <v>0</v>
      </c>
      <c r="P10" s="3">
        <v>0</v>
      </c>
      <c r="Q10" s="3">
        <v>230.4845</v>
      </c>
      <c r="R10" s="3">
        <v>0</v>
      </c>
      <c r="S10" s="3">
        <v>0</v>
      </c>
      <c r="T10" s="3">
        <v>0</v>
      </c>
      <c r="U10" s="3">
        <v>0</v>
      </c>
      <c r="V10" s="3">
        <v>10887.836499999999</v>
      </c>
      <c r="W10" s="3">
        <v>4004.7804000000001</v>
      </c>
      <c r="X10" s="1">
        <v>39068.495000000003</v>
      </c>
    </row>
    <row r="11" spans="1:26" x14ac:dyDescent="0.2">
      <c r="A11" s="3" t="s">
        <v>4</v>
      </c>
      <c r="B11" s="3">
        <v>0</v>
      </c>
      <c r="C11" s="3">
        <v>246.27680000000001</v>
      </c>
      <c r="D11" s="3">
        <v>33.706099999999999</v>
      </c>
      <c r="E11" s="3">
        <v>69866.753500000006</v>
      </c>
      <c r="F11" s="3">
        <v>72.208600000000004</v>
      </c>
      <c r="G11" s="3">
        <v>0</v>
      </c>
      <c r="H11" s="3">
        <v>3.3999999999999998E-3</v>
      </c>
      <c r="I11" s="3">
        <v>0</v>
      </c>
      <c r="J11" s="3">
        <v>0</v>
      </c>
      <c r="K11" s="3">
        <v>7.9268000000000001</v>
      </c>
      <c r="L11" s="3">
        <v>0</v>
      </c>
      <c r="M11" s="3">
        <v>0</v>
      </c>
      <c r="N11" s="3">
        <v>0</v>
      </c>
      <c r="O11" s="3">
        <v>2750.3438000000001</v>
      </c>
      <c r="P11" s="3">
        <v>27.5961</v>
      </c>
      <c r="Q11" s="3">
        <v>80.843699999999998</v>
      </c>
      <c r="R11" s="3">
        <v>0</v>
      </c>
      <c r="S11" s="3">
        <v>0</v>
      </c>
      <c r="T11" s="3">
        <v>2.3561999999999999</v>
      </c>
      <c r="U11" s="3">
        <v>1.722</v>
      </c>
      <c r="V11" s="3">
        <v>258.8777</v>
      </c>
      <c r="W11" s="3">
        <v>0</v>
      </c>
      <c r="X11" s="1">
        <v>73348.614700000006</v>
      </c>
    </row>
    <row r="12" spans="1:26" x14ac:dyDescent="0.2">
      <c r="A12" s="3" t="s">
        <v>5</v>
      </c>
      <c r="B12" s="3">
        <v>19.755099999999999</v>
      </c>
      <c r="C12" s="3">
        <v>10619.0069</v>
      </c>
      <c r="D12" s="3">
        <v>0.40989999999999999</v>
      </c>
      <c r="E12" s="3">
        <v>250.66669999999999</v>
      </c>
      <c r="F12" s="3">
        <v>277602.951</v>
      </c>
      <c r="G12" s="3">
        <v>567.47360000000003</v>
      </c>
      <c r="H12" s="3">
        <v>1186.6819</v>
      </c>
      <c r="I12" s="3">
        <v>4.1223999999999998</v>
      </c>
      <c r="J12" s="3">
        <v>42.736199999999997</v>
      </c>
      <c r="K12" s="3">
        <v>4027.3130000000001</v>
      </c>
      <c r="L12" s="3">
        <v>227.33090000000001</v>
      </c>
      <c r="M12" s="3">
        <v>7.5800000000000006E-2</v>
      </c>
      <c r="N12" s="3">
        <v>0</v>
      </c>
      <c r="O12" s="3">
        <v>778.75609999999995</v>
      </c>
      <c r="P12" s="3">
        <v>22.222000000000001</v>
      </c>
      <c r="Q12" s="3">
        <v>0</v>
      </c>
      <c r="R12" s="3">
        <v>29.610800000000001</v>
      </c>
      <c r="S12" s="3">
        <v>11.742100000000001</v>
      </c>
      <c r="T12" s="3">
        <v>37.412799999999997</v>
      </c>
      <c r="U12" s="3">
        <v>82.884299999999996</v>
      </c>
      <c r="V12" s="3">
        <v>4150.8056999999999</v>
      </c>
      <c r="W12" s="3">
        <v>-283451.62040000001</v>
      </c>
      <c r="X12" s="1">
        <v>16210.3369</v>
      </c>
      <c r="Z12" t="s">
        <v>96</v>
      </c>
    </row>
    <row r="13" spans="1:26" x14ac:dyDescent="0.2">
      <c r="A13" s="3" t="s">
        <v>6</v>
      </c>
      <c r="B13" s="3">
        <v>0</v>
      </c>
      <c r="C13" s="3">
        <v>0</v>
      </c>
      <c r="D13" s="3">
        <v>0</v>
      </c>
      <c r="E13" s="3">
        <v>0</v>
      </c>
      <c r="F13" s="3">
        <v>1058.0962999999999</v>
      </c>
      <c r="G13" s="3">
        <v>15194.4375</v>
      </c>
      <c r="H13" s="3">
        <v>34.421900000000001</v>
      </c>
      <c r="I13" s="3">
        <v>20.292899999999999</v>
      </c>
      <c r="J13" s="3">
        <v>79.088700000000003</v>
      </c>
      <c r="K13" s="3">
        <v>141.0412</v>
      </c>
      <c r="L13" s="3">
        <v>8.2849000000000004</v>
      </c>
      <c r="M13" s="3">
        <v>123.5159</v>
      </c>
      <c r="N13" s="3">
        <v>0</v>
      </c>
      <c r="O13" s="3">
        <v>69.88</v>
      </c>
      <c r="P13" s="3">
        <v>398.39440000000002</v>
      </c>
      <c r="Q13" s="3">
        <v>73.006900000000002</v>
      </c>
      <c r="R13" s="3">
        <v>0.14369999999999999</v>
      </c>
      <c r="S13" s="3">
        <v>0.99070000000000003</v>
      </c>
      <c r="T13" s="3">
        <v>0.68430000000000002</v>
      </c>
      <c r="U13" s="3">
        <v>7.2195</v>
      </c>
      <c r="V13" s="3">
        <v>0</v>
      </c>
      <c r="W13" s="3">
        <v>-16245.4663</v>
      </c>
      <c r="X13" s="1">
        <v>964.03269999999998</v>
      </c>
    </row>
    <row r="14" spans="1:26" x14ac:dyDescent="0.2">
      <c r="A14" s="3" t="s">
        <v>7</v>
      </c>
      <c r="B14" s="3">
        <v>0</v>
      </c>
      <c r="C14" s="3">
        <v>313.34230000000002</v>
      </c>
      <c r="D14" s="3">
        <v>44.896500000000003</v>
      </c>
      <c r="E14" s="3">
        <v>75.816199999999995</v>
      </c>
      <c r="F14" s="3">
        <v>12204.891900000001</v>
      </c>
      <c r="G14" s="3">
        <v>26.3675</v>
      </c>
      <c r="H14" s="3">
        <v>312170.69569999998</v>
      </c>
      <c r="I14" s="3">
        <v>22.47</v>
      </c>
      <c r="J14" s="3">
        <v>1.3115000000000001</v>
      </c>
      <c r="K14" s="3">
        <v>145.87520000000001</v>
      </c>
      <c r="L14" s="3">
        <v>3.0137</v>
      </c>
      <c r="M14" s="3">
        <v>540.40980000000002</v>
      </c>
      <c r="N14" s="3">
        <v>0</v>
      </c>
      <c r="O14" s="3">
        <v>36.2438</v>
      </c>
      <c r="P14" s="3">
        <v>195.70330000000001</v>
      </c>
      <c r="Q14" s="3">
        <v>844.94060000000002</v>
      </c>
      <c r="R14" s="3">
        <v>5.5673000000000004</v>
      </c>
      <c r="S14" s="3">
        <v>7.7359999999999998</v>
      </c>
      <c r="T14" s="3">
        <v>21.873200000000001</v>
      </c>
      <c r="U14" s="3">
        <v>11.1335</v>
      </c>
      <c r="V14" s="3">
        <v>152860.90789999999</v>
      </c>
      <c r="W14" s="3">
        <v>1468.6797999999999</v>
      </c>
      <c r="X14" s="1">
        <v>481001.87579999998</v>
      </c>
    </row>
    <row r="15" spans="1:26" x14ac:dyDescent="0.2">
      <c r="A15" s="3" t="s">
        <v>8</v>
      </c>
      <c r="B15" s="3">
        <v>0</v>
      </c>
      <c r="C15" s="3">
        <v>0</v>
      </c>
      <c r="D15" s="3">
        <v>0</v>
      </c>
      <c r="E15" s="3">
        <v>0</v>
      </c>
      <c r="F15" s="3">
        <v>0</v>
      </c>
      <c r="G15" s="3">
        <v>0</v>
      </c>
      <c r="H15" s="3">
        <v>0</v>
      </c>
      <c r="I15" s="3">
        <v>4326.5306</v>
      </c>
      <c r="J15" s="3">
        <v>0</v>
      </c>
      <c r="K15" s="3">
        <v>0</v>
      </c>
      <c r="L15" s="3">
        <v>0</v>
      </c>
      <c r="M15" s="3">
        <v>209.43180000000001</v>
      </c>
      <c r="N15" s="3">
        <v>0</v>
      </c>
      <c r="O15" s="3">
        <v>0</v>
      </c>
      <c r="P15" s="3">
        <v>2.0000000000000001E-4</v>
      </c>
      <c r="Q15" s="3">
        <v>0</v>
      </c>
      <c r="R15" s="3">
        <v>0</v>
      </c>
      <c r="S15" s="3">
        <v>0</v>
      </c>
      <c r="T15" s="3">
        <v>1.3906000000000001</v>
      </c>
      <c r="U15" s="3">
        <v>0</v>
      </c>
      <c r="V15" s="3">
        <v>6907.3042999999998</v>
      </c>
      <c r="W15" s="3">
        <v>296.00799999999998</v>
      </c>
      <c r="X15" s="1">
        <v>11740.665300000001</v>
      </c>
    </row>
    <row r="16" spans="1:26" x14ac:dyDescent="0.2">
      <c r="A16" s="3" t="s">
        <v>9</v>
      </c>
      <c r="B16" s="3">
        <v>0</v>
      </c>
      <c r="C16" s="3">
        <v>0</v>
      </c>
      <c r="D16" s="3">
        <v>0</v>
      </c>
      <c r="E16" s="3">
        <v>0</v>
      </c>
      <c r="F16" s="3">
        <v>65.3279</v>
      </c>
      <c r="G16" s="3">
        <v>9.4038000000000004</v>
      </c>
      <c r="H16" s="3">
        <v>16.428000000000001</v>
      </c>
      <c r="I16" s="3">
        <v>1854.1054999999999</v>
      </c>
      <c r="J16" s="3">
        <v>14336.384899999999</v>
      </c>
      <c r="K16" s="3">
        <v>14.2348</v>
      </c>
      <c r="L16" s="3">
        <v>0</v>
      </c>
      <c r="M16" s="3">
        <v>159.9067</v>
      </c>
      <c r="N16" s="3">
        <v>0</v>
      </c>
      <c r="O16" s="3">
        <v>0.7036</v>
      </c>
      <c r="P16" s="3">
        <v>6.3475000000000001</v>
      </c>
      <c r="Q16" s="3">
        <v>0</v>
      </c>
      <c r="R16" s="3">
        <v>0.6038</v>
      </c>
      <c r="S16" s="3">
        <v>1.7653000000000001</v>
      </c>
      <c r="T16" s="3">
        <v>232.00970000000001</v>
      </c>
      <c r="U16" s="3">
        <v>7.0753000000000004</v>
      </c>
      <c r="V16" s="3">
        <v>4675.1660000000002</v>
      </c>
      <c r="W16" s="3">
        <v>1052.4367999999999</v>
      </c>
      <c r="X16" s="1">
        <v>22431.8995</v>
      </c>
    </row>
    <row r="17" spans="1:24" x14ac:dyDescent="0.2">
      <c r="A17" s="3" t="s">
        <v>10</v>
      </c>
      <c r="B17" s="3">
        <v>0</v>
      </c>
      <c r="C17" s="3">
        <v>657.1961</v>
      </c>
      <c r="D17" s="3">
        <v>29.166399999999999</v>
      </c>
      <c r="E17" s="3">
        <v>23.265899999999998</v>
      </c>
      <c r="F17" s="3">
        <v>16685.9787</v>
      </c>
      <c r="G17" s="3">
        <v>129.13669999999999</v>
      </c>
      <c r="H17" s="3">
        <v>219.17250000000001</v>
      </c>
      <c r="I17" s="3">
        <v>4.5258000000000003</v>
      </c>
      <c r="J17" s="3">
        <v>6.3670999999999998</v>
      </c>
      <c r="K17" s="3">
        <v>157716.88829999999</v>
      </c>
      <c r="L17" s="3">
        <v>1939.3444999999999</v>
      </c>
      <c r="M17" s="3">
        <v>4.9812000000000003</v>
      </c>
      <c r="N17" s="3">
        <v>0</v>
      </c>
      <c r="O17" s="3">
        <v>1359.3189</v>
      </c>
      <c r="P17" s="3">
        <v>92.015100000000004</v>
      </c>
      <c r="Q17" s="3">
        <v>947.25139999999999</v>
      </c>
      <c r="R17" s="3">
        <v>149.76689999999999</v>
      </c>
      <c r="S17" s="3">
        <v>52.686900000000001</v>
      </c>
      <c r="T17" s="3">
        <v>3.2195</v>
      </c>
      <c r="U17" s="3">
        <v>14.303100000000001</v>
      </c>
      <c r="V17" s="3">
        <v>60770.049500000001</v>
      </c>
      <c r="W17" s="3">
        <v>881.16179999999997</v>
      </c>
      <c r="X17" s="1">
        <v>241685.7965</v>
      </c>
    </row>
    <row r="18" spans="1:24" x14ac:dyDescent="0.2">
      <c r="A18" s="3" t="s">
        <v>11</v>
      </c>
      <c r="B18" s="3">
        <v>0</v>
      </c>
      <c r="C18" s="3">
        <v>55.698</v>
      </c>
      <c r="D18" s="3">
        <v>0</v>
      </c>
      <c r="E18" s="3">
        <v>0</v>
      </c>
      <c r="F18" s="3">
        <v>286.75560000000002</v>
      </c>
      <c r="G18" s="3">
        <v>2.7323</v>
      </c>
      <c r="H18" s="3">
        <v>0.32190000000000002</v>
      </c>
      <c r="I18" s="3">
        <v>1E-4</v>
      </c>
      <c r="J18" s="3">
        <v>0</v>
      </c>
      <c r="K18" s="3">
        <v>50.090800000000002</v>
      </c>
      <c r="L18" s="3">
        <v>157620.5074</v>
      </c>
      <c r="M18" s="3">
        <v>2.2000000000000001E-3</v>
      </c>
      <c r="N18" s="3">
        <v>0</v>
      </c>
      <c r="O18" s="3">
        <v>108.9843</v>
      </c>
      <c r="P18" s="3">
        <v>81.879300000000001</v>
      </c>
      <c r="Q18" s="3">
        <v>0</v>
      </c>
      <c r="R18" s="3">
        <v>0</v>
      </c>
      <c r="S18" s="3">
        <v>0</v>
      </c>
      <c r="T18" s="3">
        <v>6.9999999999999999E-4</v>
      </c>
      <c r="U18" s="3">
        <v>0.26650000000000001</v>
      </c>
      <c r="V18" s="3">
        <v>31808.4686</v>
      </c>
      <c r="W18" s="3">
        <v>1150.4643000000001</v>
      </c>
      <c r="X18" s="1">
        <v>191166.1722</v>
      </c>
    </row>
    <row r="19" spans="1:24" x14ac:dyDescent="0.2">
      <c r="A19" s="3" t="s">
        <v>12</v>
      </c>
      <c r="B19" s="3">
        <v>2.2086000000000001</v>
      </c>
      <c r="C19" s="3">
        <v>296.43520000000001</v>
      </c>
      <c r="D19" s="3">
        <v>33.636299999999999</v>
      </c>
      <c r="E19" s="3">
        <v>181.72329999999999</v>
      </c>
      <c r="F19" s="3">
        <v>498.71969999999999</v>
      </c>
      <c r="G19" s="3">
        <v>241.3897</v>
      </c>
      <c r="H19" s="3">
        <v>932.00609999999995</v>
      </c>
      <c r="I19" s="3">
        <v>189.37540000000001</v>
      </c>
      <c r="J19" s="3">
        <v>214.90710000000001</v>
      </c>
      <c r="K19" s="3">
        <v>344.30259999999998</v>
      </c>
      <c r="L19" s="3">
        <v>2298.1925000000001</v>
      </c>
      <c r="M19" s="3">
        <v>35618.881699999998</v>
      </c>
      <c r="N19" s="3">
        <v>0</v>
      </c>
      <c r="O19" s="3">
        <v>145.85480000000001</v>
      </c>
      <c r="P19" s="3">
        <v>74.057400000000001</v>
      </c>
      <c r="Q19" s="3">
        <v>1239.0632000000001</v>
      </c>
      <c r="R19" s="3">
        <v>161.48089999999999</v>
      </c>
      <c r="S19" s="3">
        <v>220.49299999999999</v>
      </c>
      <c r="T19" s="3">
        <v>265.17509999999999</v>
      </c>
      <c r="U19" s="3">
        <v>176.6266</v>
      </c>
      <c r="V19" s="3">
        <v>72.072400000000002</v>
      </c>
      <c r="W19" s="3">
        <v>7854.8402999999998</v>
      </c>
      <c r="X19" s="1">
        <v>51061.441800000001</v>
      </c>
    </row>
    <row r="20" spans="1:24" x14ac:dyDescent="0.2">
      <c r="A20" s="3" t="s">
        <v>13</v>
      </c>
      <c r="B20" s="3">
        <v>0</v>
      </c>
      <c r="C20" s="3">
        <v>0</v>
      </c>
      <c r="D20" s="3">
        <v>0</v>
      </c>
      <c r="E20" s="3">
        <v>0</v>
      </c>
      <c r="F20" s="3">
        <v>0</v>
      </c>
      <c r="G20" s="3">
        <v>0</v>
      </c>
      <c r="H20" s="3">
        <v>0</v>
      </c>
      <c r="I20" s="3">
        <v>0</v>
      </c>
      <c r="J20" s="3">
        <v>0</v>
      </c>
      <c r="K20" s="3">
        <v>0</v>
      </c>
      <c r="L20" s="3">
        <v>0</v>
      </c>
      <c r="M20" s="3">
        <v>0</v>
      </c>
      <c r="N20" s="3">
        <v>24745.4</v>
      </c>
      <c r="O20" s="3">
        <v>0</v>
      </c>
      <c r="P20" s="3">
        <v>0</v>
      </c>
      <c r="Q20" s="3">
        <v>0</v>
      </c>
      <c r="R20" s="3">
        <v>0</v>
      </c>
      <c r="S20" s="3">
        <v>0</v>
      </c>
      <c r="T20" s="3">
        <v>0</v>
      </c>
      <c r="U20" s="3">
        <v>0</v>
      </c>
      <c r="V20" s="3">
        <v>653.39149999999995</v>
      </c>
      <c r="W20" s="3">
        <v>0</v>
      </c>
      <c r="X20" s="1">
        <v>25398.791499999999</v>
      </c>
    </row>
    <row r="21" spans="1:24" x14ac:dyDescent="0.2">
      <c r="A21" s="3" t="s">
        <v>14</v>
      </c>
      <c r="B21" s="3">
        <v>33.186399999999999</v>
      </c>
      <c r="C21" s="3">
        <v>4059.9173999999998</v>
      </c>
      <c r="D21" s="3">
        <v>251.1609</v>
      </c>
      <c r="E21" s="3">
        <v>150.08349999999999</v>
      </c>
      <c r="F21" s="3">
        <v>4166.3449000000001</v>
      </c>
      <c r="G21" s="3">
        <v>335.43150000000003</v>
      </c>
      <c r="H21" s="3">
        <v>523.94669999999996</v>
      </c>
      <c r="I21" s="3">
        <v>6.3011999999999997</v>
      </c>
      <c r="J21" s="3">
        <v>15.2882</v>
      </c>
      <c r="K21" s="3">
        <v>15407.920700000001</v>
      </c>
      <c r="L21" s="3">
        <v>5350.4839000000002</v>
      </c>
      <c r="M21" s="3">
        <v>1991.1886</v>
      </c>
      <c r="N21" s="3">
        <v>0</v>
      </c>
      <c r="O21" s="3">
        <v>68243.189400000003</v>
      </c>
      <c r="P21" s="3">
        <v>1160.4701</v>
      </c>
      <c r="Q21" s="3">
        <v>96.166899999999998</v>
      </c>
      <c r="R21" s="3">
        <v>1602.0965000000001</v>
      </c>
      <c r="S21" s="3">
        <v>343.42750000000001</v>
      </c>
      <c r="T21" s="3">
        <v>69.877200000000002</v>
      </c>
      <c r="U21" s="3">
        <v>46.611400000000003</v>
      </c>
      <c r="V21" s="3">
        <v>66818.360199999996</v>
      </c>
      <c r="W21" s="3">
        <v>69.574100000000001</v>
      </c>
      <c r="X21" s="1">
        <v>170741.0275</v>
      </c>
    </row>
    <row r="22" spans="1:24" x14ac:dyDescent="0.2">
      <c r="A22" s="3" t="s">
        <v>15</v>
      </c>
      <c r="B22" s="3">
        <v>12.5463</v>
      </c>
      <c r="C22" s="3">
        <v>1897.0784000000001</v>
      </c>
      <c r="D22" s="3">
        <v>21.857299999999999</v>
      </c>
      <c r="E22" s="3">
        <v>536.74099999999999</v>
      </c>
      <c r="F22" s="3">
        <v>1964.7645</v>
      </c>
      <c r="G22" s="3">
        <v>40.605200000000004</v>
      </c>
      <c r="H22" s="3">
        <v>4244.8496999999998</v>
      </c>
      <c r="I22" s="3">
        <v>3.7605</v>
      </c>
      <c r="J22" s="3">
        <v>108.5031</v>
      </c>
      <c r="K22" s="3">
        <v>4391.5145000000002</v>
      </c>
      <c r="L22" s="3">
        <v>2067.3083000000001</v>
      </c>
      <c r="M22" s="3">
        <v>304.34589999999997</v>
      </c>
      <c r="N22" s="3">
        <v>0</v>
      </c>
      <c r="O22" s="3">
        <v>994.80679999999995</v>
      </c>
      <c r="P22" s="3">
        <v>27921.696</v>
      </c>
      <c r="Q22" s="3">
        <v>103.2839</v>
      </c>
      <c r="R22" s="3">
        <v>25.447399999999998</v>
      </c>
      <c r="S22" s="3">
        <v>36.491999999999997</v>
      </c>
      <c r="T22" s="3">
        <v>32.445500000000003</v>
      </c>
      <c r="U22" s="3">
        <v>163.37719999999999</v>
      </c>
      <c r="V22" s="3">
        <v>30948.482</v>
      </c>
      <c r="W22" s="3">
        <v>717.42930000000001</v>
      </c>
      <c r="X22" s="1">
        <v>76537.334900000002</v>
      </c>
    </row>
    <row r="23" spans="1:24" x14ac:dyDescent="0.2">
      <c r="A23" s="3" t="s">
        <v>16</v>
      </c>
      <c r="B23" s="3">
        <v>0</v>
      </c>
      <c r="C23" s="3">
        <v>0</v>
      </c>
      <c r="D23" s="3">
        <v>0</v>
      </c>
      <c r="E23" s="3">
        <v>0</v>
      </c>
      <c r="F23" s="3">
        <v>0</v>
      </c>
      <c r="G23" s="3">
        <v>0</v>
      </c>
      <c r="H23" s="3">
        <v>0</v>
      </c>
      <c r="I23" s="3">
        <v>0</v>
      </c>
      <c r="J23" s="3">
        <v>0</v>
      </c>
      <c r="K23" s="3">
        <v>0</v>
      </c>
      <c r="L23" s="3">
        <v>0</v>
      </c>
      <c r="M23" s="3">
        <v>0</v>
      </c>
      <c r="N23" s="3">
        <v>0</v>
      </c>
      <c r="O23" s="3">
        <v>0</v>
      </c>
      <c r="P23" s="3">
        <v>0</v>
      </c>
      <c r="Q23" s="3">
        <v>43293.004500000003</v>
      </c>
      <c r="R23" s="3">
        <v>0</v>
      </c>
      <c r="S23" s="3">
        <v>0</v>
      </c>
      <c r="T23" s="3">
        <v>0</v>
      </c>
      <c r="U23" s="3">
        <v>0</v>
      </c>
      <c r="V23" s="3">
        <v>0.7379</v>
      </c>
      <c r="W23" s="3">
        <v>27.488299999999999</v>
      </c>
      <c r="X23" s="1">
        <v>43321.2307</v>
      </c>
    </row>
    <row r="24" spans="1:24" x14ac:dyDescent="0.2">
      <c r="A24" s="3" t="s">
        <v>17</v>
      </c>
      <c r="B24" s="3">
        <v>0</v>
      </c>
      <c r="C24" s="3">
        <v>44.935499999999998</v>
      </c>
      <c r="D24" s="3">
        <v>0</v>
      </c>
      <c r="E24" s="3">
        <v>0</v>
      </c>
      <c r="F24" s="3">
        <v>0</v>
      </c>
      <c r="G24" s="3">
        <v>0</v>
      </c>
      <c r="H24" s="3">
        <v>31.531400000000001</v>
      </c>
      <c r="I24" s="3">
        <v>0</v>
      </c>
      <c r="J24" s="3">
        <v>0</v>
      </c>
      <c r="K24" s="3">
        <v>4.0297999999999998</v>
      </c>
      <c r="L24" s="3">
        <v>0</v>
      </c>
      <c r="M24" s="3">
        <v>0.32979999999999998</v>
      </c>
      <c r="N24" s="3">
        <v>0</v>
      </c>
      <c r="O24" s="3">
        <v>38.752200000000002</v>
      </c>
      <c r="P24" s="3">
        <v>7.9836999999999998</v>
      </c>
      <c r="Q24" s="3">
        <v>291.66480000000001</v>
      </c>
      <c r="R24" s="3">
        <v>19911.537100000001</v>
      </c>
      <c r="S24" s="3">
        <v>66.014899999999997</v>
      </c>
      <c r="T24" s="3">
        <v>40.780299999999997</v>
      </c>
      <c r="U24" s="3">
        <v>81.801000000000002</v>
      </c>
      <c r="V24" s="3">
        <v>3183.8872999999999</v>
      </c>
      <c r="W24" s="3">
        <v>600.63689999999997</v>
      </c>
      <c r="X24" s="1">
        <v>24303.884699999999</v>
      </c>
    </row>
    <row r="25" spans="1:24" x14ac:dyDescent="0.2">
      <c r="A25" s="3" t="s">
        <v>18</v>
      </c>
      <c r="B25" s="3">
        <v>0</v>
      </c>
      <c r="C25" s="3">
        <v>0</v>
      </c>
      <c r="D25" s="3">
        <v>0</v>
      </c>
      <c r="E25" s="3">
        <v>0</v>
      </c>
      <c r="F25" s="3">
        <v>0.79020000000000001</v>
      </c>
      <c r="G25" s="3">
        <v>0</v>
      </c>
      <c r="H25" s="3">
        <v>0.1021</v>
      </c>
      <c r="I25" s="3">
        <v>2.0552000000000001</v>
      </c>
      <c r="J25" s="3">
        <v>0</v>
      </c>
      <c r="K25" s="3">
        <v>0</v>
      </c>
      <c r="L25" s="3">
        <v>0</v>
      </c>
      <c r="M25" s="3">
        <v>0</v>
      </c>
      <c r="N25" s="3">
        <v>0</v>
      </c>
      <c r="O25" s="3">
        <v>8.7965</v>
      </c>
      <c r="P25" s="3">
        <v>0</v>
      </c>
      <c r="Q25" s="3">
        <v>85.150499999999994</v>
      </c>
      <c r="R25" s="3">
        <v>7.2655000000000003</v>
      </c>
      <c r="S25" s="3">
        <v>27645.397300000001</v>
      </c>
      <c r="T25" s="3">
        <v>3.7061999999999999</v>
      </c>
      <c r="U25" s="3">
        <v>38.222999999999999</v>
      </c>
      <c r="V25" s="3">
        <v>677.67920000000004</v>
      </c>
      <c r="W25" s="3">
        <v>1133.7372</v>
      </c>
      <c r="X25" s="1">
        <v>29602.902999999998</v>
      </c>
    </row>
    <row r="26" spans="1:24" x14ac:dyDescent="0.2">
      <c r="A26" s="3" t="s">
        <v>19</v>
      </c>
      <c r="B26" s="3">
        <v>0</v>
      </c>
      <c r="C26" s="3">
        <v>0</v>
      </c>
      <c r="D26" s="3">
        <v>0</v>
      </c>
      <c r="E26" s="3">
        <v>0</v>
      </c>
      <c r="F26" s="3">
        <v>25.0015</v>
      </c>
      <c r="G26" s="3">
        <v>0</v>
      </c>
      <c r="H26" s="3">
        <v>0.58520000000000005</v>
      </c>
      <c r="I26" s="3">
        <v>74.0608</v>
      </c>
      <c r="J26" s="3">
        <v>0.48039999999999999</v>
      </c>
      <c r="K26" s="3">
        <v>344.66430000000003</v>
      </c>
      <c r="L26" s="3">
        <v>171.57550000000001</v>
      </c>
      <c r="M26" s="3">
        <v>3.2808999999999999</v>
      </c>
      <c r="N26" s="3">
        <v>0</v>
      </c>
      <c r="O26" s="3">
        <v>1.6646000000000001</v>
      </c>
      <c r="P26" s="3">
        <v>4.6993999999999998</v>
      </c>
      <c r="Q26" s="3">
        <v>0</v>
      </c>
      <c r="R26" s="3">
        <v>8.1145999999999994</v>
      </c>
      <c r="S26" s="3">
        <v>2.4512</v>
      </c>
      <c r="T26" s="3">
        <v>7918.6040000000003</v>
      </c>
      <c r="U26" s="3">
        <v>16.930399999999999</v>
      </c>
      <c r="V26" s="3">
        <v>403.45119999999997</v>
      </c>
      <c r="W26" s="3">
        <v>3350.0084000000002</v>
      </c>
      <c r="X26" s="1">
        <v>12325.572399999999</v>
      </c>
    </row>
    <row r="27" spans="1:24" x14ac:dyDescent="0.2">
      <c r="A27" s="3" t="s">
        <v>20</v>
      </c>
      <c r="B27" s="3">
        <v>0</v>
      </c>
      <c r="C27" s="3">
        <v>79.493700000000004</v>
      </c>
      <c r="D27" s="3">
        <v>0</v>
      </c>
      <c r="E27" s="3">
        <v>0</v>
      </c>
      <c r="F27" s="3">
        <v>539.40200000000004</v>
      </c>
      <c r="G27" s="3">
        <v>251.35419999999999</v>
      </c>
      <c r="H27" s="3">
        <v>45.608499999999999</v>
      </c>
      <c r="I27" s="3">
        <v>29.816700000000001</v>
      </c>
      <c r="J27" s="3">
        <v>5.1420000000000003</v>
      </c>
      <c r="K27" s="3">
        <v>58.017200000000003</v>
      </c>
      <c r="L27" s="3">
        <v>10.5961</v>
      </c>
      <c r="M27" s="3">
        <v>0.15989999999999999</v>
      </c>
      <c r="N27" s="3">
        <v>0</v>
      </c>
      <c r="O27" s="3">
        <v>29.8108</v>
      </c>
      <c r="P27" s="3">
        <v>81.653700000000001</v>
      </c>
      <c r="Q27" s="3">
        <v>0</v>
      </c>
      <c r="R27" s="3">
        <v>27.267499999999998</v>
      </c>
      <c r="S27" s="3">
        <v>16.936399999999999</v>
      </c>
      <c r="T27" s="3">
        <v>1.4507000000000001</v>
      </c>
      <c r="U27" s="3">
        <v>9511.0254999999997</v>
      </c>
      <c r="V27" s="3">
        <v>310.07749999999999</v>
      </c>
      <c r="W27" s="3">
        <v>491.03570000000002</v>
      </c>
      <c r="X27" s="1">
        <v>11488.8483</v>
      </c>
    </row>
    <row r="28" spans="1:24" x14ac:dyDescent="0.2">
      <c r="A28" s="3" t="s">
        <v>49</v>
      </c>
      <c r="B28" s="3">
        <v>741.99860000000001</v>
      </c>
      <c r="C28" s="3">
        <v>476617.81009999994</v>
      </c>
      <c r="D28" s="3">
        <v>23877.101099999989</v>
      </c>
      <c r="E28" s="3">
        <v>71085.050099999993</v>
      </c>
      <c r="F28" s="3">
        <v>316027.35899999994</v>
      </c>
      <c r="G28" s="3">
        <v>16798.332000000002</v>
      </c>
      <c r="H28" s="3">
        <v>320144.7845999999</v>
      </c>
      <c r="I28" s="3">
        <v>6537.4171000000006</v>
      </c>
      <c r="J28" s="3">
        <v>14810.209199999999</v>
      </c>
      <c r="K28" s="3">
        <v>182675.80549999996</v>
      </c>
      <c r="L28" s="3">
        <v>169696.63769999999</v>
      </c>
      <c r="M28" s="3">
        <v>38956.709299999995</v>
      </c>
      <c r="N28" s="3">
        <v>24745.4</v>
      </c>
      <c r="O28" s="3">
        <v>77860.909500000023</v>
      </c>
      <c r="P28" s="3">
        <v>30222.0661</v>
      </c>
      <c r="Q28" s="3">
        <v>47288.989800000003</v>
      </c>
      <c r="R28" s="3">
        <v>21929.160500000005</v>
      </c>
      <c r="S28" s="3">
        <v>28406.133299999998</v>
      </c>
      <c r="T28" s="3">
        <v>8630.985999999999</v>
      </c>
      <c r="U28" s="3">
        <v>10159.1993</v>
      </c>
      <c r="V28" s="3">
        <f>SUM(V8:V27)</f>
        <v>1046141.4282999998</v>
      </c>
      <c r="W28" s="3">
        <f t="shared" ref="W28:X28" si="0">SUM(W8:W27)</f>
        <v>31804.699999999943</v>
      </c>
      <c r="X28" s="3">
        <f t="shared" si="0"/>
        <v>2965158.1882000002</v>
      </c>
    </row>
    <row r="35" spans="1:27" x14ac:dyDescent="0.2">
      <c r="F35" t="s">
        <v>69</v>
      </c>
    </row>
    <row r="37" spans="1:27" ht="19" x14ac:dyDescent="0.2">
      <c r="A37" s="23" t="s">
        <v>56</v>
      </c>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spans="1:27" ht="101" customHeight="1" x14ac:dyDescent="0.2">
      <c r="A38" s="8" t="s">
        <v>75</v>
      </c>
      <c r="B38" s="8" t="s">
        <v>1</v>
      </c>
      <c r="C38" s="8" t="s">
        <v>2</v>
      </c>
      <c r="D38" s="8" t="s">
        <v>3</v>
      </c>
      <c r="E38" s="8" t="s">
        <v>4</v>
      </c>
      <c r="F38" s="8" t="s">
        <v>5</v>
      </c>
      <c r="G38" s="8" t="s">
        <v>6</v>
      </c>
      <c r="H38" s="8" t="s">
        <v>7</v>
      </c>
      <c r="I38" s="8" t="s">
        <v>8</v>
      </c>
      <c r="J38" s="8" t="s">
        <v>9</v>
      </c>
      <c r="K38" s="8" t="s">
        <v>10</v>
      </c>
      <c r="L38" s="8" t="s">
        <v>11</v>
      </c>
      <c r="M38" s="8" t="s">
        <v>12</v>
      </c>
      <c r="N38" s="8" t="s">
        <v>13</v>
      </c>
      <c r="O38" s="8" t="s">
        <v>14</v>
      </c>
      <c r="P38" s="8" t="s">
        <v>15</v>
      </c>
      <c r="Q38" s="8" t="s">
        <v>16</v>
      </c>
      <c r="R38" s="8" t="s">
        <v>17</v>
      </c>
      <c r="S38" s="8" t="s">
        <v>18</v>
      </c>
      <c r="T38" s="8" t="s">
        <v>19</v>
      </c>
      <c r="U38" s="8" t="s">
        <v>20</v>
      </c>
      <c r="V38" s="8" t="s">
        <v>40</v>
      </c>
      <c r="W38" s="8" t="s">
        <v>41</v>
      </c>
      <c r="X38" s="8" t="s">
        <v>42</v>
      </c>
      <c r="Y38" s="8" t="s">
        <v>43</v>
      </c>
      <c r="Z38" s="8" t="s">
        <v>44</v>
      </c>
      <c r="AA38" s="8" t="s">
        <v>49</v>
      </c>
    </row>
    <row r="39" spans="1:27" x14ac:dyDescent="0.2">
      <c r="A39" s="3" t="s">
        <v>1</v>
      </c>
      <c r="B39" s="3">
        <v>366.44439999999997</v>
      </c>
      <c r="C39" s="3">
        <v>761.03160000000003</v>
      </c>
      <c r="D39" s="3">
        <v>36.177500000000002</v>
      </c>
      <c r="E39" s="3">
        <v>63.8748</v>
      </c>
      <c r="F39" s="3">
        <v>0.36470000000000002</v>
      </c>
      <c r="G39" s="3">
        <v>0.42970000000000003</v>
      </c>
      <c r="H39" s="3">
        <v>29.838200000000001</v>
      </c>
      <c r="I39" s="3">
        <v>148.63929999999999</v>
      </c>
      <c r="J39" s="3">
        <v>1090.2230999999999</v>
      </c>
      <c r="K39" s="3">
        <v>4.7220000000000004</v>
      </c>
      <c r="L39" s="3">
        <v>9.8309999999999995</v>
      </c>
      <c r="M39" s="3">
        <v>0</v>
      </c>
      <c r="N39" s="3">
        <v>0</v>
      </c>
      <c r="O39" s="3">
        <v>3.4872000000000001</v>
      </c>
      <c r="P39" s="3">
        <v>68.692499999999995</v>
      </c>
      <c r="Q39" s="3">
        <v>7.4926000000000004</v>
      </c>
      <c r="R39" s="3">
        <v>2.4647000000000001</v>
      </c>
      <c r="S39" s="3">
        <v>13.3439</v>
      </c>
      <c r="T39" s="3">
        <v>11.6267</v>
      </c>
      <c r="U39" s="3">
        <v>24.5579</v>
      </c>
      <c r="V39" s="3">
        <v>3778.0052999999998</v>
      </c>
      <c r="W39" s="3">
        <v>0</v>
      </c>
      <c r="X39" s="3">
        <v>106.0647</v>
      </c>
      <c r="Y39" s="3">
        <v>611.27179999999998</v>
      </c>
      <c r="Z39" s="3">
        <v>6641.6791000000003</v>
      </c>
      <c r="AA39" s="3">
        <v>13780.2628</v>
      </c>
    </row>
    <row r="40" spans="1:27" x14ac:dyDescent="0.2">
      <c r="A40" s="3" t="s">
        <v>2</v>
      </c>
      <c r="B40" s="3">
        <v>146.571</v>
      </c>
      <c r="C40" s="3">
        <v>292034.09370000003</v>
      </c>
      <c r="D40" s="3">
        <v>1058.335</v>
      </c>
      <c r="E40" s="3">
        <v>20250.710500000001</v>
      </c>
      <c r="F40" s="3">
        <v>10330.6973</v>
      </c>
      <c r="G40" s="3">
        <v>1407.6968999999999</v>
      </c>
      <c r="H40" s="3">
        <v>47980.574399999998</v>
      </c>
      <c r="I40" s="3">
        <v>811.1431</v>
      </c>
      <c r="J40" s="3">
        <v>4917.8814000000002</v>
      </c>
      <c r="K40" s="3">
        <v>17569.395100000002</v>
      </c>
      <c r="L40" s="3">
        <v>1136.4271000000001</v>
      </c>
      <c r="M40" s="3">
        <v>1887.4199000000001</v>
      </c>
      <c r="N40" s="3">
        <v>0</v>
      </c>
      <c r="O40" s="3">
        <v>16336.5643</v>
      </c>
      <c r="P40" s="3">
        <v>2855.1921000000002</v>
      </c>
      <c r="Q40" s="3">
        <v>10796.2358</v>
      </c>
      <c r="R40" s="3">
        <v>1897.8517999999999</v>
      </c>
      <c r="S40" s="3">
        <v>5062.0600000000004</v>
      </c>
      <c r="T40" s="3">
        <v>581.60159999999996</v>
      </c>
      <c r="U40" s="3">
        <v>1793.3197</v>
      </c>
      <c r="V40" s="3">
        <v>56087.818599999999</v>
      </c>
      <c r="W40" s="3">
        <v>355.30799999999999</v>
      </c>
      <c r="X40" s="3">
        <v>42298.603900000002</v>
      </c>
      <c r="Y40" s="3">
        <v>9318.2011000000002</v>
      </c>
      <c r="Z40" s="3">
        <v>882065.29969999997</v>
      </c>
      <c r="AA40" s="3">
        <v>1428979.0020000001</v>
      </c>
    </row>
    <row r="41" spans="1:27" x14ac:dyDescent="0.2">
      <c r="A41" s="3" t="s">
        <v>3</v>
      </c>
      <c r="B41" s="3">
        <v>29.335799999999999</v>
      </c>
      <c r="C41" s="3">
        <v>5966.9790000000003</v>
      </c>
      <c r="D41" s="3">
        <v>12674.795599999999</v>
      </c>
      <c r="E41" s="3">
        <v>232.3843</v>
      </c>
      <c r="F41" s="3">
        <v>540.07870000000003</v>
      </c>
      <c r="G41" s="3">
        <v>446.4991</v>
      </c>
      <c r="H41" s="3">
        <v>1355.5121999999999</v>
      </c>
      <c r="I41" s="3">
        <v>337.57830000000001</v>
      </c>
      <c r="J41" s="3">
        <v>702.70889999999997</v>
      </c>
      <c r="K41" s="3">
        <v>2544.6462000000001</v>
      </c>
      <c r="L41" s="3">
        <v>436.41399999999999</v>
      </c>
      <c r="M41" s="3">
        <v>1235.4159</v>
      </c>
      <c r="N41" s="3">
        <v>0</v>
      </c>
      <c r="O41" s="3">
        <v>353.78129999999999</v>
      </c>
      <c r="P41" s="3">
        <v>88.557000000000002</v>
      </c>
      <c r="Q41" s="3">
        <v>1867.3697999999999</v>
      </c>
      <c r="R41" s="3">
        <v>460.67090000000002</v>
      </c>
      <c r="S41" s="3">
        <v>454.64530000000002</v>
      </c>
      <c r="T41" s="3">
        <v>386.34809999999999</v>
      </c>
      <c r="U41" s="3">
        <v>146.22239999999999</v>
      </c>
      <c r="V41" s="3">
        <v>3636.7501999999999</v>
      </c>
      <c r="W41" s="3">
        <v>754.04499999999996</v>
      </c>
      <c r="X41" s="3">
        <v>0</v>
      </c>
      <c r="Y41" s="3">
        <v>311.72699999999998</v>
      </c>
      <c r="Z41" s="3">
        <v>4106.03</v>
      </c>
      <c r="AA41" s="3">
        <v>39068.495000000003</v>
      </c>
    </row>
    <row r="42" spans="1:27" x14ac:dyDescent="0.2">
      <c r="A42" s="3" t="s">
        <v>4</v>
      </c>
      <c r="B42" s="3">
        <v>0.28410000000000002</v>
      </c>
      <c r="C42" s="3">
        <v>443.6456</v>
      </c>
      <c r="D42" s="3">
        <v>107.7312</v>
      </c>
      <c r="E42" s="3">
        <v>25367.2389</v>
      </c>
      <c r="F42" s="3">
        <v>94.7834</v>
      </c>
      <c r="G42" s="3">
        <v>17.3081</v>
      </c>
      <c r="H42" s="3">
        <v>216.6011</v>
      </c>
      <c r="I42" s="3">
        <v>95.192899999999995</v>
      </c>
      <c r="J42" s="3">
        <v>36.263199999999998</v>
      </c>
      <c r="K42" s="3">
        <v>101.599</v>
      </c>
      <c r="L42" s="3">
        <v>101.23260000000001</v>
      </c>
      <c r="M42" s="3">
        <v>2195.7921000000001</v>
      </c>
      <c r="N42" s="3">
        <v>2608.8888000000002</v>
      </c>
      <c r="O42" s="3">
        <v>603.98760000000004</v>
      </c>
      <c r="P42" s="3">
        <v>7.4771000000000001</v>
      </c>
      <c r="Q42" s="3">
        <v>205.74270000000001</v>
      </c>
      <c r="R42" s="3">
        <v>141.59639999999999</v>
      </c>
      <c r="S42" s="3">
        <v>66.311400000000006</v>
      </c>
      <c r="T42" s="3">
        <v>85.188100000000006</v>
      </c>
      <c r="U42" s="3">
        <v>10.3279</v>
      </c>
      <c r="V42" s="3">
        <v>0</v>
      </c>
      <c r="W42" s="3">
        <v>0</v>
      </c>
      <c r="X42" s="3">
        <v>39552.167200000004</v>
      </c>
      <c r="Y42" s="3">
        <v>0</v>
      </c>
      <c r="Z42" s="3">
        <v>1289.2552000000001</v>
      </c>
      <c r="AA42" s="3">
        <v>73348.614700000006</v>
      </c>
    </row>
    <row r="43" spans="1:27" x14ac:dyDescent="0.2">
      <c r="A43" s="3" t="s">
        <v>5</v>
      </c>
      <c r="B43" s="3">
        <v>0</v>
      </c>
      <c r="C43" s="3">
        <v>2137.4117999999999</v>
      </c>
      <c r="D43" s="3">
        <v>30.233699999999999</v>
      </c>
      <c r="E43" s="3">
        <v>6.0656999999999996</v>
      </c>
      <c r="F43" s="3">
        <v>5265.6215000000002</v>
      </c>
      <c r="G43" s="3">
        <v>237.81780000000001</v>
      </c>
      <c r="H43" s="3">
        <v>53.996699999999997</v>
      </c>
      <c r="I43" s="3">
        <v>66.583600000000004</v>
      </c>
      <c r="J43" s="3">
        <v>39.467599999999997</v>
      </c>
      <c r="K43" s="3">
        <v>1656.7483</v>
      </c>
      <c r="L43" s="3">
        <v>219.1848</v>
      </c>
      <c r="M43" s="3">
        <v>3.9641000000000002</v>
      </c>
      <c r="N43" s="3">
        <v>0</v>
      </c>
      <c r="O43" s="3">
        <v>105.01990000000001</v>
      </c>
      <c r="P43" s="3">
        <v>118.8412</v>
      </c>
      <c r="Q43" s="3">
        <v>24.301300000000001</v>
      </c>
      <c r="R43" s="3">
        <v>7.7259000000000002</v>
      </c>
      <c r="S43" s="3">
        <v>16.034600000000001</v>
      </c>
      <c r="T43" s="3">
        <v>1.1161000000000001</v>
      </c>
      <c r="U43" s="3">
        <v>2.6648999999999998</v>
      </c>
      <c r="V43" s="3">
        <v>0</v>
      </c>
      <c r="W43" s="3">
        <v>0</v>
      </c>
      <c r="X43" s="3">
        <v>0</v>
      </c>
      <c r="Y43" s="3">
        <v>0</v>
      </c>
      <c r="Z43" s="3">
        <v>6217.5371999999998</v>
      </c>
      <c r="AA43" s="3">
        <v>16210.3369</v>
      </c>
    </row>
    <row r="44" spans="1:27" x14ac:dyDescent="0.2">
      <c r="A44" s="3" t="s">
        <v>6</v>
      </c>
      <c r="B44" s="3">
        <v>0</v>
      </c>
      <c r="C44" s="3">
        <v>0.70279999999999998</v>
      </c>
      <c r="D44" s="3">
        <v>0</v>
      </c>
      <c r="E44" s="3">
        <v>0</v>
      </c>
      <c r="F44" s="3">
        <v>421.4821</v>
      </c>
      <c r="G44" s="3">
        <v>216.7192</v>
      </c>
      <c r="H44" s="3">
        <v>2.4662999999999999</v>
      </c>
      <c r="I44" s="3">
        <v>0</v>
      </c>
      <c r="J44" s="3">
        <v>107.05710000000001</v>
      </c>
      <c r="K44" s="3">
        <v>2.0251000000000001</v>
      </c>
      <c r="L44" s="3">
        <v>13.577</v>
      </c>
      <c r="M44" s="3">
        <v>0</v>
      </c>
      <c r="N44" s="3">
        <v>0</v>
      </c>
      <c r="O44" s="3">
        <v>9.9699999999999997E-2</v>
      </c>
      <c r="P44" s="3">
        <v>0</v>
      </c>
      <c r="Q44" s="3">
        <v>2.8574000000000002</v>
      </c>
      <c r="R44" s="3">
        <v>0</v>
      </c>
      <c r="S44" s="3">
        <v>0</v>
      </c>
      <c r="T44" s="3">
        <v>1.3209</v>
      </c>
      <c r="U44" s="3">
        <v>0</v>
      </c>
      <c r="V44" s="3">
        <v>0</v>
      </c>
      <c r="W44" s="3">
        <v>0</v>
      </c>
      <c r="X44" s="3">
        <v>0</v>
      </c>
      <c r="Y44" s="3">
        <v>0</v>
      </c>
      <c r="Z44" s="3">
        <v>195.7251</v>
      </c>
      <c r="AA44" s="3">
        <v>964.03269999999998</v>
      </c>
    </row>
    <row r="45" spans="1:27" x14ac:dyDescent="0.2">
      <c r="A45" s="3" t="s">
        <v>7</v>
      </c>
      <c r="B45" s="3">
        <v>2.6265999999999998</v>
      </c>
      <c r="C45" s="3">
        <v>4261.8069999999998</v>
      </c>
      <c r="D45" s="3">
        <v>122.44540000000001</v>
      </c>
      <c r="E45" s="3">
        <v>270.54989999999998</v>
      </c>
      <c r="F45" s="3">
        <v>97247.832399999999</v>
      </c>
      <c r="G45" s="3">
        <v>801.65129999999999</v>
      </c>
      <c r="H45" s="3">
        <v>167716.53719999999</v>
      </c>
      <c r="I45" s="3">
        <v>13.6027</v>
      </c>
      <c r="J45" s="3">
        <v>111.6003</v>
      </c>
      <c r="K45" s="3">
        <v>2715.8960000000002</v>
      </c>
      <c r="L45" s="3">
        <v>1222.3506</v>
      </c>
      <c r="M45" s="3">
        <v>235.68729999999999</v>
      </c>
      <c r="N45" s="3">
        <v>0</v>
      </c>
      <c r="O45" s="3">
        <v>525.81629999999996</v>
      </c>
      <c r="P45" s="3">
        <v>311.1438</v>
      </c>
      <c r="Q45" s="3">
        <v>2646.1785</v>
      </c>
      <c r="R45" s="3">
        <v>116.345</v>
      </c>
      <c r="S45" s="3">
        <v>189.7413</v>
      </c>
      <c r="T45" s="3">
        <v>50.076099999999997</v>
      </c>
      <c r="U45" s="3">
        <v>50.283700000000003</v>
      </c>
      <c r="V45" s="3">
        <v>10291.631299999999</v>
      </c>
      <c r="W45" s="3">
        <v>29.896000000000001</v>
      </c>
      <c r="X45" s="3">
        <v>0</v>
      </c>
      <c r="Y45" s="3">
        <v>0</v>
      </c>
      <c r="Z45" s="3">
        <v>192068.17689999999</v>
      </c>
      <c r="AA45" s="3">
        <v>481001.87579999998</v>
      </c>
    </row>
    <row r="46" spans="1:27" x14ac:dyDescent="0.2">
      <c r="A46" s="3" t="s">
        <v>8</v>
      </c>
      <c r="B46" s="3">
        <v>0</v>
      </c>
      <c r="C46" s="3">
        <v>251.62739999999999</v>
      </c>
      <c r="D46" s="3">
        <v>23.560500000000001</v>
      </c>
      <c r="E46" s="3">
        <v>159.17679999999999</v>
      </c>
      <c r="F46" s="3">
        <v>284.0942</v>
      </c>
      <c r="G46" s="3">
        <v>73.447000000000003</v>
      </c>
      <c r="H46" s="3">
        <v>876.18330000000003</v>
      </c>
      <c r="I46" s="3">
        <v>10.1608</v>
      </c>
      <c r="J46" s="3">
        <v>44.7774</v>
      </c>
      <c r="K46" s="3">
        <v>646.43409999999994</v>
      </c>
      <c r="L46" s="3">
        <v>423.46699999999998</v>
      </c>
      <c r="M46" s="3">
        <v>41.2804</v>
      </c>
      <c r="N46" s="3">
        <v>0</v>
      </c>
      <c r="O46" s="3">
        <v>304.15010000000001</v>
      </c>
      <c r="P46" s="3">
        <v>109.1803</v>
      </c>
      <c r="Q46" s="3">
        <v>164.6669</v>
      </c>
      <c r="R46" s="3">
        <v>64.234499999999997</v>
      </c>
      <c r="S46" s="3">
        <v>79.374899999999997</v>
      </c>
      <c r="T46" s="3">
        <v>30.341999999999999</v>
      </c>
      <c r="U46" s="3">
        <v>34.685200000000002</v>
      </c>
      <c r="V46" s="3">
        <v>4752.5083999999997</v>
      </c>
      <c r="W46" s="3">
        <v>0</v>
      </c>
      <c r="X46" s="3">
        <v>0</v>
      </c>
      <c r="Y46" s="3">
        <v>0</v>
      </c>
      <c r="Z46" s="3">
        <v>3367.3139999999999</v>
      </c>
      <c r="AA46" s="3">
        <v>11740.665300000001</v>
      </c>
    </row>
    <row r="47" spans="1:27" x14ac:dyDescent="0.2">
      <c r="A47" s="3" t="s">
        <v>9</v>
      </c>
      <c r="B47" s="3">
        <v>0.30099999999999999</v>
      </c>
      <c r="C47" s="3">
        <v>223.12350000000001</v>
      </c>
      <c r="D47" s="3">
        <v>38.343600000000002</v>
      </c>
      <c r="E47" s="3">
        <v>133.3579</v>
      </c>
      <c r="F47" s="3">
        <v>1101.3255999999999</v>
      </c>
      <c r="G47" s="3">
        <v>114.0569</v>
      </c>
      <c r="H47" s="3">
        <v>1391.1224</v>
      </c>
      <c r="I47" s="3">
        <v>17.7014</v>
      </c>
      <c r="J47" s="3">
        <v>139.47040000000001</v>
      </c>
      <c r="K47" s="3">
        <v>607.93910000000005</v>
      </c>
      <c r="L47" s="3">
        <v>1022.312</v>
      </c>
      <c r="M47" s="3">
        <v>109.2788</v>
      </c>
      <c r="N47" s="3">
        <v>0</v>
      </c>
      <c r="O47" s="3">
        <v>355.12290000000002</v>
      </c>
      <c r="P47" s="3">
        <v>173.82339999999999</v>
      </c>
      <c r="Q47" s="3">
        <v>166.9359</v>
      </c>
      <c r="R47" s="3">
        <v>79.336100000000002</v>
      </c>
      <c r="S47" s="3">
        <v>107.2739</v>
      </c>
      <c r="T47" s="3">
        <v>90.964699999999993</v>
      </c>
      <c r="U47" s="3">
        <v>37.591500000000003</v>
      </c>
      <c r="V47" s="3">
        <v>14081.8542</v>
      </c>
      <c r="W47" s="3">
        <v>246.19900000000001</v>
      </c>
      <c r="X47" s="3">
        <v>0</v>
      </c>
      <c r="Y47" s="3">
        <v>0</v>
      </c>
      <c r="Z47" s="3">
        <v>2194.4652999999998</v>
      </c>
      <c r="AA47" s="3">
        <v>22431.8995</v>
      </c>
    </row>
    <row r="48" spans="1:27" x14ac:dyDescent="0.2">
      <c r="A48" s="3" t="s">
        <v>10</v>
      </c>
      <c r="B48" s="3">
        <v>0.83379999999999999</v>
      </c>
      <c r="C48" s="3">
        <v>1691.4006999999999</v>
      </c>
      <c r="D48" s="3">
        <v>173.23320000000001</v>
      </c>
      <c r="E48" s="3">
        <v>137.9297</v>
      </c>
      <c r="F48" s="3">
        <v>8223.0192999999999</v>
      </c>
      <c r="G48" s="3">
        <v>276.76369999999997</v>
      </c>
      <c r="H48" s="3">
        <v>1584.5042000000001</v>
      </c>
      <c r="I48" s="3">
        <v>59.704300000000003</v>
      </c>
      <c r="J48" s="3">
        <v>73.833299999999994</v>
      </c>
      <c r="K48" s="3">
        <v>89792.016600000003</v>
      </c>
      <c r="L48" s="3">
        <v>10064.4563</v>
      </c>
      <c r="M48" s="3">
        <v>351.03120000000001</v>
      </c>
      <c r="N48" s="3">
        <v>0</v>
      </c>
      <c r="O48" s="3">
        <v>6239.2269999999999</v>
      </c>
      <c r="P48" s="3">
        <v>342.2568</v>
      </c>
      <c r="Q48" s="3">
        <v>3233.143</v>
      </c>
      <c r="R48" s="3">
        <v>534.61599999999999</v>
      </c>
      <c r="S48" s="3">
        <v>795.71169999999995</v>
      </c>
      <c r="T48" s="3">
        <v>254.9041</v>
      </c>
      <c r="U48" s="3">
        <v>161.64330000000001</v>
      </c>
      <c r="V48" s="3">
        <v>6402.7682000000004</v>
      </c>
      <c r="W48" s="3">
        <v>4.9340000000000002</v>
      </c>
      <c r="X48" s="3">
        <v>8839.2888000000003</v>
      </c>
      <c r="Y48" s="3">
        <v>0</v>
      </c>
      <c r="Z48" s="3">
        <v>102448.5772</v>
      </c>
      <c r="AA48" s="3">
        <v>241685.7965</v>
      </c>
    </row>
    <row r="49" spans="1:38" x14ac:dyDescent="0.2">
      <c r="A49" s="3" t="s">
        <v>11</v>
      </c>
      <c r="B49" s="3">
        <v>4.0589000000000004</v>
      </c>
      <c r="C49" s="3">
        <v>2780.3231999999998</v>
      </c>
      <c r="D49" s="3">
        <v>377.1499</v>
      </c>
      <c r="E49" s="3">
        <v>585.72519999999997</v>
      </c>
      <c r="F49" s="3">
        <v>9887.6687000000002</v>
      </c>
      <c r="G49" s="3">
        <v>577.14750000000004</v>
      </c>
      <c r="H49" s="3">
        <v>1866.0047</v>
      </c>
      <c r="I49" s="3">
        <v>158.43799999999999</v>
      </c>
      <c r="J49" s="3">
        <v>166.30250000000001</v>
      </c>
      <c r="K49" s="3">
        <v>2161.2381999999998</v>
      </c>
      <c r="L49" s="3">
        <v>54525.186999999998</v>
      </c>
      <c r="M49" s="3">
        <v>4999.0465999999997</v>
      </c>
      <c r="N49" s="3">
        <v>638.41650000000004</v>
      </c>
      <c r="O49" s="3">
        <v>1182.0907999999999</v>
      </c>
      <c r="P49" s="3">
        <v>579.30679999999995</v>
      </c>
      <c r="Q49" s="3">
        <v>6405.6436999999996</v>
      </c>
      <c r="R49" s="3">
        <v>176.33099999999999</v>
      </c>
      <c r="S49" s="3">
        <v>333.65559999999999</v>
      </c>
      <c r="T49" s="3">
        <v>146.5248</v>
      </c>
      <c r="U49" s="3">
        <v>105.1238</v>
      </c>
      <c r="V49" s="3">
        <v>28551.239099999999</v>
      </c>
      <c r="W49" s="3">
        <v>484.90899999999999</v>
      </c>
      <c r="X49" s="3">
        <v>0</v>
      </c>
      <c r="Y49" s="3">
        <v>0</v>
      </c>
      <c r="Z49" s="3">
        <v>74474.640599999999</v>
      </c>
      <c r="AA49" s="3">
        <v>191166.1722</v>
      </c>
    </row>
    <row r="50" spans="1:38" x14ac:dyDescent="0.2">
      <c r="A50" s="3" t="s">
        <v>12</v>
      </c>
      <c r="B50" s="3">
        <v>0.19139999999999999</v>
      </c>
      <c r="C50" s="3">
        <v>1524.2882</v>
      </c>
      <c r="D50" s="3">
        <v>236.7389</v>
      </c>
      <c r="E50" s="3">
        <v>431.75510000000003</v>
      </c>
      <c r="F50" s="3">
        <v>4989.3702000000003</v>
      </c>
      <c r="G50" s="3">
        <v>3199.884</v>
      </c>
      <c r="H50" s="3">
        <v>1131.1451999999999</v>
      </c>
      <c r="I50" s="3">
        <v>420.73360000000002</v>
      </c>
      <c r="J50" s="3">
        <v>1869.3159000000001</v>
      </c>
      <c r="K50" s="3">
        <v>3474.7800999999999</v>
      </c>
      <c r="L50" s="3">
        <v>3605.7761999999998</v>
      </c>
      <c r="M50" s="3">
        <v>2154.7035999999998</v>
      </c>
      <c r="N50" s="3">
        <v>0</v>
      </c>
      <c r="O50" s="3">
        <v>2155.0835999999999</v>
      </c>
      <c r="P50" s="3">
        <v>672.85569999999996</v>
      </c>
      <c r="Q50" s="3">
        <v>894.39549999999997</v>
      </c>
      <c r="R50" s="3">
        <v>602.54459999999995</v>
      </c>
      <c r="S50" s="3">
        <v>1187.5405000000001</v>
      </c>
      <c r="T50" s="3">
        <v>388.7627</v>
      </c>
      <c r="U50" s="3">
        <v>753.66129999999998</v>
      </c>
      <c r="V50" s="3">
        <v>3050.1152000000002</v>
      </c>
      <c r="W50" s="3">
        <v>101.745</v>
      </c>
      <c r="X50" s="3">
        <v>17969.5108</v>
      </c>
      <c r="Y50" s="3">
        <v>0</v>
      </c>
      <c r="Z50" s="3">
        <v>246.5445</v>
      </c>
      <c r="AA50" s="3">
        <v>51061.441800000001</v>
      </c>
    </row>
    <row r="51" spans="1:38" x14ac:dyDescent="0.2">
      <c r="A51" s="3" t="s">
        <v>13</v>
      </c>
      <c r="B51" s="3">
        <v>0</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0</v>
      </c>
      <c r="V51" s="3">
        <v>24895.158299999999</v>
      </c>
      <c r="W51" s="3">
        <v>0</v>
      </c>
      <c r="X51" s="3">
        <v>0</v>
      </c>
      <c r="Y51" s="3">
        <v>0</v>
      </c>
      <c r="Z51" s="3">
        <v>503.63319999999999</v>
      </c>
      <c r="AA51" s="3">
        <v>25398.791499999999</v>
      </c>
    </row>
    <row r="52" spans="1:38" x14ac:dyDescent="0.2">
      <c r="A52" s="3" t="s">
        <v>14</v>
      </c>
      <c r="B52" s="3">
        <v>7.1284999999999998</v>
      </c>
      <c r="C52" s="3">
        <v>14025.213</v>
      </c>
      <c r="D52" s="3">
        <v>322.43610000000001</v>
      </c>
      <c r="E52" s="3">
        <v>1058.6985</v>
      </c>
      <c r="F52" s="3">
        <v>19698.527699999999</v>
      </c>
      <c r="G52" s="3">
        <v>830.86950000000002</v>
      </c>
      <c r="H52" s="3">
        <v>3099.1453000000001</v>
      </c>
      <c r="I52" s="3">
        <v>465.92630000000003</v>
      </c>
      <c r="J52" s="3">
        <v>345.44389999999999</v>
      </c>
      <c r="K52" s="3">
        <v>20151.1345</v>
      </c>
      <c r="L52" s="3">
        <v>11744.339</v>
      </c>
      <c r="M52" s="3">
        <v>3744.0167999999999</v>
      </c>
      <c r="N52" s="3">
        <v>426.70569999999998</v>
      </c>
      <c r="O52" s="3">
        <v>13472.8272</v>
      </c>
      <c r="P52" s="3">
        <v>1829.6052</v>
      </c>
      <c r="Q52" s="3">
        <v>2297.6624000000002</v>
      </c>
      <c r="R52" s="3">
        <v>698.84500000000003</v>
      </c>
      <c r="S52" s="3">
        <v>652.87070000000006</v>
      </c>
      <c r="T52" s="3">
        <v>485.14460000000003</v>
      </c>
      <c r="U52" s="3">
        <v>399.50420000000003</v>
      </c>
      <c r="V52" s="3">
        <v>1066.29</v>
      </c>
      <c r="W52" s="3">
        <v>1673.6189999999999</v>
      </c>
      <c r="X52" s="3">
        <v>36940.315300000002</v>
      </c>
      <c r="Y52" s="3">
        <v>0</v>
      </c>
      <c r="Z52" s="3">
        <v>35304.759100000003</v>
      </c>
      <c r="AA52" s="3">
        <v>170741.0275</v>
      </c>
    </row>
    <row r="53" spans="1:38" x14ac:dyDescent="0.2">
      <c r="A53" s="3" t="s">
        <v>15</v>
      </c>
      <c r="B53" s="3">
        <v>0.223</v>
      </c>
      <c r="C53" s="3">
        <v>11794.194100000001</v>
      </c>
      <c r="D53" s="3">
        <v>418.6397</v>
      </c>
      <c r="E53" s="3">
        <v>949.35299999999995</v>
      </c>
      <c r="F53" s="3">
        <v>15345.918299999999</v>
      </c>
      <c r="G53" s="3">
        <v>518.32939999999996</v>
      </c>
      <c r="H53" s="3">
        <v>11410.3053</v>
      </c>
      <c r="I53" s="3">
        <v>176.93770000000001</v>
      </c>
      <c r="J53" s="3">
        <v>302.41669999999999</v>
      </c>
      <c r="K53" s="3">
        <v>6260.0950999999995</v>
      </c>
      <c r="L53" s="3">
        <v>3409.8537999999999</v>
      </c>
      <c r="M53" s="3">
        <v>2868.7343000000001</v>
      </c>
      <c r="N53" s="3">
        <v>495.62189999999998</v>
      </c>
      <c r="O53" s="3">
        <v>1677.0147999999999</v>
      </c>
      <c r="P53" s="3">
        <v>4294.1682000000001</v>
      </c>
      <c r="Q53" s="3">
        <v>1514.058</v>
      </c>
      <c r="R53" s="3">
        <v>464.88479999999998</v>
      </c>
      <c r="S53" s="3">
        <v>1103.9469999999999</v>
      </c>
      <c r="T53" s="3">
        <v>473.65899999999999</v>
      </c>
      <c r="U53" s="3">
        <v>188.39240000000001</v>
      </c>
      <c r="V53" s="3">
        <v>804.58590000000004</v>
      </c>
      <c r="W53" s="3">
        <v>29.896000000000001</v>
      </c>
      <c r="X53" s="3">
        <v>0</v>
      </c>
      <c r="Y53" s="3">
        <v>0</v>
      </c>
      <c r="Z53" s="3">
        <v>12036.1065</v>
      </c>
      <c r="AA53" s="3">
        <v>76537.334900000002</v>
      </c>
    </row>
    <row r="54" spans="1:38" x14ac:dyDescent="0.2">
      <c r="A54" s="3" t="s">
        <v>16</v>
      </c>
      <c r="B54" s="3">
        <v>1.2999999999999999E-3</v>
      </c>
      <c r="C54" s="3">
        <v>13.471299999999999</v>
      </c>
      <c r="D54" s="3">
        <v>7.3670999999999998</v>
      </c>
      <c r="E54" s="3">
        <v>83.344099999999997</v>
      </c>
      <c r="F54" s="3">
        <v>469.69970000000001</v>
      </c>
      <c r="G54" s="3">
        <v>51.353700000000003</v>
      </c>
      <c r="H54" s="3">
        <v>79.375600000000006</v>
      </c>
      <c r="I54" s="3">
        <v>11.0792</v>
      </c>
      <c r="J54" s="3">
        <v>7.4748000000000001</v>
      </c>
      <c r="K54" s="3">
        <v>268.82389999999998</v>
      </c>
      <c r="L54" s="3">
        <v>239.2765</v>
      </c>
      <c r="M54" s="3">
        <v>318.81169999999997</v>
      </c>
      <c r="N54" s="3">
        <v>0</v>
      </c>
      <c r="O54" s="3">
        <v>217.17920000000001</v>
      </c>
      <c r="P54" s="3">
        <v>19.6248</v>
      </c>
      <c r="Q54" s="3">
        <v>805.39850000000001</v>
      </c>
      <c r="R54" s="3">
        <v>2.0061</v>
      </c>
      <c r="S54" s="3">
        <v>6.2061000000000002</v>
      </c>
      <c r="T54" s="3">
        <v>69.405600000000007</v>
      </c>
      <c r="U54" s="3">
        <v>8.6630000000000003</v>
      </c>
      <c r="V54" s="3">
        <v>394.06670000000003</v>
      </c>
      <c r="W54" s="3">
        <v>40244.519</v>
      </c>
      <c r="X54" s="3">
        <v>0</v>
      </c>
      <c r="Y54" s="3">
        <v>0</v>
      </c>
      <c r="Z54" s="3">
        <v>4.0830000000000002</v>
      </c>
      <c r="AA54" s="3">
        <v>43321.2307</v>
      </c>
    </row>
    <row r="55" spans="1:38" x14ac:dyDescent="0.2">
      <c r="A55" s="3" t="s">
        <v>17</v>
      </c>
      <c r="B55" s="3">
        <v>0.28799999999999998</v>
      </c>
      <c r="C55" s="3">
        <v>42.253599999999999</v>
      </c>
      <c r="D55" s="3">
        <v>3.8519999999999999</v>
      </c>
      <c r="E55" s="3">
        <v>4.0522</v>
      </c>
      <c r="F55" s="3">
        <v>50.448300000000003</v>
      </c>
      <c r="G55" s="3">
        <v>4.8352000000000004</v>
      </c>
      <c r="H55" s="3">
        <v>65.641099999999994</v>
      </c>
      <c r="I55" s="3">
        <v>9.5244</v>
      </c>
      <c r="J55" s="3">
        <v>6.8758999999999997</v>
      </c>
      <c r="K55" s="3">
        <v>131.90100000000001</v>
      </c>
      <c r="L55" s="3">
        <v>102.4354</v>
      </c>
      <c r="M55" s="3">
        <v>14.648099999999999</v>
      </c>
      <c r="N55" s="3">
        <v>0</v>
      </c>
      <c r="O55" s="3">
        <v>62.468600000000002</v>
      </c>
      <c r="P55" s="3">
        <v>19.728999999999999</v>
      </c>
      <c r="Q55" s="3">
        <v>278.22000000000003</v>
      </c>
      <c r="R55" s="3">
        <v>657.3664</v>
      </c>
      <c r="S55" s="3">
        <v>38.023000000000003</v>
      </c>
      <c r="T55" s="3">
        <v>8.3922000000000008</v>
      </c>
      <c r="U55" s="3">
        <v>7.7727000000000004</v>
      </c>
      <c r="V55" s="3">
        <v>10424.564899999999</v>
      </c>
      <c r="W55" s="3">
        <v>9864.8708999999999</v>
      </c>
      <c r="X55" s="3">
        <v>0</v>
      </c>
      <c r="Y55" s="3">
        <v>0</v>
      </c>
      <c r="Z55" s="3">
        <v>2505.7217000000001</v>
      </c>
      <c r="AA55" s="3">
        <v>24303.884699999999</v>
      </c>
    </row>
    <row r="56" spans="1:38" x14ac:dyDescent="0.2">
      <c r="A56" s="3" t="s">
        <v>18</v>
      </c>
      <c r="B56" s="3">
        <v>1.61E-2</v>
      </c>
      <c r="C56" s="3">
        <v>0.4743</v>
      </c>
      <c r="D56" s="3">
        <v>6.3529</v>
      </c>
      <c r="E56" s="3">
        <v>7.1035000000000004</v>
      </c>
      <c r="F56" s="3">
        <v>37.500900000000001</v>
      </c>
      <c r="G56" s="3">
        <v>6.8599999999999994E-2</v>
      </c>
      <c r="H56" s="3">
        <v>53.095199999999998</v>
      </c>
      <c r="I56" s="3">
        <v>1.5115000000000001</v>
      </c>
      <c r="J56" s="3">
        <v>3.5230999999999999</v>
      </c>
      <c r="K56" s="3">
        <v>62.700600000000001</v>
      </c>
      <c r="L56" s="3">
        <v>115.1628</v>
      </c>
      <c r="M56" s="3">
        <v>19.2715</v>
      </c>
      <c r="N56" s="3">
        <v>0</v>
      </c>
      <c r="O56" s="3">
        <v>407.17489999999998</v>
      </c>
      <c r="P56" s="3">
        <v>55.970799999999997</v>
      </c>
      <c r="Q56" s="3">
        <v>406.20859999999999</v>
      </c>
      <c r="R56" s="3">
        <v>23.8825</v>
      </c>
      <c r="S56" s="3">
        <v>3131.8081000000002</v>
      </c>
      <c r="T56" s="3">
        <v>278.5951</v>
      </c>
      <c r="U56" s="3">
        <v>55.135800000000003</v>
      </c>
      <c r="V56" s="3">
        <v>14502.7847</v>
      </c>
      <c r="W56" s="3">
        <v>9823.6280000000006</v>
      </c>
      <c r="X56" s="3">
        <v>0</v>
      </c>
      <c r="Y56" s="3">
        <v>0</v>
      </c>
      <c r="Z56" s="3">
        <v>610.93349999999998</v>
      </c>
      <c r="AA56" s="3">
        <v>29602.902999999998</v>
      </c>
    </row>
    <row r="57" spans="1:38" x14ac:dyDescent="0.2">
      <c r="A57" s="3" t="s">
        <v>19</v>
      </c>
      <c r="B57" s="3">
        <v>0</v>
      </c>
      <c r="C57" s="3">
        <v>8.8846000000000007</v>
      </c>
      <c r="D57" s="3">
        <v>2.0966999999999998</v>
      </c>
      <c r="E57" s="3">
        <v>61.980899999999998</v>
      </c>
      <c r="F57" s="3">
        <v>89.3215</v>
      </c>
      <c r="G57" s="3">
        <v>37.9358</v>
      </c>
      <c r="H57" s="3">
        <v>46.409100000000002</v>
      </c>
      <c r="I57" s="3">
        <v>6.2507000000000001</v>
      </c>
      <c r="J57" s="3">
        <v>3.6882000000000001</v>
      </c>
      <c r="K57" s="3">
        <v>198.9306</v>
      </c>
      <c r="L57" s="3">
        <v>327.61759999999998</v>
      </c>
      <c r="M57" s="3">
        <v>13.2033</v>
      </c>
      <c r="N57" s="3">
        <v>0</v>
      </c>
      <c r="O57" s="3">
        <v>71.388000000000005</v>
      </c>
      <c r="P57" s="3">
        <v>103.0699</v>
      </c>
      <c r="Q57" s="3">
        <v>19.767299999999999</v>
      </c>
      <c r="R57" s="3">
        <v>215.35409999999999</v>
      </c>
      <c r="S57" s="3">
        <v>22.074400000000001</v>
      </c>
      <c r="T57" s="3">
        <v>345.72070000000002</v>
      </c>
      <c r="U57" s="3">
        <v>18.580500000000001</v>
      </c>
      <c r="V57" s="3">
        <v>7128.1090999999997</v>
      </c>
      <c r="W57" s="3">
        <v>1227.942</v>
      </c>
      <c r="X57" s="3">
        <v>0</v>
      </c>
      <c r="Y57" s="3">
        <v>0</v>
      </c>
      <c r="Z57" s="3">
        <v>2377.2473</v>
      </c>
      <c r="AA57" s="3">
        <v>12325.572399999999</v>
      </c>
    </row>
    <row r="58" spans="1:38" x14ac:dyDescent="0.2">
      <c r="A58" s="3" t="s">
        <v>20</v>
      </c>
      <c r="B58" s="3">
        <v>6.9400000000000003E-2</v>
      </c>
      <c r="C58" s="3">
        <v>263.71589999999998</v>
      </c>
      <c r="D58" s="3">
        <v>60.636200000000002</v>
      </c>
      <c r="E58" s="3">
        <v>61.182699999999997</v>
      </c>
      <c r="F58" s="3">
        <v>150.071</v>
      </c>
      <c r="G58" s="3">
        <v>30.353100000000001</v>
      </c>
      <c r="H58" s="3">
        <v>307.07900000000001</v>
      </c>
      <c r="I58" s="3">
        <v>71.2166</v>
      </c>
      <c r="J58" s="3">
        <v>10.855399999999999</v>
      </c>
      <c r="K58" s="3">
        <v>321.30200000000002</v>
      </c>
      <c r="L58" s="3">
        <v>236.31829999999999</v>
      </c>
      <c r="M58" s="3">
        <v>61.243200000000002</v>
      </c>
      <c r="N58" s="3">
        <v>76.467100000000002</v>
      </c>
      <c r="O58" s="3">
        <v>132.0368</v>
      </c>
      <c r="P58" s="3">
        <v>126.8205</v>
      </c>
      <c r="Q58" s="3">
        <v>331.36529999999999</v>
      </c>
      <c r="R58" s="3">
        <v>166.81460000000001</v>
      </c>
      <c r="S58" s="3">
        <v>198.46629999999999</v>
      </c>
      <c r="T58" s="3">
        <v>161.75409999999999</v>
      </c>
      <c r="U58" s="3">
        <v>108.2208</v>
      </c>
      <c r="V58" s="3">
        <v>8449.0921999999991</v>
      </c>
      <c r="W58" s="3">
        <v>24.094999999999999</v>
      </c>
      <c r="X58" s="3">
        <v>0</v>
      </c>
      <c r="Y58" s="3">
        <v>0</v>
      </c>
      <c r="Z58" s="3">
        <v>139.673</v>
      </c>
      <c r="AA58" s="3">
        <v>11488.8483</v>
      </c>
    </row>
    <row r="59" spans="1:38" x14ac:dyDescent="0.2">
      <c r="A59" s="7" t="s">
        <v>23</v>
      </c>
      <c r="B59" s="7">
        <v>86.7</v>
      </c>
      <c r="C59" s="7">
        <v>28875.404900000001</v>
      </c>
      <c r="D59" s="7">
        <v>1862.0463999999999</v>
      </c>
      <c r="E59" s="7">
        <v>14884.0851</v>
      </c>
      <c r="F59" s="7">
        <v>26128.797699999999</v>
      </c>
      <c r="G59" s="7">
        <v>5168.4458999999997</v>
      </c>
      <c r="H59" s="7">
        <v>15083.0191</v>
      </c>
      <c r="I59" s="7">
        <v>1620.6025999999999</v>
      </c>
      <c r="J59" s="7">
        <v>3824.9321</v>
      </c>
      <c r="K59" s="7">
        <v>23450.095000000001</v>
      </c>
      <c r="L59" s="7">
        <v>34374.253900000003</v>
      </c>
      <c r="M59" s="7">
        <v>3492.3346000000001</v>
      </c>
      <c r="N59" s="7">
        <v>0</v>
      </c>
      <c r="O59" s="7">
        <v>26688.5085</v>
      </c>
      <c r="P59" s="7">
        <v>9623.9709999999995</v>
      </c>
      <c r="Q59" s="7">
        <v>14524.275100000001</v>
      </c>
      <c r="R59" s="7">
        <v>12878.346799999999</v>
      </c>
      <c r="S59" s="7">
        <v>13655.9414</v>
      </c>
      <c r="T59" s="7">
        <v>2367.5585999999998</v>
      </c>
      <c r="U59" s="7">
        <v>5624.6018000000004</v>
      </c>
      <c r="V59" s="7">
        <v>0</v>
      </c>
      <c r="W59" s="7">
        <v>0</v>
      </c>
      <c r="X59" s="7">
        <v>0</v>
      </c>
      <c r="Y59" s="7">
        <v>0</v>
      </c>
      <c r="Z59" s="7">
        <v>0</v>
      </c>
      <c r="AA59" s="7">
        <v>244213.9203</v>
      </c>
    </row>
    <row r="60" spans="1:38" x14ac:dyDescent="0.2">
      <c r="A60" s="7" t="s">
        <v>24</v>
      </c>
      <c r="B60" s="7">
        <v>6.4</v>
      </c>
      <c r="C60" s="7">
        <v>859.5</v>
      </c>
      <c r="D60" s="7">
        <v>270.7</v>
      </c>
      <c r="E60" s="7">
        <v>1728.8</v>
      </c>
      <c r="F60" s="7">
        <v>-91.1</v>
      </c>
      <c r="G60" s="7">
        <v>-64.099999999999994</v>
      </c>
      <c r="H60" s="7">
        <v>412.4</v>
      </c>
      <c r="I60" s="7">
        <v>81.900000000000006</v>
      </c>
      <c r="J60" s="7">
        <v>-221.3</v>
      </c>
      <c r="K60" s="7">
        <v>-57.3</v>
      </c>
      <c r="L60" s="7">
        <v>-99</v>
      </c>
      <c r="M60" s="7">
        <v>1781.9</v>
      </c>
      <c r="N60" s="7">
        <v>1128.9000000000001</v>
      </c>
      <c r="O60" s="7">
        <v>-394.6</v>
      </c>
      <c r="P60" s="7">
        <v>-145.4</v>
      </c>
      <c r="Q60" s="7">
        <v>24.3</v>
      </c>
      <c r="R60" s="7">
        <v>-119.7</v>
      </c>
      <c r="S60" s="7">
        <v>-66.099999999999994</v>
      </c>
      <c r="T60" s="7">
        <v>165.7</v>
      </c>
      <c r="U60" s="7">
        <v>331.4</v>
      </c>
      <c r="V60" s="7">
        <v>0</v>
      </c>
      <c r="W60" s="7">
        <v>0</v>
      </c>
      <c r="X60" s="7">
        <v>0</v>
      </c>
      <c r="Y60" s="7">
        <v>0</v>
      </c>
      <c r="Z60" s="7">
        <v>0</v>
      </c>
      <c r="AA60" s="7">
        <v>5533.3</v>
      </c>
    </row>
    <row r="61" spans="1:38" x14ac:dyDescent="0.2">
      <c r="A61" s="7" t="s">
        <v>25</v>
      </c>
      <c r="B61" s="7">
        <v>90.525199999999998</v>
      </c>
      <c r="C61" s="7">
        <v>108658.2637</v>
      </c>
      <c r="D61" s="7">
        <v>6044.2293</v>
      </c>
      <c r="E61" s="7">
        <v>4607.6813000000002</v>
      </c>
      <c r="F61" s="7">
        <v>115761.836</v>
      </c>
      <c r="G61" s="7">
        <v>2850.8198000000002</v>
      </c>
      <c r="H61" s="7">
        <v>65383.8289</v>
      </c>
      <c r="I61" s="7">
        <v>1952.9903999999999</v>
      </c>
      <c r="J61" s="7">
        <v>1227.3981000000001</v>
      </c>
      <c r="K61" s="7">
        <v>10610.683300000001</v>
      </c>
      <c r="L61" s="7">
        <v>46466.165000000001</v>
      </c>
      <c r="M61" s="7">
        <v>13428.9259</v>
      </c>
      <c r="N61" s="7">
        <v>19370.400000000001</v>
      </c>
      <c r="O61" s="7">
        <v>7362.4804999999997</v>
      </c>
      <c r="P61" s="7">
        <v>8967.1802000000007</v>
      </c>
      <c r="Q61" s="7">
        <v>672.77160000000003</v>
      </c>
      <c r="R61" s="7">
        <v>2857.6432</v>
      </c>
      <c r="S61" s="7">
        <v>1357.2032999999999</v>
      </c>
      <c r="T61" s="7">
        <v>2246.2802000000001</v>
      </c>
      <c r="U61" s="7">
        <v>296.84640000000002</v>
      </c>
      <c r="V61" s="7">
        <v>0</v>
      </c>
      <c r="W61" s="7">
        <v>0</v>
      </c>
      <c r="X61" s="7">
        <v>0</v>
      </c>
      <c r="Y61" s="7">
        <v>0</v>
      </c>
      <c r="Z61" s="7">
        <v>0</v>
      </c>
      <c r="AA61" s="7">
        <v>420214.15240000002</v>
      </c>
    </row>
    <row r="62" spans="1:38" x14ac:dyDescent="0.2">
      <c r="A62" s="7" t="s">
        <v>49</v>
      </c>
      <c r="B62" s="7">
        <v>741.99860000000001</v>
      </c>
      <c r="C62" s="7">
        <v>476617.81</v>
      </c>
      <c r="D62" s="7">
        <v>23877.1011</v>
      </c>
      <c r="E62" s="7">
        <v>71085.050199999998</v>
      </c>
      <c r="F62" s="7">
        <v>316027.3591</v>
      </c>
      <c r="G62" s="7">
        <v>16798.331999999999</v>
      </c>
      <c r="H62" s="7">
        <v>320144.78480000002</v>
      </c>
      <c r="I62" s="7">
        <v>6537.4173000000001</v>
      </c>
      <c r="J62" s="7">
        <v>14810.2091</v>
      </c>
      <c r="K62" s="7">
        <v>182675.8057</v>
      </c>
      <c r="L62" s="7">
        <v>169696.6379</v>
      </c>
      <c r="M62" s="7">
        <v>38956.7094</v>
      </c>
      <c r="N62" s="7">
        <v>24745.4</v>
      </c>
      <c r="O62" s="7">
        <v>77860.909499999994</v>
      </c>
      <c r="P62" s="7">
        <v>30222.066200000001</v>
      </c>
      <c r="Q62" s="7">
        <v>47288.989800000003</v>
      </c>
      <c r="R62" s="7">
        <v>21929.160500000002</v>
      </c>
      <c r="S62" s="7">
        <v>28406.133399999999</v>
      </c>
      <c r="T62" s="7">
        <v>8630.9861000000001</v>
      </c>
      <c r="U62" s="7">
        <v>10159.1993</v>
      </c>
      <c r="V62" s="7">
        <v>198297.34210000001</v>
      </c>
      <c r="W62" s="7">
        <v>64865.605900000002</v>
      </c>
      <c r="X62" s="7">
        <v>145705.95060000001</v>
      </c>
      <c r="Y62" s="7">
        <v>10241.200000000001</v>
      </c>
      <c r="Z62" s="7">
        <v>1326323.4399000001</v>
      </c>
      <c r="AA62" s="7">
        <v>3632645.5984</v>
      </c>
    </row>
    <row r="63" spans="1:38" ht="19" x14ac:dyDescent="0.2">
      <c r="AC63" s="23" t="s">
        <v>59</v>
      </c>
      <c r="AD63" s="23"/>
      <c r="AE63" s="23"/>
      <c r="AF63" s="23"/>
      <c r="AG63" s="23"/>
      <c r="AH63" s="23"/>
      <c r="AI63" s="23"/>
      <c r="AJ63" s="23"/>
      <c r="AK63" s="23"/>
      <c r="AL63" s="23"/>
    </row>
    <row r="64" spans="1:38" x14ac:dyDescent="0.2">
      <c r="AC64" s="29" t="s">
        <v>60</v>
      </c>
      <c r="AD64" s="30"/>
      <c r="AE64" s="30"/>
      <c r="AF64" s="30"/>
      <c r="AG64" s="30"/>
      <c r="AH64" s="30"/>
      <c r="AI64" s="30"/>
      <c r="AJ64" s="30"/>
      <c r="AK64" s="30"/>
      <c r="AL64" s="30"/>
    </row>
    <row r="65" spans="1:38" x14ac:dyDescent="0.2">
      <c r="AC65" s="30"/>
      <c r="AD65" s="30"/>
      <c r="AE65" s="30"/>
      <c r="AF65" s="30"/>
      <c r="AG65" s="30"/>
      <c r="AH65" s="30"/>
      <c r="AI65" s="30"/>
      <c r="AJ65" s="30"/>
      <c r="AK65" s="30"/>
      <c r="AL65" s="30"/>
    </row>
    <row r="66" spans="1:38" x14ac:dyDescent="0.2">
      <c r="AC66" s="30"/>
      <c r="AD66" s="30"/>
      <c r="AE66" s="30"/>
      <c r="AF66" s="30"/>
      <c r="AG66" s="30"/>
      <c r="AH66" s="30"/>
      <c r="AI66" s="30"/>
      <c r="AJ66" s="30"/>
      <c r="AK66" s="30"/>
      <c r="AL66" s="30"/>
    </row>
    <row r="67" spans="1:38" x14ac:dyDescent="0.2">
      <c r="AC67" s="30"/>
      <c r="AD67" s="30"/>
      <c r="AE67" s="30"/>
      <c r="AF67" s="30"/>
      <c r="AG67" s="30"/>
      <c r="AH67" s="30"/>
      <c r="AI67" s="30"/>
      <c r="AJ67" s="30"/>
      <c r="AK67" s="30"/>
      <c r="AL67" s="30"/>
    </row>
    <row r="68" spans="1:38" x14ac:dyDescent="0.2">
      <c r="E68" t="s">
        <v>68</v>
      </c>
      <c r="AC68" s="30"/>
      <c r="AD68" s="30"/>
      <c r="AE68" s="30"/>
      <c r="AF68" s="30"/>
      <c r="AG68" s="30"/>
      <c r="AH68" s="30"/>
      <c r="AI68" s="30"/>
      <c r="AJ68" s="30"/>
      <c r="AK68" s="30"/>
      <c r="AL68" s="30"/>
    </row>
    <row r="71" spans="1:38" ht="19" x14ac:dyDescent="0.2">
      <c r="A71" s="23" t="s">
        <v>58</v>
      </c>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spans="1:38" ht="68" x14ac:dyDescent="0.2">
      <c r="A72" s="8" t="s">
        <v>75</v>
      </c>
      <c r="B72" s="8" t="s">
        <v>1</v>
      </c>
      <c r="C72" s="8" t="s">
        <v>2</v>
      </c>
      <c r="D72" s="8" t="s">
        <v>3</v>
      </c>
      <c r="E72" s="8" t="s">
        <v>4</v>
      </c>
      <c r="F72" s="8" t="s">
        <v>5</v>
      </c>
      <c r="G72" s="8" t="s">
        <v>6</v>
      </c>
      <c r="H72" s="8" t="s">
        <v>7</v>
      </c>
      <c r="I72" s="8" t="s">
        <v>8</v>
      </c>
      <c r="J72" s="8" t="s">
        <v>9</v>
      </c>
      <c r="K72" s="8" t="s">
        <v>10</v>
      </c>
      <c r="L72" s="8" t="s">
        <v>11</v>
      </c>
      <c r="M72" s="8" t="s">
        <v>12</v>
      </c>
      <c r="N72" s="8" t="s">
        <v>13</v>
      </c>
      <c r="O72" s="8" t="s">
        <v>14</v>
      </c>
      <c r="P72" s="8" t="s">
        <v>15</v>
      </c>
      <c r="Q72" s="8" t="s">
        <v>16</v>
      </c>
      <c r="R72" s="8" t="s">
        <v>17</v>
      </c>
      <c r="S72" s="8" t="s">
        <v>18</v>
      </c>
      <c r="T72" s="8" t="s">
        <v>19</v>
      </c>
      <c r="U72" s="8" t="s">
        <v>20</v>
      </c>
      <c r="V72" s="8" t="s">
        <v>40</v>
      </c>
      <c r="W72" s="8" t="s">
        <v>41</v>
      </c>
      <c r="X72" s="8" t="s">
        <v>42</v>
      </c>
      <c r="Y72" s="8" t="s">
        <v>43</v>
      </c>
      <c r="Z72" s="8" t="s">
        <v>44</v>
      </c>
      <c r="AA72" s="8" t="s">
        <v>49</v>
      </c>
    </row>
    <row r="73" spans="1:38" x14ac:dyDescent="0.2">
      <c r="A73" s="3" t="s">
        <v>1</v>
      </c>
      <c r="B73" s="3">
        <v>150.35149999999999</v>
      </c>
      <c r="C73" s="3">
        <v>49.490900000000003</v>
      </c>
      <c r="D73" s="3">
        <v>1.3449</v>
      </c>
      <c r="E73" s="3">
        <v>5.4187000000000003</v>
      </c>
      <c r="F73" s="3">
        <v>1.9300000000000001E-2</v>
      </c>
      <c r="G73" s="3">
        <v>0.27600000000000002</v>
      </c>
      <c r="H73" s="3">
        <v>1.7574000000000001</v>
      </c>
      <c r="I73" s="3">
        <v>8.8824000000000005</v>
      </c>
      <c r="J73" s="3">
        <v>71.388400000000004</v>
      </c>
      <c r="K73" s="3">
        <v>3.5196000000000001</v>
      </c>
      <c r="L73" s="3">
        <v>0.79520000000000002</v>
      </c>
      <c r="M73" s="3">
        <v>0</v>
      </c>
      <c r="N73" s="3">
        <v>0</v>
      </c>
      <c r="O73" s="3">
        <v>0.43569999999999998</v>
      </c>
      <c r="P73" s="3">
        <v>4.4002999999999997</v>
      </c>
      <c r="Q73" s="3">
        <v>0.52890000000000004</v>
      </c>
      <c r="R73" s="3">
        <v>0.15559999999999999</v>
      </c>
      <c r="S73" s="3">
        <v>0.93459999999999999</v>
      </c>
      <c r="T73" s="3">
        <v>0.746</v>
      </c>
      <c r="U73" s="3">
        <v>1.1678999999999999</v>
      </c>
      <c r="V73" s="3">
        <v>188.59829999999999</v>
      </c>
      <c r="W73" s="3">
        <v>0</v>
      </c>
      <c r="X73" s="3">
        <v>1.0501</v>
      </c>
      <c r="Y73" s="3">
        <v>22.6813</v>
      </c>
      <c r="Z73" s="3">
        <v>160.3596</v>
      </c>
      <c r="AA73" s="3">
        <v>674.30219999999997</v>
      </c>
    </row>
    <row r="74" spans="1:38" x14ac:dyDescent="0.2">
      <c r="A74" s="3" t="s">
        <v>2</v>
      </c>
      <c r="B74" s="3">
        <v>37.040500000000002</v>
      </c>
      <c r="C74" s="3">
        <v>79155.146599999993</v>
      </c>
      <c r="D74" s="3">
        <v>266.72329999999999</v>
      </c>
      <c r="E74" s="3">
        <v>5259.0308999999997</v>
      </c>
      <c r="F74" s="3">
        <v>3693.9625999999998</v>
      </c>
      <c r="G74" s="3">
        <v>327.92680000000001</v>
      </c>
      <c r="H74" s="3">
        <v>15396.3609</v>
      </c>
      <c r="I74" s="3">
        <v>221.36949999999999</v>
      </c>
      <c r="J74" s="3">
        <v>1530.829</v>
      </c>
      <c r="K74" s="3">
        <v>7676.8588</v>
      </c>
      <c r="L74" s="3">
        <v>334.70729999999998</v>
      </c>
      <c r="M74" s="3">
        <v>1008.1712</v>
      </c>
      <c r="N74" s="3">
        <v>0</v>
      </c>
      <c r="O74" s="3">
        <v>7178.5114999999996</v>
      </c>
      <c r="P74" s="3">
        <v>1224.4672</v>
      </c>
      <c r="Q74" s="3">
        <v>2041.6733999999999</v>
      </c>
      <c r="R74" s="3">
        <v>604.1001</v>
      </c>
      <c r="S74" s="3">
        <v>1807.5165999999999</v>
      </c>
      <c r="T74" s="3">
        <v>183.3272</v>
      </c>
      <c r="U74" s="3">
        <v>462.16570000000002</v>
      </c>
      <c r="V74" s="3">
        <v>6141.7352000000001</v>
      </c>
      <c r="W74" s="3">
        <v>355.30799999999999</v>
      </c>
      <c r="X74" s="3">
        <v>10003.915800000001</v>
      </c>
      <c r="Y74" s="3">
        <v>2907.0589</v>
      </c>
      <c r="Z74" s="3">
        <v>315109.67709999997</v>
      </c>
      <c r="AA74" s="3">
        <v>462927.58419999998</v>
      </c>
    </row>
    <row r="75" spans="1:38" x14ac:dyDescent="0.2">
      <c r="A75" s="3" t="s">
        <v>3</v>
      </c>
      <c r="B75" s="3">
        <v>22.1038</v>
      </c>
      <c r="C75" s="3">
        <v>4512.1293999999998</v>
      </c>
      <c r="D75" s="3">
        <v>4143.4468999999999</v>
      </c>
      <c r="E75" s="3">
        <v>212.90469999999999</v>
      </c>
      <c r="F75" s="3">
        <v>530.16390000000001</v>
      </c>
      <c r="G75" s="3">
        <v>440.01909999999998</v>
      </c>
      <c r="H75" s="3">
        <v>1201.1617000000001</v>
      </c>
      <c r="I75" s="3">
        <v>333.58069999999998</v>
      </c>
      <c r="J75" s="3">
        <v>689.61609999999996</v>
      </c>
      <c r="K75" s="3">
        <v>2503.3334</v>
      </c>
      <c r="L75" s="3">
        <v>433.57440000000003</v>
      </c>
      <c r="M75" s="3">
        <v>1231.9911</v>
      </c>
      <c r="N75" s="3">
        <v>0</v>
      </c>
      <c r="O75" s="3">
        <v>342.3535</v>
      </c>
      <c r="P75" s="3">
        <v>87.034899999999993</v>
      </c>
      <c r="Q75" s="3">
        <v>1661.1612</v>
      </c>
      <c r="R75" s="3">
        <v>454.6182</v>
      </c>
      <c r="S75" s="3">
        <v>449.7869</v>
      </c>
      <c r="T75" s="3">
        <v>381.51429999999999</v>
      </c>
      <c r="U75" s="3">
        <v>142.99449999999999</v>
      </c>
      <c r="V75" s="3">
        <v>3105.2013000000002</v>
      </c>
      <c r="W75" s="3">
        <v>754.04499999999996</v>
      </c>
      <c r="X75" s="3">
        <v>0</v>
      </c>
      <c r="Y75" s="3">
        <v>-23.418099999999999</v>
      </c>
      <c r="Z75" s="3">
        <v>566.56110000000001</v>
      </c>
      <c r="AA75" s="3">
        <v>24175.878100000002</v>
      </c>
    </row>
    <row r="76" spans="1:38" x14ac:dyDescent="0.2">
      <c r="A76" s="3" t="s">
        <v>4</v>
      </c>
      <c r="B76" s="3">
        <v>0.28410000000000002</v>
      </c>
      <c r="C76" s="3">
        <v>434.33499999999998</v>
      </c>
      <c r="D76" s="3">
        <v>107.7312</v>
      </c>
      <c r="E76" s="3">
        <v>25215.6387</v>
      </c>
      <c r="F76" s="3">
        <v>94.7834</v>
      </c>
      <c r="G76" s="3">
        <v>17.3081</v>
      </c>
      <c r="H76" s="3">
        <v>216.6011</v>
      </c>
      <c r="I76" s="3">
        <v>95.192899999999995</v>
      </c>
      <c r="J76" s="3">
        <v>36.263199999999998</v>
      </c>
      <c r="K76" s="3">
        <v>101.599</v>
      </c>
      <c r="L76" s="3">
        <v>101.23260000000001</v>
      </c>
      <c r="M76" s="3">
        <v>2195.7921000000001</v>
      </c>
      <c r="N76" s="3">
        <v>2608.8888000000002</v>
      </c>
      <c r="O76" s="3">
        <v>508.30200000000002</v>
      </c>
      <c r="P76" s="3">
        <v>7.4771000000000001</v>
      </c>
      <c r="Q76" s="3">
        <v>204.4614</v>
      </c>
      <c r="R76" s="3">
        <v>141.59639999999999</v>
      </c>
      <c r="S76" s="3">
        <v>66.311400000000006</v>
      </c>
      <c r="T76" s="3">
        <v>85.188100000000006</v>
      </c>
      <c r="U76" s="3">
        <v>10.3279</v>
      </c>
      <c r="V76" s="3">
        <v>0</v>
      </c>
      <c r="W76" s="3">
        <v>0</v>
      </c>
      <c r="X76" s="3">
        <v>39551.167200000004</v>
      </c>
      <c r="Y76" s="3">
        <v>0</v>
      </c>
      <c r="Z76" s="3">
        <v>1289.2552000000001</v>
      </c>
      <c r="AA76" s="3">
        <v>73089.736999999994</v>
      </c>
    </row>
    <row r="77" spans="1:38" x14ac:dyDescent="0.2">
      <c r="A77" s="3" t="s">
        <v>5</v>
      </c>
      <c r="B77" s="3">
        <v>61.419400000000003</v>
      </c>
      <c r="C77" s="3">
        <v>16097.8995</v>
      </c>
      <c r="D77" s="3">
        <v>169.29130000000001</v>
      </c>
      <c r="E77" s="3">
        <v>2390.6206999999999</v>
      </c>
      <c r="F77" s="3">
        <v>4514.1030000000001</v>
      </c>
      <c r="G77" s="3">
        <v>295.76850000000002</v>
      </c>
      <c r="H77" s="3">
        <v>2181.4902999999999</v>
      </c>
      <c r="I77" s="3">
        <v>191.61429999999999</v>
      </c>
      <c r="J77" s="3">
        <v>905.15830000000005</v>
      </c>
      <c r="K77" s="3">
        <v>2688.0032999999999</v>
      </c>
      <c r="L77" s="3">
        <v>249.04949999999999</v>
      </c>
      <c r="M77" s="3">
        <v>123.0669</v>
      </c>
      <c r="N77" s="3">
        <v>0</v>
      </c>
      <c r="O77" s="3">
        <v>870.63189999999997</v>
      </c>
      <c r="P77" s="3">
        <v>383.1748</v>
      </c>
      <c r="Q77" s="3">
        <v>731.6499</v>
      </c>
      <c r="R77" s="3">
        <v>216.94800000000001</v>
      </c>
      <c r="S77" s="3">
        <v>541.80319999999995</v>
      </c>
      <c r="T77" s="3">
        <v>51.725999999999999</v>
      </c>
      <c r="U77" s="3">
        <v>247.62039999999999</v>
      </c>
      <c r="V77" s="3">
        <v>7043.2524000000003</v>
      </c>
      <c r="W77" s="3">
        <v>0</v>
      </c>
      <c r="X77" s="3">
        <v>6714.5846000000001</v>
      </c>
      <c r="Y77" s="3">
        <v>0</v>
      </c>
      <c r="Z77" s="3">
        <v>248842.2751</v>
      </c>
      <c r="AA77" s="3">
        <v>295511.15159999998</v>
      </c>
    </row>
    <row r="78" spans="1:38" x14ac:dyDescent="0.2">
      <c r="A78" s="3" t="s">
        <v>6</v>
      </c>
      <c r="B78" s="3">
        <v>0</v>
      </c>
      <c r="C78" s="3">
        <v>0.70279999999999998</v>
      </c>
      <c r="D78" s="3">
        <v>0</v>
      </c>
      <c r="E78" s="3">
        <v>260.53399999999999</v>
      </c>
      <c r="F78" s="3">
        <v>451.93650000000002</v>
      </c>
      <c r="G78" s="3">
        <v>225.15530000000001</v>
      </c>
      <c r="H78" s="3">
        <v>240.37970000000001</v>
      </c>
      <c r="I78" s="3">
        <v>14.549200000000001</v>
      </c>
      <c r="J78" s="3">
        <v>206.56200000000001</v>
      </c>
      <c r="K78" s="3">
        <v>224.2919</v>
      </c>
      <c r="L78" s="3">
        <v>29.042999999999999</v>
      </c>
      <c r="M78" s="3">
        <v>13.6942</v>
      </c>
      <c r="N78" s="3">
        <v>0</v>
      </c>
      <c r="O78" s="3">
        <v>93.260999999999996</v>
      </c>
      <c r="P78" s="3">
        <v>31.4344</v>
      </c>
      <c r="Q78" s="3">
        <v>84.162000000000006</v>
      </c>
      <c r="R78" s="3">
        <v>24.4772</v>
      </c>
      <c r="S78" s="3">
        <v>60.562399999999997</v>
      </c>
      <c r="T78" s="3">
        <v>7.1382000000000003</v>
      </c>
      <c r="U78" s="3">
        <v>28.156400000000001</v>
      </c>
      <c r="V78" s="3">
        <v>13522.9756</v>
      </c>
      <c r="W78" s="3">
        <v>0</v>
      </c>
      <c r="X78" s="3">
        <v>19.771000000000001</v>
      </c>
      <c r="Y78" s="3">
        <v>0</v>
      </c>
      <c r="Z78" s="3">
        <v>1670.7121999999999</v>
      </c>
      <c r="AA78" s="3">
        <v>17209.498899999999</v>
      </c>
    </row>
    <row r="79" spans="1:38" x14ac:dyDescent="0.2">
      <c r="A79" s="3" t="s">
        <v>7</v>
      </c>
      <c r="B79" s="3">
        <v>2.6080999999999999</v>
      </c>
      <c r="C79" s="3">
        <v>3182.58</v>
      </c>
      <c r="D79" s="3">
        <v>99.235100000000003</v>
      </c>
      <c r="E79" s="3">
        <v>220.672</v>
      </c>
      <c r="F79" s="3">
        <v>26296.932799999999</v>
      </c>
      <c r="G79" s="3">
        <v>776.55790000000002</v>
      </c>
      <c r="H79" s="3">
        <v>90184.174100000004</v>
      </c>
      <c r="I79" s="3">
        <v>11.903499999999999</v>
      </c>
      <c r="J79" s="3">
        <v>103.9867</v>
      </c>
      <c r="K79" s="3">
        <v>1403.3426999999999</v>
      </c>
      <c r="L79" s="3">
        <v>878.08969999999999</v>
      </c>
      <c r="M79" s="3">
        <v>188.58869999999999</v>
      </c>
      <c r="N79" s="3">
        <v>0</v>
      </c>
      <c r="O79" s="3">
        <v>327.47129999999999</v>
      </c>
      <c r="P79" s="3">
        <v>230.02269999999999</v>
      </c>
      <c r="Q79" s="3">
        <v>2609.6064000000001</v>
      </c>
      <c r="R79" s="3">
        <v>81.982299999999995</v>
      </c>
      <c r="S79" s="3">
        <v>57.794400000000003</v>
      </c>
      <c r="T79" s="3">
        <v>31.538</v>
      </c>
      <c r="U79" s="3">
        <v>41.387900000000002</v>
      </c>
      <c r="V79" s="3">
        <v>7845.7407999999996</v>
      </c>
      <c r="W79" s="3">
        <v>29.896000000000001</v>
      </c>
      <c r="X79" s="3">
        <v>0</v>
      </c>
      <c r="Y79" s="3">
        <v>0</v>
      </c>
      <c r="Z79" s="3">
        <v>192068.17689999999</v>
      </c>
      <c r="AA79" s="3">
        <v>326672.28810000001</v>
      </c>
    </row>
    <row r="80" spans="1:38" x14ac:dyDescent="0.2">
      <c r="A80" s="3" t="s">
        <v>8</v>
      </c>
      <c r="B80" s="3">
        <v>0</v>
      </c>
      <c r="C80" s="3">
        <v>34.0182</v>
      </c>
      <c r="D80" s="3">
        <v>6.9633000000000003</v>
      </c>
      <c r="E80" s="3">
        <v>37.916200000000003</v>
      </c>
      <c r="F80" s="3">
        <v>121.63290000000001</v>
      </c>
      <c r="G80" s="3">
        <v>19.744800000000001</v>
      </c>
      <c r="H80" s="3">
        <v>227.63419999999999</v>
      </c>
      <c r="I80" s="3">
        <v>4.9607999999999999</v>
      </c>
      <c r="J80" s="3">
        <v>19.622399999999999</v>
      </c>
      <c r="K80" s="3">
        <v>41.737499999999997</v>
      </c>
      <c r="L80" s="3">
        <v>103.0004</v>
      </c>
      <c r="M80" s="3">
        <v>3.2016</v>
      </c>
      <c r="N80" s="3">
        <v>0</v>
      </c>
      <c r="O80" s="3">
        <v>61.792999999999999</v>
      </c>
      <c r="P80" s="3">
        <v>27.3935</v>
      </c>
      <c r="Q80" s="3">
        <v>90.385099999999994</v>
      </c>
      <c r="R80" s="3">
        <v>9.5616000000000003</v>
      </c>
      <c r="S80" s="3">
        <v>3.9022000000000001</v>
      </c>
      <c r="T80" s="3">
        <v>5.1687000000000003</v>
      </c>
      <c r="U80" s="3">
        <v>12.1037</v>
      </c>
      <c r="V80" s="3">
        <v>339.29910000000001</v>
      </c>
      <c r="W80" s="3">
        <v>0</v>
      </c>
      <c r="X80" s="3">
        <v>0</v>
      </c>
      <c r="Y80" s="3">
        <v>0</v>
      </c>
      <c r="Z80" s="3">
        <v>3367.3139999999999</v>
      </c>
      <c r="AA80" s="3">
        <v>4537.3531000000003</v>
      </c>
    </row>
    <row r="81" spans="1:27" x14ac:dyDescent="0.2">
      <c r="A81" s="3" t="s">
        <v>9</v>
      </c>
      <c r="B81" s="3">
        <v>0.30099999999999999</v>
      </c>
      <c r="C81" s="3">
        <v>102.0136</v>
      </c>
      <c r="D81" s="3">
        <v>26.806799999999999</v>
      </c>
      <c r="E81" s="3">
        <v>65.464299999999994</v>
      </c>
      <c r="F81" s="3">
        <v>1010.8156</v>
      </c>
      <c r="G81" s="3">
        <v>84.210899999999995</v>
      </c>
      <c r="H81" s="3">
        <v>776.66759999999999</v>
      </c>
      <c r="I81" s="3">
        <v>14.7582</v>
      </c>
      <c r="J81" s="3">
        <v>125.3668</v>
      </c>
      <c r="K81" s="3">
        <v>246.59049999999999</v>
      </c>
      <c r="L81" s="3">
        <v>790.99749999999995</v>
      </c>
      <c r="M81" s="3">
        <v>78.482799999999997</v>
      </c>
      <c r="N81" s="3">
        <v>0</v>
      </c>
      <c r="O81" s="3">
        <v>215.07159999999999</v>
      </c>
      <c r="P81" s="3">
        <v>128.12780000000001</v>
      </c>
      <c r="Q81" s="3">
        <v>120.2341</v>
      </c>
      <c r="R81" s="3">
        <v>44.188099999999999</v>
      </c>
      <c r="S81" s="3">
        <v>36.454000000000001</v>
      </c>
      <c r="T81" s="3">
        <v>74.0291</v>
      </c>
      <c r="U81" s="3">
        <v>24.707899999999999</v>
      </c>
      <c r="V81" s="3">
        <v>10298.3446</v>
      </c>
      <c r="W81" s="3">
        <v>246.19900000000001</v>
      </c>
      <c r="X81" s="3">
        <v>0</v>
      </c>
      <c r="Y81" s="3">
        <v>0</v>
      </c>
      <c r="Z81" s="3">
        <v>2194.4652999999998</v>
      </c>
      <c r="AA81" s="3">
        <v>16704.296699999999</v>
      </c>
    </row>
    <row r="82" spans="1:27" x14ac:dyDescent="0.2">
      <c r="A82" s="3" t="s">
        <v>10</v>
      </c>
      <c r="B82" s="3">
        <v>0.16669999999999999</v>
      </c>
      <c r="C82" s="3">
        <v>867.76530000000002</v>
      </c>
      <c r="D82" s="3">
        <v>157.87559999999999</v>
      </c>
      <c r="E82" s="3">
        <v>68.895399999999995</v>
      </c>
      <c r="F82" s="3">
        <v>4343.3078999999998</v>
      </c>
      <c r="G82" s="3">
        <v>258.56180000000001</v>
      </c>
      <c r="H82" s="3">
        <v>1184.2357999999999</v>
      </c>
      <c r="I82" s="3">
        <v>54.68</v>
      </c>
      <c r="J82" s="3">
        <v>69.997799999999998</v>
      </c>
      <c r="K82" s="3">
        <v>43218.725200000001</v>
      </c>
      <c r="L82" s="3">
        <v>5884.2430999999997</v>
      </c>
      <c r="M82" s="3">
        <v>316.90660000000003</v>
      </c>
      <c r="N82" s="3">
        <v>0</v>
      </c>
      <c r="O82" s="3">
        <v>2931.9465</v>
      </c>
      <c r="P82" s="3">
        <v>305.31400000000002</v>
      </c>
      <c r="Q82" s="3">
        <v>3170.9571000000001</v>
      </c>
      <c r="R82" s="3">
        <v>492.40780000000001</v>
      </c>
      <c r="S82" s="3">
        <v>697.89449999999999</v>
      </c>
      <c r="T82" s="3">
        <v>223.3972</v>
      </c>
      <c r="U82" s="3">
        <v>157.46770000000001</v>
      </c>
      <c r="V82" s="3">
        <v>5095.1333999999997</v>
      </c>
      <c r="W82" s="3">
        <v>4.9340000000000002</v>
      </c>
      <c r="X82" s="3">
        <v>8081.1943000000001</v>
      </c>
      <c r="Y82" s="3">
        <v>0</v>
      </c>
      <c r="Z82" s="3">
        <v>102448.5772</v>
      </c>
      <c r="AA82" s="3">
        <v>180034.5852</v>
      </c>
    </row>
    <row r="83" spans="1:27" x14ac:dyDescent="0.2">
      <c r="A83" s="3" t="s">
        <v>11</v>
      </c>
      <c r="B83" s="3">
        <v>3.6999</v>
      </c>
      <c r="C83" s="3">
        <v>2579.3714</v>
      </c>
      <c r="D83" s="3">
        <v>329.02600000000001</v>
      </c>
      <c r="E83" s="3">
        <v>566.6703</v>
      </c>
      <c r="F83" s="3">
        <v>6995.4498000000003</v>
      </c>
      <c r="G83" s="3">
        <v>561.45119999999997</v>
      </c>
      <c r="H83" s="3">
        <v>1694.7491</v>
      </c>
      <c r="I83" s="3">
        <v>155.34530000000001</v>
      </c>
      <c r="J83" s="3">
        <v>161.83320000000001</v>
      </c>
      <c r="K83" s="3">
        <v>1782.4471000000001</v>
      </c>
      <c r="L83" s="3">
        <v>26382.1446</v>
      </c>
      <c r="M83" s="3">
        <v>4941.4210999999996</v>
      </c>
      <c r="N83" s="3">
        <v>638.41650000000004</v>
      </c>
      <c r="O83" s="3">
        <v>1087.8007</v>
      </c>
      <c r="P83" s="3">
        <v>520.86879999999996</v>
      </c>
      <c r="Q83" s="3">
        <v>6314.6881999999996</v>
      </c>
      <c r="R83" s="3">
        <v>156.8443</v>
      </c>
      <c r="S83" s="3">
        <v>288.69540000000001</v>
      </c>
      <c r="T83" s="3">
        <v>129.8047</v>
      </c>
      <c r="U83" s="3">
        <v>100.1872</v>
      </c>
      <c r="V83" s="3">
        <v>27856.7749</v>
      </c>
      <c r="W83" s="3">
        <v>484.90899999999999</v>
      </c>
      <c r="X83" s="3">
        <v>0</v>
      </c>
      <c r="Y83" s="3">
        <v>0</v>
      </c>
      <c r="Z83" s="3">
        <v>74474.640599999999</v>
      </c>
      <c r="AA83" s="3">
        <v>158207.23920000001</v>
      </c>
    </row>
    <row r="84" spans="1:27" x14ac:dyDescent="0.2">
      <c r="A84" s="3" t="s">
        <v>12</v>
      </c>
      <c r="B84" s="3">
        <v>0.17030000000000001</v>
      </c>
      <c r="C84" s="3">
        <v>1492.41</v>
      </c>
      <c r="D84" s="3">
        <v>203.88919999999999</v>
      </c>
      <c r="E84" s="3">
        <v>421.44049999999999</v>
      </c>
      <c r="F84" s="3">
        <v>4980.7816999999995</v>
      </c>
      <c r="G84" s="3">
        <v>3192.232</v>
      </c>
      <c r="H84" s="3">
        <v>1097.0569</v>
      </c>
      <c r="I84" s="3">
        <v>410.56630000000001</v>
      </c>
      <c r="J84" s="3">
        <v>1867.8315</v>
      </c>
      <c r="K84" s="3">
        <v>3231.2831000000001</v>
      </c>
      <c r="L84" s="3">
        <v>3155.5898999999999</v>
      </c>
      <c r="M84" s="3">
        <v>1899.5958000000001</v>
      </c>
      <c r="N84" s="3">
        <v>0</v>
      </c>
      <c r="O84" s="3">
        <v>2099.4047999999998</v>
      </c>
      <c r="P84" s="3">
        <v>668.72720000000004</v>
      </c>
      <c r="Q84" s="3">
        <v>827.83199999999999</v>
      </c>
      <c r="R84" s="3">
        <v>560.3066</v>
      </c>
      <c r="S84" s="3">
        <v>945.68119999999999</v>
      </c>
      <c r="T84" s="3">
        <v>350.1</v>
      </c>
      <c r="U84" s="3">
        <v>746.06579999999997</v>
      </c>
      <c r="V84" s="3">
        <v>2723.6889000000001</v>
      </c>
      <c r="W84" s="3">
        <v>101.745</v>
      </c>
      <c r="X84" s="3">
        <v>11911.5859</v>
      </c>
      <c r="Y84" s="3">
        <v>0</v>
      </c>
      <c r="Z84" s="3">
        <v>246.5445</v>
      </c>
      <c r="AA84" s="3">
        <v>43134.529199999997</v>
      </c>
    </row>
    <row r="85" spans="1:27" x14ac:dyDescent="0.2">
      <c r="A85" s="3" t="s">
        <v>13</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24241.766800000001</v>
      </c>
      <c r="W85" s="3">
        <v>0</v>
      </c>
      <c r="X85" s="3">
        <v>0</v>
      </c>
      <c r="Y85" s="3">
        <v>0</v>
      </c>
      <c r="Z85" s="3">
        <v>503.63319999999999</v>
      </c>
      <c r="AA85" s="3">
        <v>24745.4</v>
      </c>
    </row>
    <row r="86" spans="1:27" x14ac:dyDescent="0.2">
      <c r="A86" s="3" t="s">
        <v>14</v>
      </c>
      <c r="B86" s="3">
        <v>7.1245000000000003</v>
      </c>
      <c r="C86" s="3">
        <v>4872.1374999999998</v>
      </c>
      <c r="D86" s="3">
        <v>273.6585</v>
      </c>
      <c r="E86" s="3">
        <v>925.44730000000004</v>
      </c>
      <c r="F86" s="3">
        <v>13151.8714</v>
      </c>
      <c r="G86" s="3">
        <v>773.38440000000003</v>
      </c>
      <c r="H86" s="3">
        <v>2717.2613999999999</v>
      </c>
      <c r="I86" s="3">
        <v>453.00670000000002</v>
      </c>
      <c r="J86" s="3">
        <v>333.57569999999998</v>
      </c>
      <c r="K86" s="3">
        <v>10381.8676</v>
      </c>
      <c r="L86" s="3">
        <v>6410.2983000000004</v>
      </c>
      <c r="M86" s="3">
        <v>3729.6653999999999</v>
      </c>
      <c r="N86" s="3">
        <v>426.70569999999998</v>
      </c>
      <c r="O86" s="3">
        <v>6435.4883</v>
      </c>
      <c r="P86" s="3">
        <v>1355.3090999999999</v>
      </c>
      <c r="Q86" s="3">
        <v>2234.9160000000002</v>
      </c>
      <c r="R86" s="3">
        <v>659.25930000000005</v>
      </c>
      <c r="S86" s="3">
        <v>640.0444</v>
      </c>
      <c r="T86" s="3">
        <v>428.54520000000002</v>
      </c>
      <c r="U86" s="3">
        <v>398.32749999999999</v>
      </c>
      <c r="V86" s="3">
        <v>927.82719999999995</v>
      </c>
      <c r="W86" s="3">
        <v>1673.6189999999999</v>
      </c>
      <c r="X86" s="3">
        <v>9338.9935999999998</v>
      </c>
      <c r="Y86" s="3">
        <v>0</v>
      </c>
      <c r="Z86" s="3">
        <v>35304.759100000003</v>
      </c>
      <c r="AA86" s="3">
        <v>103853.0932</v>
      </c>
    </row>
    <row r="87" spans="1:27" x14ac:dyDescent="0.2">
      <c r="A87" s="3" t="s">
        <v>15</v>
      </c>
      <c r="B87" s="3">
        <v>0.1915</v>
      </c>
      <c r="C87" s="3">
        <v>3071.6887999999999</v>
      </c>
      <c r="D87" s="3">
        <v>397.64960000000002</v>
      </c>
      <c r="E87" s="3">
        <v>837.35860000000002</v>
      </c>
      <c r="F87" s="3">
        <v>5727.0550000000003</v>
      </c>
      <c r="G87" s="3">
        <v>424.0829</v>
      </c>
      <c r="H87" s="3">
        <v>4354.2043999999996</v>
      </c>
      <c r="I87" s="3">
        <v>144.96719999999999</v>
      </c>
      <c r="J87" s="3">
        <v>214.5265</v>
      </c>
      <c r="K87" s="3">
        <v>4434.6124</v>
      </c>
      <c r="L87" s="3">
        <v>1926.3139000000001</v>
      </c>
      <c r="M87" s="3">
        <v>2800.3445999999999</v>
      </c>
      <c r="N87" s="3">
        <v>495.62189999999998</v>
      </c>
      <c r="O87" s="3">
        <v>1150.0630000000001</v>
      </c>
      <c r="P87" s="3">
        <v>2857.7392</v>
      </c>
      <c r="Q87" s="3">
        <v>1470.5654</v>
      </c>
      <c r="R87" s="3">
        <v>409.57690000000002</v>
      </c>
      <c r="S87" s="3">
        <v>968.42290000000003</v>
      </c>
      <c r="T87" s="3">
        <v>284.2337</v>
      </c>
      <c r="U87" s="3">
        <v>184.16149999999999</v>
      </c>
      <c r="V87" s="3">
        <v>652.04129999999998</v>
      </c>
      <c r="W87" s="3">
        <v>29.896000000000001</v>
      </c>
      <c r="X87" s="3">
        <v>0</v>
      </c>
      <c r="Y87" s="3">
        <v>0</v>
      </c>
      <c r="Z87" s="3">
        <v>12036.1065</v>
      </c>
      <c r="AA87" s="3">
        <v>44871.423600000002</v>
      </c>
    </row>
    <row r="88" spans="1:27" x14ac:dyDescent="0.2">
      <c r="A88" s="3" t="s">
        <v>16</v>
      </c>
      <c r="B88" s="3">
        <v>1.2999999999999999E-3</v>
      </c>
      <c r="C88" s="3">
        <v>13.471299999999999</v>
      </c>
      <c r="D88" s="3">
        <v>7.3670999999999998</v>
      </c>
      <c r="E88" s="3">
        <v>83.344099999999997</v>
      </c>
      <c r="F88" s="3">
        <v>469.69970000000001</v>
      </c>
      <c r="G88" s="3">
        <v>51.353700000000003</v>
      </c>
      <c r="H88" s="3">
        <v>79.375600000000006</v>
      </c>
      <c r="I88" s="3">
        <v>11.0792</v>
      </c>
      <c r="J88" s="3">
        <v>7.4748000000000001</v>
      </c>
      <c r="K88" s="3">
        <v>268.82389999999998</v>
      </c>
      <c r="L88" s="3">
        <v>239.2765</v>
      </c>
      <c r="M88" s="3">
        <v>318.81169999999997</v>
      </c>
      <c r="N88" s="3">
        <v>0</v>
      </c>
      <c r="O88" s="3">
        <v>217.17920000000001</v>
      </c>
      <c r="P88" s="3">
        <v>19.6248</v>
      </c>
      <c r="Q88" s="3">
        <v>804.66060000000004</v>
      </c>
      <c r="R88" s="3">
        <v>2.0061</v>
      </c>
      <c r="S88" s="3">
        <v>6.2061000000000002</v>
      </c>
      <c r="T88" s="3">
        <v>69.405600000000007</v>
      </c>
      <c r="U88" s="3">
        <v>8.6630000000000003</v>
      </c>
      <c r="V88" s="3">
        <v>366.57839999999999</v>
      </c>
      <c r="W88" s="3">
        <v>40244.519</v>
      </c>
      <c r="X88" s="3">
        <v>0</v>
      </c>
      <c r="Y88" s="3">
        <v>0</v>
      </c>
      <c r="Z88" s="3">
        <v>4.0830000000000002</v>
      </c>
      <c r="AA88" s="3">
        <v>43293.004500000003</v>
      </c>
    </row>
    <row r="89" spans="1:27" x14ac:dyDescent="0.2">
      <c r="A89" s="3" t="s">
        <v>17</v>
      </c>
      <c r="B89" s="3">
        <v>1.0800000000000001E-2</v>
      </c>
      <c r="C89" s="3">
        <v>29.482099999999999</v>
      </c>
      <c r="D89" s="3">
        <v>2.4420999999999999</v>
      </c>
      <c r="E89" s="3">
        <v>2.4704000000000002</v>
      </c>
      <c r="F89" s="3">
        <v>46.277900000000002</v>
      </c>
      <c r="G89" s="3">
        <v>4.7831000000000001</v>
      </c>
      <c r="H89" s="3">
        <v>48.771999999999998</v>
      </c>
      <c r="I89" s="3">
        <v>9.3573000000000004</v>
      </c>
      <c r="J89" s="3">
        <v>6.7991999999999999</v>
      </c>
      <c r="K89" s="3">
        <v>105.319</v>
      </c>
      <c r="L89" s="3">
        <v>49.026299999999999</v>
      </c>
      <c r="M89" s="3">
        <v>9.6379000000000001</v>
      </c>
      <c r="N89" s="3">
        <v>0</v>
      </c>
      <c r="O89" s="3">
        <v>37.460999999999999</v>
      </c>
      <c r="P89" s="3">
        <v>14.531000000000001</v>
      </c>
      <c r="Q89" s="3">
        <v>259.50799999999998</v>
      </c>
      <c r="R89" s="3">
        <v>455.03100000000001</v>
      </c>
      <c r="S89" s="3">
        <v>19.322800000000001</v>
      </c>
      <c r="T89" s="3">
        <v>6.2839</v>
      </c>
      <c r="U89" s="3">
        <v>7.0831999999999997</v>
      </c>
      <c r="V89" s="3">
        <v>7035.1688999999997</v>
      </c>
      <c r="W89" s="3">
        <v>9864.8708999999999</v>
      </c>
      <c r="X89" s="3">
        <v>0</v>
      </c>
      <c r="Y89" s="3">
        <v>0</v>
      </c>
      <c r="Z89" s="3">
        <v>2505.7217000000001</v>
      </c>
      <c r="AA89" s="3">
        <v>20519.360499999999</v>
      </c>
    </row>
    <row r="90" spans="1:27" x14ac:dyDescent="0.2">
      <c r="A90" s="3" t="s">
        <v>18</v>
      </c>
      <c r="B90" s="3">
        <v>1.61E-2</v>
      </c>
      <c r="C90" s="3">
        <v>0</v>
      </c>
      <c r="D90" s="3">
        <v>3.6522000000000001</v>
      </c>
      <c r="E90" s="3">
        <v>6.3693999999999997</v>
      </c>
      <c r="F90" s="3">
        <v>37.0396</v>
      </c>
      <c r="G90" s="3">
        <v>0</v>
      </c>
      <c r="H90" s="3">
        <v>53.029000000000003</v>
      </c>
      <c r="I90" s="3">
        <v>1.4432</v>
      </c>
      <c r="J90" s="3">
        <v>3.3483000000000001</v>
      </c>
      <c r="K90" s="3">
        <v>28.774999999999999</v>
      </c>
      <c r="L90" s="3">
        <v>53.022100000000002</v>
      </c>
      <c r="M90" s="3">
        <v>8.0048999999999992</v>
      </c>
      <c r="N90" s="3">
        <v>0</v>
      </c>
      <c r="O90" s="3">
        <v>391.80849999999998</v>
      </c>
      <c r="P90" s="3">
        <v>52.8322</v>
      </c>
      <c r="Q90" s="3">
        <v>400.68689999999998</v>
      </c>
      <c r="R90" s="3">
        <v>18.253900000000002</v>
      </c>
      <c r="S90" s="3">
        <v>3070.3881000000001</v>
      </c>
      <c r="T90" s="3">
        <v>275.1506</v>
      </c>
      <c r="U90" s="3">
        <v>54.090699999999998</v>
      </c>
      <c r="V90" s="3">
        <v>12899.014499999999</v>
      </c>
      <c r="W90" s="3">
        <v>9823.6280000000006</v>
      </c>
      <c r="X90" s="3">
        <v>0</v>
      </c>
      <c r="Y90" s="3">
        <v>0</v>
      </c>
      <c r="Z90" s="3">
        <v>610.93349999999998</v>
      </c>
      <c r="AA90" s="3">
        <v>27791.4866</v>
      </c>
    </row>
    <row r="91" spans="1:27" x14ac:dyDescent="0.2">
      <c r="A91" s="3" t="s">
        <v>19</v>
      </c>
      <c r="B91" s="3">
        <v>0</v>
      </c>
      <c r="C91" s="3">
        <v>8.8142999999999994</v>
      </c>
      <c r="D91" s="3">
        <v>1.6968000000000001</v>
      </c>
      <c r="E91" s="3">
        <v>61.872199999999999</v>
      </c>
      <c r="F91" s="3">
        <v>89.253100000000003</v>
      </c>
      <c r="G91" s="3">
        <v>37.925699999999999</v>
      </c>
      <c r="H91" s="3">
        <v>46.399299999999997</v>
      </c>
      <c r="I91" s="3">
        <v>6.2027000000000001</v>
      </c>
      <c r="J91" s="3">
        <v>3.6623000000000001</v>
      </c>
      <c r="K91" s="3">
        <v>191.70650000000001</v>
      </c>
      <c r="L91" s="3">
        <v>317.94119999999998</v>
      </c>
      <c r="M91" s="3">
        <v>11.5433</v>
      </c>
      <c r="N91" s="3">
        <v>0</v>
      </c>
      <c r="O91" s="3">
        <v>65.656400000000005</v>
      </c>
      <c r="P91" s="3">
        <v>54.461799999999997</v>
      </c>
      <c r="Q91" s="3">
        <v>18.861599999999999</v>
      </c>
      <c r="R91" s="3">
        <v>213.47370000000001</v>
      </c>
      <c r="S91" s="3">
        <v>17.105799999999999</v>
      </c>
      <c r="T91" s="3">
        <v>312.87959999999998</v>
      </c>
      <c r="U91" s="3">
        <v>18.4373</v>
      </c>
      <c r="V91" s="3">
        <v>3489.0297</v>
      </c>
      <c r="W91" s="3">
        <v>1227.942</v>
      </c>
      <c r="X91" s="3">
        <v>0</v>
      </c>
      <c r="Y91" s="3">
        <v>0</v>
      </c>
      <c r="Z91" s="3">
        <v>2377.2473</v>
      </c>
      <c r="AA91" s="3">
        <v>8572.1128000000008</v>
      </c>
    </row>
    <row r="92" spans="1:27" x14ac:dyDescent="0.2">
      <c r="A92" s="3" t="s">
        <v>20</v>
      </c>
      <c r="B92" s="3">
        <v>6.9400000000000003E-2</v>
      </c>
      <c r="C92" s="3">
        <v>98.421099999999996</v>
      </c>
      <c r="D92" s="3">
        <v>25.689900000000002</v>
      </c>
      <c r="E92" s="3">
        <v>61.040300000000002</v>
      </c>
      <c r="F92" s="3">
        <v>148.47479999999999</v>
      </c>
      <c r="G92" s="3">
        <v>30.1204</v>
      </c>
      <c r="H92" s="3">
        <v>303.69990000000001</v>
      </c>
      <c r="I92" s="3">
        <v>70.9846</v>
      </c>
      <c r="J92" s="3">
        <v>10.2621</v>
      </c>
      <c r="K92" s="3">
        <v>301.56479999999999</v>
      </c>
      <c r="L92" s="3">
        <v>213.17099999999999</v>
      </c>
      <c r="M92" s="3">
        <v>59.069099999999999</v>
      </c>
      <c r="N92" s="3">
        <v>76.467100000000002</v>
      </c>
      <c r="O92" s="3">
        <v>129.68289999999999</v>
      </c>
      <c r="P92" s="3">
        <v>115.8844</v>
      </c>
      <c r="Q92" s="3">
        <v>329.09179999999998</v>
      </c>
      <c r="R92" s="3">
        <v>164.16540000000001</v>
      </c>
      <c r="S92" s="3">
        <v>179.31549999999999</v>
      </c>
      <c r="T92" s="3">
        <v>159.7715</v>
      </c>
      <c r="U92" s="3">
        <v>105.9037</v>
      </c>
      <c r="V92" s="3">
        <v>7941.1172999999999</v>
      </c>
      <c r="W92" s="3">
        <v>24.094999999999999</v>
      </c>
      <c r="X92" s="3">
        <v>0</v>
      </c>
      <c r="Y92" s="3">
        <v>0</v>
      </c>
      <c r="Z92" s="3">
        <v>139.673</v>
      </c>
      <c r="AA92" s="3">
        <v>10687.7351</v>
      </c>
    </row>
    <row r="93" spans="1:27" x14ac:dyDescent="0.2">
      <c r="A93" s="15" t="s">
        <v>21</v>
      </c>
      <c r="B93" s="15">
        <v>270.0788</v>
      </c>
      <c r="C93" s="15">
        <v>221440.52179999999</v>
      </c>
      <c r="D93" s="15">
        <v>9260.5838000000003</v>
      </c>
      <c r="E93" s="15">
        <v>13127.0746</v>
      </c>
      <c r="F93" s="15">
        <v>101411.4317</v>
      </c>
      <c r="G93" s="15">
        <v>1299.8157000000001</v>
      </c>
      <c r="H93" s="15">
        <v>116756.60890000001</v>
      </c>
      <c r="I93" s="15">
        <v>643.04909999999995</v>
      </c>
      <c r="J93" s="15">
        <v>3208.2932999999998</v>
      </c>
      <c r="K93" s="15">
        <v>69020.604900000006</v>
      </c>
      <c r="L93" s="15">
        <v>39786.058599999997</v>
      </c>
      <c r="M93" s="15">
        <v>919.5181</v>
      </c>
      <c r="N93" s="15">
        <v>0</v>
      </c>
      <c r="O93" s="15">
        <v>19896.1577</v>
      </c>
      <c r="P93" s="15">
        <v>3656.8607000000002</v>
      </c>
      <c r="Q93" s="15">
        <v>8479.5817999999999</v>
      </c>
      <c r="R93" s="15">
        <v>1459.4719</v>
      </c>
      <c r="S93" s="15">
        <v>2790.0219000000002</v>
      </c>
      <c r="T93" s="15">
        <v>682.12099999999998</v>
      </c>
      <c r="U93" s="15">
        <v>1122.1242999999999</v>
      </c>
      <c r="V93" s="15">
        <v>38879.940399999999</v>
      </c>
      <c r="W93" s="15">
        <v>0</v>
      </c>
      <c r="X93" s="15">
        <v>51819.945299999999</v>
      </c>
      <c r="Y93" s="15">
        <v>7334.8778000000002</v>
      </c>
      <c r="Z93" s="15">
        <v>332876.68609999999</v>
      </c>
      <c r="AA93" s="15">
        <v>1046141.4282</v>
      </c>
    </row>
    <row r="94" spans="1:27" x14ac:dyDescent="0.2">
      <c r="A94" s="16" t="s">
        <v>22</v>
      </c>
      <c r="B94" s="16">
        <v>2.7355</v>
      </c>
      <c r="C94" s="16">
        <v>182.24189999999999</v>
      </c>
      <c r="D94" s="16">
        <v>215.0515</v>
      </c>
      <c r="E94" s="16">
        <v>34.3005</v>
      </c>
      <c r="F94" s="16">
        <v>112.8329</v>
      </c>
      <c r="G94" s="16">
        <v>22.488199999999999</v>
      </c>
      <c r="H94" s="16">
        <v>503.91750000000002</v>
      </c>
      <c r="I94" s="16">
        <v>24.4313</v>
      </c>
      <c r="J94" s="16">
        <v>402.78149999999999</v>
      </c>
      <c r="K94" s="16">
        <v>817.32119999999998</v>
      </c>
      <c r="L94" s="16">
        <v>1617.6438000000001</v>
      </c>
      <c r="M94" s="16">
        <v>396.04160000000002</v>
      </c>
      <c r="N94" s="16">
        <v>0</v>
      </c>
      <c r="O94" s="16">
        <v>164.0402</v>
      </c>
      <c r="P94" s="16">
        <v>30.628900000000002</v>
      </c>
      <c r="Q94" s="16">
        <v>212.4314</v>
      </c>
      <c r="R94" s="16">
        <v>144.44630000000001</v>
      </c>
      <c r="S94" s="16">
        <v>810.92460000000005</v>
      </c>
      <c r="T94" s="16">
        <v>109.37860000000001</v>
      </c>
      <c r="U94" s="16">
        <v>33.206800000000001</v>
      </c>
      <c r="V94" s="16">
        <v>17704.1129</v>
      </c>
      <c r="W94" s="16">
        <v>0</v>
      </c>
      <c r="X94" s="16">
        <v>8263.7428999999993</v>
      </c>
      <c r="Y94" s="16">
        <v>0</v>
      </c>
      <c r="Z94" s="16">
        <v>0</v>
      </c>
      <c r="AA94" s="16">
        <v>31804.7</v>
      </c>
    </row>
    <row r="95" spans="1:27" x14ac:dyDescent="0.2">
      <c r="A95" s="7" t="s">
        <v>23</v>
      </c>
      <c r="B95" s="7">
        <v>86.7</v>
      </c>
      <c r="C95" s="7">
        <v>28875.404900000001</v>
      </c>
      <c r="D95" s="7">
        <v>1862.0463999999999</v>
      </c>
      <c r="E95" s="7">
        <v>14884.0851</v>
      </c>
      <c r="F95" s="7">
        <v>26128.797699999999</v>
      </c>
      <c r="G95" s="7">
        <v>5168.4458999999997</v>
      </c>
      <c r="H95" s="7">
        <v>15083.0191</v>
      </c>
      <c r="I95" s="7">
        <v>1620.6025999999999</v>
      </c>
      <c r="J95" s="7">
        <v>3824.9321</v>
      </c>
      <c r="K95" s="7">
        <v>23450.095000000001</v>
      </c>
      <c r="L95" s="7">
        <v>34374.253900000003</v>
      </c>
      <c r="M95" s="7">
        <v>3492.3346000000001</v>
      </c>
      <c r="N95" s="7">
        <v>0</v>
      </c>
      <c r="O95" s="7">
        <v>26688.5085</v>
      </c>
      <c r="P95" s="7">
        <v>9623.9709999999995</v>
      </c>
      <c r="Q95" s="7">
        <v>14524.275100000001</v>
      </c>
      <c r="R95" s="7">
        <v>12878.346799999999</v>
      </c>
      <c r="S95" s="7">
        <v>13655.9414</v>
      </c>
      <c r="T95" s="7">
        <v>2367.5585999999998</v>
      </c>
      <c r="U95" s="7">
        <v>5624.6018000000004</v>
      </c>
      <c r="V95" s="7">
        <v>0</v>
      </c>
      <c r="W95" s="7">
        <v>0</v>
      </c>
      <c r="X95" s="7">
        <v>0</v>
      </c>
      <c r="Y95" s="7">
        <v>0</v>
      </c>
      <c r="Z95" s="7">
        <v>0</v>
      </c>
      <c r="AA95" s="7">
        <v>244213.9203</v>
      </c>
    </row>
    <row r="96" spans="1:27" x14ac:dyDescent="0.2">
      <c r="A96" s="7" t="s">
        <v>24</v>
      </c>
      <c r="B96" s="7">
        <v>6.4</v>
      </c>
      <c r="C96" s="7">
        <v>859.5</v>
      </c>
      <c r="D96" s="7">
        <v>270.7</v>
      </c>
      <c r="E96" s="7">
        <v>1728.8</v>
      </c>
      <c r="F96" s="7">
        <v>-91.1</v>
      </c>
      <c r="G96" s="7">
        <v>-64.099999999999994</v>
      </c>
      <c r="H96" s="7">
        <v>412.4</v>
      </c>
      <c r="I96" s="7">
        <v>81.900000000000006</v>
      </c>
      <c r="J96" s="7">
        <v>-221.3</v>
      </c>
      <c r="K96" s="7">
        <v>-57.3</v>
      </c>
      <c r="L96" s="7">
        <v>-99</v>
      </c>
      <c r="M96" s="7">
        <v>1781.9</v>
      </c>
      <c r="N96" s="7">
        <v>1128.9000000000001</v>
      </c>
      <c r="O96" s="7">
        <v>-394.6</v>
      </c>
      <c r="P96" s="7">
        <v>-145.4</v>
      </c>
      <c r="Q96" s="7">
        <v>24.3</v>
      </c>
      <c r="R96" s="7">
        <v>-119.7</v>
      </c>
      <c r="S96" s="7">
        <v>-66.099999999999994</v>
      </c>
      <c r="T96" s="7">
        <v>165.7</v>
      </c>
      <c r="U96" s="7">
        <v>331.4</v>
      </c>
      <c r="V96" s="7">
        <v>0</v>
      </c>
      <c r="W96" s="7">
        <v>0</v>
      </c>
      <c r="X96" s="7">
        <v>0</v>
      </c>
      <c r="Y96" s="7">
        <v>0</v>
      </c>
      <c r="Z96" s="7">
        <v>0</v>
      </c>
      <c r="AA96" s="7">
        <v>5533.3</v>
      </c>
    </row>
    <row r="97" spans="1:38" x14ac:dyDescent="0.2">
      <c r="A97" s="7" t="s">
        <v>25</v>
      </c>
      <c r="B97" s="7">
        <v>90.525199999999998</v>
      </c>
      <c r="C97" s="7">
        <v>108658.2637</v>
      </c>
      <c r="D97" s="7">
        <v>6044.2293</v>
      </c>
      <c r="E97" s="7">
        <v>4607.6813000000002</v>
      </c>
      <c r="F97" s="7">
        <v>115761.836</v>
      </c>
      <c r="G97" s="7">
        <v>2850.8198000000002</v>
      </c>
      <c r="H97" s="7">
        <v>65383.8289</v>
      </c>
      <c r="I97" s="7">
        <v>1952.9903999999999</v>
      </c>
      <c r="J97" s="7">
        <v>1227.3981000000001</v>
      </c>
      <c r="K97" s="7">
        <v>10610.683300000001</v>
      </c>
      <c r="L97" s="7">
        <v>46466.165000000001</v>
      </c>
      <c r="M97" s="7">
        <v>13428.9259</v>
      </c>
      <c r="N97" s="7">
        <v>19370.400000000001</v>
      </c>
      <c r="O97" s="7">
        <v>7362.4804999999997</v>
      </c>
      <c r="P97" s="7">
        <v>8967.1802000000007</v>
      </c>
      <c r="Q97" s="7">
        <v>672.77160000000003</v>
      </c>
      <c r="R97" s="7">
        <v>2857.6432</v>
      </c>
      <c r="S97" s="7">
        <v>1357.2032999999999</v>
      </c>
      <c r="T97" s="7">
        <v>2246.2802000000001</v>
      </c>
      <c r="U97" s="7">
        <v>296.84640000000002</v>
      </c>
      <c r="V97" s="7">
        <v>0</v>
      </c>
      <c r="W97" s="7">
        <v>0</v>
      </c>
      <c r="X97" s="7">
        <v>0</v>
      </c>
      <c r="Y97" s="7">
        <v>0</v>
      </c>
      <c r="Z97" s="7">
        <v>0</v>
      </c>
      <c r="AA97" s="7">
        <v>420214.15240000002</v>
      </c>
    </row>
    <row r="98" spans="1:38" x14ac:dyDescent="0.2">
      <c r="A98" s="7" t="s">
        <v>49</v>
      </c>
      <c r="B98" s="7">
        <v>741.99860000000001</v>
      </c>
      <c r="C98" s="7">
        <v>476617.81</v>
      </c>
      <c r="D98" s="7">
        <v>23877.1011</v>
      </c>
      <c r="E98" s="7">
        <v>71085.050199999998</v>
      </c>
      <c r="F98" s="7">
        <v>316027.3591</v>
      </c>
      <c r="G98" s="7">
        <v>16798.331999999999</v>
      </c>
      <c r="H98" s="7">
        <v>320144.78480000002</v>
      </c>
      <c r="I98" s="7">
        <v>6537.4173000000001</v>
      </c>
      <c r="J98" s="7">
        <v>14810.2091</v>
      </c>
      <c r="K98" s="7">
        <v>182675.8057</v>
      </c>
      <c r="L98" s="7">
        <v>169696.6379</v>
      </c>
      <c r="M98" s="7">
        <v>38956.7094</v>
      </c>
      <c r="N98" s="7">
        <v>24745.4</v>
      </c>
      <c r="O98" s="7">
        <v>77860.909499999994</v>
      </c>
      <c r="P98" s="7">
        <v>30222.066200000001</v>
      </c>
      <c r="Q98" s="7">
        <v>47288.989800000003</v>
      </c>
      <c r="R98" s="7">
        <v>21929.160500000002</v>
      </c>
      <c r="S98" s="7">
        <v>28406.133399999999</v>
      </c>
      <c r="T98" s="7">
        <v>8630.9861000000001</v>
      </c>
      <c r="U98" s="7">
        <v>10159.1993</v>
      </c>
      <c r="V98" s="7">
        <v>198297.34210000001</v>
      </c>
      <c r="W98" s="7">
        <v>64865.605900000002</v>
      </c>
      <c r="X98" s="7">
        <v>145705.95060000001</v>
      </c>
      <c r="Y98" s="7">
        <v>10241.200000000001</v>
      </c>
      <c r="Z98" s="7">
        <v>1328797.4021999999</v>
      </c>
      <c r="AA98" s="7">
        <v>3635119.5606999998</v>
      </c>
    </row>
    <row r="102" spans="1:38" x14ac:dyDescent="0.2">
      <c r="E102" t="s">
        <v>67</v>
      </c>
    </row>
    <row r="104" spans="1:38" ht="19" x14ac:dyDescent="0.2">
      <c r="A104" s="23" t="s">
        <v>61</v>
      </c>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spans="1:38" ht="68" x14ac:dyDescent="0.2">
      <c r="A105" s="8" t="s">
        <v>64</v>
      </c>
      <c r="B105" s="8" t="s">
        <v>1</v>
      </c>
      <c r="C105" s="8" t="s">
        <v>2</v>
      </c>
      <c r="D105" s="8" t="s">
        <v>3</v>
      </c>
      <c r="E105" s="8" t="s">
        <v>4</v>
      </c>
      <c r="F105" s="8" t="s">
        <v>5</v>
      </c>
      <c r="G105" s="8" t="s">
        <v>6</v>
      </c>
      <c r="H105" s="8" t="s">
        <v>7</v>
      </c>
      <c r="I105" s="8" t="s">
        <v>8</v>
      </c>
      <c r="J105" s="8" t="s">
        <v>9</v>
      </c>
      <c r="K105" s="8" t="s">
        <v>10</v>
      </c>
      <c r="L105" s="8" t="s">
        <v>11</v>
      </c>
      <c r="M105" s="8" t="s">
        <v>12</v>
      </c>
      <c r="N105" s="8" t="s">
        <v>13</v>
      </c>
      <c r="O105" s="8" t="s">
        <v>14</v>
      </c>
      <c r="P105" s="8" t="s">
        <v>15</v>
      </c>
      <c r="Q105" s="8" t="s">
        <v>16</v>
      </c>
      <c r="R105" s="8" t="s">
        <v>17</v>
      </c>
      <c r="S105" s="8" t="s">
        <v>18</v>
      </c>
      <c r="T105" s="8" t="s">
        <v>19</v>
      </c>
      <c r="U105" s="8" t="s">
        <v>20</v>
      </c>
      <c r="V105" s="8" t="s">
        <v>40</v>
      </c>
      <c r="W105" s="8" t="s">
        <v>41</v>
      </c>
      <c r="X105" s="8" t="s">
        <v>42</v>
      </c>
      <c r="Y105" s="8" t="s">
        <v>43</v>
      </c>
      <c r="Z105" s="8" t="s">
        <v>62</v>
      </c>
      <c r="AA105" s="8" t="s">
        <v>49</v>
      </c>
    </row>
    <row r="106" spans="1:38" x14ac:dyDescent="0.2">
      <c r="A106" s="3" t="s">
        <v>1</v>
      </c>
      <c r="B106" s="3">
        <v>175.4145</v>
      </c>
      <c r="C106" s="3">
        <v>638.38739999999996</v>
      </c>
      <c r="D106" s="3">
        <v>34.832599999999999</v>
      </c>
      <c r="E106" s="3">
        <v>50.693399999999997</v>
      </c>
      <c r="F106" s="3">
        <v>0.21479999999999999</v>
      </c>
      <c r="G106" s="3">
        <v>0</v>
      </c>
      <c r="H106" s="3">
        <v>25.787600000000001</v>
      </c>
      <c r="I106" s="3">
        <v>116.72799999999999</v>
      </c>
      <c r="J106" s="3">
        <v>873.99310000000003</v>
      </c>
      <c r="K106" s="3">
        <v>1.0636000000000001</v>
      </c>
      <c r="L106" s="3">
        <v>7.6028000000000002</v>
      </c>
      <c r="M106" s="3">
        <v>0</v>
      </c>
      <c r="N106" s="3">
        <v>0</v>
      </c>
      <c r="O106" s="3">
        <v>2.7974999999999999</v>
      </c>
      <c r="P106" s="3">
        <v>54.327399999999997</v>
      </c>
      <c r="Q106" s="3">
        <v>6.1936</v>
      </c>
      <c r="R106" s="3">
        <v>1.9511000000000001</v>
      </c>
      <c r="S106" s="3">
        <v>10.599</v>
      </c>
      <c r="T106" s="3">
        <v>8.7410999999999994</v>
      </c>
      <c r="U106" s="3">
        <v>11.1416</v>
      </c>
      <c r="V106" s="3">
        <v>1498.4961000000001</v>
      </c>
      <c r="W106" s="3">
        <v>0</v>
      </c>
      <c r="X106" s="3">
        <v>103.95569999999999</v>
      </c>
      <c r="Y106" s="3">
        <v>588.59050000000002</v>
      </c>
      <c r="Z106" s="3">
        <v>505.36590000000001</v>
      </c>
      <c r="AA106" s="3">
        <v>4716.8773000000001</v>
      </c>
    </row>
    <row r="107" spans="1:38" x14ac:dyDescent="0.2">
      <c r="A107" s="3" t="s">
        <v>2</v>
      </c>
      <c r="B107" s="3">
        <v>88.706199999999995</v>
      </c>
      <c r="C107" s="3">
        <v>197485.95420000001</v>
      </c>
      <c r="D107" s="3">
        <v>647.47829999999999</v>
      </c>
      <c r="E107" s="3">
        <v>12348.977699999999</v>
      </c>
      <c r="F107" s="3">
        <v>5675.1468000000004</v>
      </c>
      <c r="G107" s="3">
        <v>989.26239999999996</v>
      </c>
      <c r="H107" s="3">
        <v>29799.499800000001</v>
      </c>
      <c r="I107" s="3">
        <v>463.02589999999998</v>
      </c>
      <c r="J107" s="3">
        <v>2182.8624</v>
      </c>
      <c r="K107" s="3">
        <v>7768.1646000000001</v>
      </c>
      <c r="L107" s="3">
        <v>653.04250000000002</v>
      </c>
      <c r="M107" s="3">
        <v>747.7885</v>
      </c>
      <c r="N107" s="3">
        <v>0</v>
      </c>
      <c r="O107" s="3">
        <v>8262.9696000000004</v>
      </c>
      <c r="P107" s="3">
        <v>1330.2090000000001</v>
      </c>
      <c r="Q107" s="3">
        <v>8129.1544000000004</v>
      </c>
      <c r="R107" s="3">
        <v>1057.7675999999999</v>
      </c>
      <c r="S107" s="3">
        <v>2666.8670999999999</v>
      </c>
      <c r="T107" s="3">
        <v>343.67660000000001</v>
      </c>
      <c r="U107" s="3">
        <v>1069.732</v>
      </c>
      <c r="V107" s="3">
        <v>22578.213800000001</v>
      </c>
      <c r="W107" s="3">
        <v>0</v>
      </c>
      <c r="X107" s="3">
        <v>23355.573499999999</v>
      </c>
      <c r="Y107" s="3">
        <v>6411.1423000000004</v>
      </c>
      <c r="Z107" s="3">
        <v>331981.78019999998</v>
      </c>
      <c r="AA107" s="3">
        <v>666036.99560000002</v>
      </c>
    </row>
    <row r="108" spans="1:38" x14ac:dyDescent="0.2">
      <c r="A108" s="3" t="s">
        <v>3</v>
      </c>
      <c r="B108" s="3">
        <v>4.6182999999999996</v>
      </c>
      <c r="C108" s="3">
        <v>1371.1193000000001</v>
      </c>
      <c r="D108" s="3">
        <v>8470.1155999999992</v>
      </c>
      <c r="E108" s="3">
        <v>14.032400000000001</v>
      </c>
      <c r="F108" s="3">
        <v>6.2864000000000004</v>
      </c>
      <c r="G108" s="3">
        <v>3.0552000000000001</v>
      </c>
      <c r="H108" s="3">
        <v>120.3122</v>
      </c>
      <c r="I108" s="3">
        <v>0</v>
      </c>
      <c r="J108" s="3">
        <v>0</v>
      </c>
      <c r="K108" s="3">
        <v>8.9999999999999993E-3</v>
      </c>
      <c r="L108" s="3">
        <v>0</v>
      </c>
      <c r="M108" s="3">
        <v>0</v>
      </c>
      <c r="N108" s="3">
        <v>0</v>
      </c>
      <c r="O108" s="3">
        <v>0.191</v>
      </c>
      <c r="P108" s="3">
        <v>0</v>
      </c>
      <c r="Q108" s="3">
        <v>39.873199999999997</v>
      </c>
      <c r="R108" s="3">
        <v>0</v>
      </c>
      <c r="S108" s="3">
        <v>0</v>
      </c>
      <c r="T108" s="3">
        <v>0</v>
      </c>
      <c r="U108" s="3">
        <v>0</v>
      </c>
      <c r="V108" s="3">
        <v>133.53870000000001</v>
      </c>
      <c r="W108" s="3">
        <v>0</v>
      </c>
      <c r="X108" s="3">
        <v>0</v>
      </c>
      <c r="Y108" s="3">
        <v>335.14510000000001</v>
      </c>
      <c r="Z108" s="3">
        <v>389.54</v>
      </c>
      <c r="AA108" s="3">
        <v>10887.836499999999</v>
      </c>
    </row>
    <row r="109" spans="1:38" x14ac:dyDescent="0.2">
      <c r="A109" s="3" t="s">
        <v>4</v>
      </c>
      <c r="B109" s="3">
        <v>0</v>
      </c>
      <c r="C109" s="3">
        <v>9.3106000000000009</v>
      </c>
      <c r="D109" s="3">
        <v>0</v>
      </c>
      <c r="E109" s="3">
        <v>151.6002</v>
      </c>
      <c r="F109" s="3">
        <v>0</v>
      </c>
      <c r="G109" s="3">
        <v>0</v>
      </c>
      <c r="H109" s="3">
        <v>0</v>
      </c>
      <c r="I109" s="3">
        <v>0</v>
      </c>
      <c r="J109" s="3">
        <v>0</v>
      </c>
      <c r="K109" s="3">
        <v>0</v>
      </c>
      <c r="L109" s="3">
        <v>0</v>
      </c>
      <c r="M109" s="3">
        <v>0</v>
      </c>
      <c r="N109" s="3">
        <v>0</v>
      </c>
      <c r="O109" s="3">
        <v>95.685699999999997</v>
      </c>
      <c r="P109" s="3">
        <v>0</v>
      </c>
      <c r="Q109" s="3">
        <v>1.2814000000000001</v>
      </c>
      <c r="R109" s="3">
        <v>0</v>
      </c>
      <c r="S109" s="3">
        <v>0</v>
      </c>
      <c r="T109" s="3">
        <v>0</v>
      </c>
      <c r="U109" s="3">
        <v>0</v>
      </c>
      <c r="V109" s="3">
        <v>0</v>
      </c>
      <c r="W109" s="3">
        <v>0</v>
      </c>
      <c r="X109" s="3">
        <v>1</v>
      </c>
      <c r="Y109" s="3">
        <v>0</v>
      </c>
      <c r="Z109" s="3">
        <v>0</v>
      </c>
      <c r="AA109" s="3">
        <v>258.8777</v>
      </c>
    </row>
    <row r="110" spans="1:38" x14ac:dyDescent="0.2">
      <c r="A110" s="3" t="s">
        <v>5</v>
      </c>
      <c r="B110" s="3">
        <v>0</v>
      </c>
      <c r="C110" s="3">
        <v>1453.9136000000001</v>
      </c>
      <c r="D110" s="3">
        <v>3.0000000000000001E-3</v>
      </c>
      <c r="E110" s="3">
        <v>0.39410000000000001</v>
      </c>
      <c r="F110" s="3">
        <v>1611.1591000000001</v>
      </c>
      <c r="G110" s="3">
        <v>15.443300000000001</v>
      </c>
      <c r="H110" s="3">
        <v>2.2639999999999998</v>
      </c>
      <c r="I110" s="3">
        <v>1.5471999999999999</v>
      </c>
      <c r="J110" s="3">
        <v>0</v>
      </c>
      <c r="K110" s="3">
        <v>902.46310000000005</v>
      </c>
      <c r="L110" s="3">
        <v>104.6893</v>
      </c>
      <c r="M110" s="3">
        <v>3.6200000000000003E-2</v>
      </c>
      <c r="N110" s="3">
        <v>0</v>
      </c>
      <c r="O110" s="3">
        <v>44.890500000000003</v>
      </c>
      <c r="P110" s="3">
        <v>9.1453000000000007</v>
      </c>
      <c r="Q110" s="3">
        <v>0</v>
      </c>
      <c r="R110" s="3">
        <v>3.7290000000000001</v>
      </c>
      <c r="S110" s="3">
        <v>1.123</v>
      </c>
      <c r="T110" s="3">
        <v>0</v>
      </c>
      <c r="U110" s="3">
        <v>5.0000000000000001E-3</v>
      </c>
      <c r="V110" s="3">
        <v>0</v>
      </c>
      <c r="W110" s="3">
        <v>0</v>
      </c>
      <c r="X110" s="3">
        <v>0</v>
      </c>
      <c r="Y110" s="3">
        <v>0</v>
      </c>
      <c r="Z110" s="3">
        <v>0</v>
      </c>
      <c r="AA110" s="3">
        <v>4150.8056999999999</v>
      </c>
    </row>
    <row r="111" spans="1:38" x14ac:dyDescent="0.2">
      <c r="A111" s="3" t="s">
        <v>6</v>
      </c>
      <c r="B111" s="3">
        <v>0</v>
      </c>
      <c r="C111" s="3">
        <v>0</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C111" s="29" t="s">
        <v>63</v>
      </c>
      <c r="AD111" s="30"/>
      <c r="AE111" s="30"/>
      <c r="AF111" s="30"/>
      <c r="AG111" s="30"/>
      <c r="AH111" s="30"/>
      <c r="AI111" s="30"/>
      <c r="AJ111" s="30"/>
      <c r="AK111" s="30"/>
      <c r="AL111" s="30"/>
    </row>
    <row r="112" spans="1:38" x14ac:dyDescent="0.2">
      <c r="A112" s="3" t="s">
        <v>7</v>
      </c>
      <c r="B112" s="3">
        <v>1E-3</v>
      </c>
      <c r="C112" s="3">
        <v>1073.1171999999999</v>
      </c>
      <c r="D112" s="3">
        <v>12.998100000000001</v>
      </c>
      <c r="E112" s="3">
        <v>44.814599999999999</v>
      </c>
      <c r="F112" s="3">
        <v>70930.427899999995</v>
      </c>
      <c r="G112" s="3">
        <v>23.7819</v>
      </c>
      <c r="H112" s="3">
        <v>77517.723400000003</v>
      </c>
      <c r="I112" s="3">
        <v>1.3474999999999999</v>
      </c>
      <c r="J112" s="3">
        <v>6.4809000000000001</v>
      </c>
      <c r="K112" s="3">
        <v>1180.6409000000001</v>
      </c>
      <c r="L112" s="3">
        <v>111.39060000000001</v>
      </c>
      <c r="M112" s="3">
        <v>5.4375</v>
      </c>
      <c r="N112" s="3">
        <v>0</v>
      </c>
      <c r="O112" s="3">
        <v>169.82040000000001</v>
      </c>
      <c r="P112" s="3">
        <v>77.752899999999997</v>
      </c>
      <c r="Q112" s="3">
        <v>17.542999999999999</v>
      </c>
      <c r="R112" s="3">
        <v>12.9902</v>
      </c>
      <c r="S112" s="3">
        <v>8.0144000000000002</v>
      </c>
      <c r="T112" s="3">
        <v>5.5843999999999996</v>
      </c>
      <c r="U112" s="3">
        <v>5.0517000000000003</v>
      </c>
      <c r="V112" s="3">
        <v>1655.9894999999999</v>
      </c>
      <c r="W112" s="3">
        <v>0</v>
      </c>
      <c r="X112" s="3">
        <v>0</v>
      </c>
      <c r="Y112" s="3">
        <v>0</v>
      </c>
      <c r="Z112" s="3">
        <v>0</v>
      </c>
      <c r="AA112" s="3">
        <v>152860.90789999999</v>
      </c>
      <c r="AC112" s="30"/>
      <c r="AD112" s="30"/>
      <c r="AE112" s="30"/>
      <c r="AF112" s="30"/>
      <c r="AG112" s="30"/>
      <c r="AH112" s="30"/>
      <c r="AI112" s="30"/>
      <c r="AJ112" s="30"/>
      <c r="AK112" s="30"/>
      <c r="AL112" s="30"/>
    </row>
    <row r="113" spans="1:38" x14ac:dyDescent="0.2">
      <c r="A113" s="3" t="s">
        <v>8</v>
      </c>
      <c r="B113" s="3">
        <v>0</v>
      </c>
      <c r="C113" s="3">
        <v>216.90809999999999</v>
      </c>
      <c r="D113" s="3">
        <v>12.605</v>
      </c>
      <c r="E113" s="3">
        <v>120.1755</v>
      </c>
      <c r="F113" s="3">
        <v>161.77940000000001</v>
      </c>
      <c r="G113" s="3">
        <v>53.600900000000003</v>
      </c>
      <c r="H113" s="3">
        <v>648.45119999999997</v>
      </c>
      <c r="I113" s="3">
        <v>5.0989000000000004</v>
      </c>
      <c r="J113" s="3">
        <v>24.896599999999999</v>
      </c>
      <c r="K113" s="3">
        <v>556.04790000000003</v>
      </c>
      <c r="L113" s="3">
        <v>228.73150000000001</v>
      </c>
      <c r="M113" s="3">
        <v>21.508800000000001</v>
      </c>
      <c r="N113" s="3">
        <v>0</v>
      </c>
      <c r="O113" s="3">
        <v>232.7251</v>
      </c>
      <c r="P113" s="3">
        <v>81.219499999999996</v>
      </c>
      <c r="Q113" s="3">
        <v>66.723600000000005</v>
      </c>
      <c r="R113" s="3">
        <v>46.4131</v>
      </c>
      <c r="S113" s="3">
        <v>25.877500000000001</v>
      </c>
      <c r="T113" s="3">
        <v>20.081700000000001</v>
      </c>
      <c r="U113" s="3">
        <v>20.293199999999999</v>
      </c>
      <c r="V113" s="3">
        <v>4364.1665000000003</v>
      </c>
      <c r="W113" s="3">
        <v>0</v>
      </c>
      <c r="X113" s="3">
        <v>0</v>
      </c>
      <c r="Y113" s="3">
        <v>0</v>
      </c>
      <c r="Z113" s="3">
        <v>0</v>
      </c>
      <c r="AA113" s="3">
        <v>6907.3042999999998</v>
      </c>
      <c r="AC113" s="30"/>
      <c r="AD113" s="30"/>
      <c r="AE113" s="30"/>
      <c r="AF113" s="30"/>
      <c r="AG113" s="30"/>
      <c r="AH113" s="30"/>
      <c r="AI113" s="30"/>
      <c r="AJ113" s="30"/>
      <c r="AK113" s="30"/>
      <c r="AL113" s="30"/>
    </row>
    <row r="114" spans="1:38" x14ac:dyDescent="0.2">
      <c r="A114" s="3" t="s">
        <v>9</v>
      </c>
      <c r="B114" s="3">
        <v>0</v>
      </c>
      <c r="C114" s="3">
        <v>120.3117</v>
      </c>
      <c r="D114" s="3">
        <v>6.9916</v>
      </c>
      <c r="E114" s="3">
        <v>66.658299999999997</v>
      </c>
      <c r="F114" s="3">
        <v>89.733599999999996</v>
      </c>
      <c r="G114" s="3">
        <v>29.730599999999999</v>
      </c>
      <c r="H114" s="3">
        <v>614.34339999999997</v>
      </c>
      <c r="I114" s="3">
        <v>2.8281999999999998</v>
      </c>
      <c r="J114" s="3">
        <v>13.8093</v>
      </c>
      <c r="K114" s="3">
        <v>305.95949999999999</v>
      </c>
      <c r="L114" s="3">
        <v>126.86969999999999</v>
      </c>
      <c r="M114" s="3">
        <v>11.930199999999999</v>
      </c>
      <c r="N114" s="3">
        <v>0</v>
      </c>
      <c r="O114" s="3">
        <v>129.0848</v>
      </c>
      <c r="P114" s="3">
        <v>45.049700000000001</v>
      </c>
      <c r="Q114" s="3">
        <v>38.096400000000003</v>
      </c>
      <c r="R114" s="3">
        <v>25.7438</v>
      </c>
      <c r="S114" s="3">
        <v>14.353400000000001</v>
      </c>
      <c r="T114" s="3">
        <v>11.1387</v>
      </c>
      <c r="U114" s="3">
        <v>11.2559</v>
      </c>
      <c r="V114" s="3">
        <v>3011.277</v>
      </c>
      <c r="W114" s="3">
        <v>0</v>
      </c>
      <c r="X114" s="3">
        <v>0</v>
      </c>
      <c r="Y114" s="3">
        <v>0</v>
      </c>
      <c r="Z114" s="3">
        <v>0</v>
      </c>
      <c r="AA114" s="3">
        <v>4675.1660000000002</v>
      </c>
      <c r="AC114" s="30"/>
      <c r="AD114" s="30"/>
      <c r="AE114" s="30"/>
      <c r="AF114" s="30"/>
      <c r="AG114" s="30"/>
      <c r="AH114" s="30"/>
      <c r="AI114" s="30"/>
      <c r="AJ114" s="30"/>
      <c r="AK114" s="30"/>
      <c r="AL114" s="30"/>
    </row>
    <row r="115" spans="1:38" x14ac:dyDescent="0.2">
      <c r="A115" s="3" t="s">
        <v>10</v>
      </c>
      <c r="B115" s="3">
        <v>0.66710000000000003</v>
      </c>
      <c r="C115" s="3">
        <v>822.37869999999998</v>
      </c>
      <c r="D115" s="3">
        <v>8.2018000000000004</v>
      </c>
      <c r="E115" s="3">
        <v>67.089399999999998</v>
      </c>
      <c r="F115" s="3">
        <v>3878.4892</v>
      </c>
      <c r="G115" s="3">
        <v>18.020299999999999</v>
      </c>
      <c r="H115" s="3">
        <v>400.09289999999999</v>
      </c>
      <c r="I115" s="3">
        <v>4.8432000000000004</v>
      </c>
      <c r="J115" s="3">
        <v>3.3723000000000001</v>
      </c>
      <c r="K115" s="3">
        <v>46486.089699999997</v>
      </c>
      <c r="L115" s="3">
        <v>4015.7804000000001</v>
      </c>
      <c r="M115" s="3">
        <v>4.4231999999999996</v>
      </c>
      <c r="N115" s="3">
        <v>0</v>
      </c>
      <c r="O115" s="3">
        <v>3290.0154000000002</v>
      </c>
      <c r="P115" s="3">
        <v>35.925899999999999</v>
      </c>
      <c r="Q115" s="3">
        <v>48.637900000000002</v>
      </c>
      <c r="R115" s="3">
        <v>27.4026</v>
      </c>
      <c r="S115" s="3">
        <v>8.9192</v>
      </c>
      <c r="T115" s="3">
        <v>22.380400000000002</v>
      </c>
      <c r="U115" s="3">
        <v>1.6131</v>
      </c>
      <c r="V115" s="3">
        <v>867.61239999999998</v>
      </c>
      <c r="W115" s="3">
        <v>0</v>
      </c>
      <c r="X115" s="3">
        <v>758.09439999999995</v>
      </c>
      <c r="Y115" s="3">
        <v>0</v>
      </c>
      <c r="Z115" s="3">
        <v>0</v>
      </c>
      <c r="AA115" s="3">
        <v>60770.049500000001</v>
      </c>
      <c r="AC115" s="30"/>
      <c r="AD115" s="30"/>
      <c r="AE115" s="30"/>
      <c r="AF115" s="30"/>
      <c r="AG115" s="30"/>
      <c r="AH115" s="30"/>
      <c r="AI115" s="30"/>
      <c r="AJ115" s="30"/>
      <c r="AK115" s="30"/>
      <c r="AL115" s="30"/>
    </row>
    <row r="116" spans="1:38" x14ac:dyDescent="0.2">
      <c r="A116" s="3" t="s">
        <v>11</v>
      </c>
      <c r="B116" s="3">
        <v>0.35899999999999999</v>
      </c>
      <c r="C116" s="3">
        <v>199.17930000000001</v>
      </c>
      <c r="D116" s="3">
        <v>8.1128</v>
      </c>
      <c r="E116" s="3">
        <v>19.0548</v>
      </c>
      <c r="F116" s="3">
        <v>2890.4951000000001</v>
      </c>
      <c r="G116" s="3">
        <v>15.440200000000001</v>
      </c>
      <c r="H116" s="3">
        <v>170.6591</v>
      </c>
      <c r="I116" s="3">
        <v>2.8372000000000002</v>
      </c>
      <c r="J116" s="3">
        <v>3.8159999999999998</v>
      </c>
      <c r="K116" s="3">
        <v>338.7423</v>
      </c>
      <c r="L116" s="3">
        <v>27938.277300000002</v>
      </c>
      <c r="M116" s="3">
        <v>57.625500000000002</v>
      </c>
      <c r="N116" s="3">
        <v>0</v>
      </c>
      <c r="O116" s="3">
        <v>85.831999999999994</v>
      </c>
      <c r="P116" s="3">
        <v>55.243099999999998</v>
      </c>
      <c r="Q116" s="3">
        <v>0.28339999999999999</v>
      </c>
      <c r="R116" s="3">
        <v>9.8047000000000004</v>
      </c>
      <c r="S116" s="3">
        <v>6.83</v>
      </c>
      <c r="T116" s="3">
        <v>4.7472000000000003</v>
      </c>
      <c r="U116" s="3">
        <v>1.1295999999999999</v>
      </c>
      <c r="V116" s="3">
        <v>0</v>
      </c>
      <c r="W116" s="3">
        <v>0</v>
      </c>
      <c r="X116" s="3">
        <v>0</v>
      </c>
      <c r="Y116" s="3">
        <v>0</v>
      </c>
      <c r="Z116" s="3">
        <v>0</v>
      </c>
      <c r="AA116" s="3">
        <v>31808.4686</v>
      </c>
    </row>
    <row r="117" spans="1:38" x14ac:dyDescent="0.2">
      <c r="A117" s="3" t="s">
        <v>12</v>
      </c>
      <c r="B117" s="3">
        <v>0</v>
      </c>
      <c r="C117" s="3">
        <v>0</v>
      </c>
      <c r="D117" s="3">
        <v>0</v>
      </c>
      <c r="E117" s="3">
        <v>0</v>
      </c>
      <c r="F117" s="3">
        <v>1.7000000000000001E-2</v>
      </c>
      <c r="G117" s="3">
        <v>0</v>
      </c>
      <c r="H117" s="3">
        <v>0.91439999999999999</v>
      </c>
      <c r="I117" s="3">
        <v>0</v>
      </c>
      <c r="J117" s="3">
        <v>0</v>
      </c>
      <c r="K117" s="3">
        <v>2.1429999999999998</v>
      </c>
      <c r="L117" s="3">
        <v>1.9725999999999999</v>
      </c>
      <c r="M117" s="3">
        <v>32.489199999999997</v>
      </c>
      <c r="N117" s="3">
        <v>0</v>
      </c>
      <c r="O117" s="3">
        <v>7.6250999999999998</v>
      </c>
      <c r="P117" s="3">
        <v>1.5699999999999999E-2</v>
      </c>
      <c r="Q117" s="3">
        <v>26.859300000000001</v>
      </c>
      <c r="R117" s="3">
        <v>3.5999999999999997E-2</v>
      </c>
      <c r="S117" s="3">
        <v>0</v>
      </c>
      <c r="T117" s="3">
        <v>0</v>
      </c>
      <c r="U117" s="3">
        <v>0</v>
      </c>
      <c r="V117" s="3">
        <v>0</v>
      </c>
      <c r="W117" s="3">
        <v>0</v>
      </c>
      <c r="X117" s="3">
        <v>0</v>
      </c>
      <c r="Y117" s="3">
        <v>0</v>
      </c>
      <c r="Z117" s="3">
        <v>0</v>
      </c>
      <c r="AA117" s="3">
        <v>72.072400000000002</v>
      </c>
    </row>
    <row r="118" spans="1:38" x14ac:dyDescent="0.2">
      <c r="A118" s="3" t="s">
        <v>13</v>
      </c>
      <c r="B118" s="3">
        <v>0</v>
      </c>
      <c r="C118" s="3">
        <v>0</v>
      </c>
      <c r="D118" s="3">
        <v>0</v>
      </c>
      <c r="E118" s="3">
        <v>0</v>
      </c>
      <c r="F118" s="3">
        <v>0</v>
      </c>
      <c r="G118" s="3">
        <v>0</v>
      </c>
      <c r="H118" s="3">
        <v>0</v>
      </c>
      <c r="I118" s="3">
        <v>0</v>
      </c>
      <c r="J118" s="3">
        <v>0</v>
      </c>
      <c r="K118" s="3">
        <v>0</v>
      </c>
      <c r="L118" s="3">
        <v>0</v>
      </c>
      <c r="M118" s="3">
        <v>0</v>
      </c>
      <c r="N118" s="3">
        <v>0</v>
      </c>
      <c r="O118" s="3">
        <v>0</v>
      </c>
      <c r="P118" s="3">
        <v>0</v>
      </c>
      <c r="Q118" s="3">
        <v>0</v>
      </c>
      <c r="R118" s="3">
        <v>0</v>
      </c>
      <c r="S118" s="3">
        <v>0</v>
      </c>
      <c r="T118" s="3">
        <v>0</v>
      </c>
      <c r="U118" s="3">
        <v>0</v>
      </c>
      <c r="V118" s="3">
        <v>653.39149999999995</v>
      </c>
      <c r="W118" s="3">
        <v>0</v>
      </c>
      <c r="X118" s="3">
        <v>0</v>
      </c>
      <c r="Y118" s="3">
        <v>0</v>
      </c>
      <c r="Z118" s="3">
        <v>0</v>
      </c>
      <c r="AA118" s="3">
        <v>653.39149999999995</v>
      </c>
    </row>
    <row r="119" spans="1:38" x14ac:dyDescent="0.2">
      <c r="A119" s="3" t="s">
        <v>14</v>
      </c>
      <c r="B119" s="3">
        <v>4.0000000000000001E-3</v>
      </c>
      <c r="C119" s="3">
        <v>9153.0755000000008</v>
      </c>
      <c r="D119" s="3">
        <v>48.7776</v>
      </c>
      <c r="E119" s="3">
        <v>133.25120000000001</v>
      </c>
      <c r="F119" s="3">
        <v>6546.6562999999996</v>
      </c>
      <c r="G119" s="3">
        <v>57.485199999999999</v>
      </c>
      <c r="H119" s="3">
        <v>381.88389999999998</v>
      </c>
      <c r="I119" s="3">
        <v>12.919600000000001</v>
      </c>
      <c r="J119" s="3">
        <v>11.8683</v>
      </c>
      <c r="K119" s="3">
        <v>9769.2669000000005</v>
      </c>
      <c r="L119" s="3">
        <v>5334.0406999999996</v>
      </c>
      <c r="M119" s="3">
        <v>14.3514</v>
      </c>
      <c r="N119" s="3">
        <v>0</v>
      </c>
      <c r="O119" s="3">
        <v>7037.3388999999997</v>
      </c>
      <c r="P119" s="3">
        <v>474.29610000000002</v>
      </c>
      <c r="Q119" s="3">
        <v>62.746299999999998</v>
      </c>
      <c r="R119" s="3">
        <v>39.585700000000003</v>
      </c>
      <c r="S119" s="3">
        <v>12.8263</v>
      </c>
      <c r="T119" s="3">
        <v>56.599400000000003</v>
      </c>
      <c r="U119" s="3">
        <v>1.1768000000000001</v>
      </c>
      <c r="V119" s="3">
        <v>68.888599999999997</v>
      </c>
      <c r="W119" s="3">
        <v>0</v>
      </c>
      <c r="X119" s="3">
        <v>27601.3217</v>
      </c>
      <c r="Y119" s="3">
        <v>0</v>
      </c>
      <c r="Z119" s="3">
        <v>0</v>
      </c>
      <c r="AA119" s="3">
        <v>66818.360199999996</v>
      </c>
    </row>
    <row r="120" spans="1:38" x14ac:dyDescent="0.2">
      <c r="A120" s="3" t="s">
        <v>15</v>
      </c>
      <c r="B120" s="3">
        <v>3.15E-2</v>
      </c>
      <c r="C120" s="3">
        <v>8720.6178</v>
      </c>
      <c r="D120" s="3">
        <v>10.2431</v>
      </c>
      <c r="E120" s="3">
        <v>109.07340000000001</v>
      </c>
      <c r="F120" s="3">
        <v>9617.0275000000001</v>
      </c>
      <c r="G120" s="3">
        <v>93.973699999999994</v>
      </c>
      <c r="H120" s="3">
        <v>7055.8373000000001</v>
      </c>
      <c r="I120" s="3">
        <v>31.698499999999999</v>
      </c>
      <c r="J120" s="3">
        <v>87.194400000000002</v>
      </c>
      <c r="K120" s="3">
        <v>1694.5165999999999</v>
      </c>
      <c r="L120" s="3">
        <v>1236.5825</v>
      </c>
      <c r="M120" s="3">
        <v>23.782</v>
      </c>
      <c r="N120" s="3">
        <v>0</v>
      </c>
      <c r="O120" s="3">
        <v>501.02170000000001</v>
      </c>
      <c r="P120" s="3">
        <v>1434.9018000000001</v>
      </c>
      <c r="Q120" s="3">
        <v>23.145299999999999</v>
      </c>
      <c r="R120" s="3">
        <v>33.072000000000003</v>
      </c>
      <c r="S120" s="3">
        <v>2.0104000000000002</v>
      </c>
      <c r="T120" s="3">
        <v>175.7184</v>
      </c>
      <c r="U120" s="3">
        <v>0.38240000000000002</v>
      </c>
      <c r="V120" s="3">
        <v>97.651700000000005</v>
      </c>
      <c r="W120" s="3">
        <v>0</v>
      </c>
      <c r="X120" s="3">
        <v>0</v>
      </c>
      <c r="Y120" s="3">
        <v>0</v>
      </c>
      <c r="Z120" s="3">
        <v>0</v>
      </c>
      <c r="AA120" s="3">
        <v>30948.482</v>
      </c>
    </row>
    <row r="121" spans="1:38" x14ac:dyDescent="0.2">
      <c r="A121" s="3" t="s">
        <v>16</v>
      </c>
      <c r="B121" s="3">
        <v>0</v>
      </c>
      <c r="C121" s="3">
        <v>0</v>
      </c>
      <c r="D121" s="3">
        <v>0</v>
      </c>
      <c r="E121" s="3">
        <v>0</v>
      </c>
      <c r="F121" s="3">
        <v>0</v>
      </c>
      <c r="G121" s="3">
        <v>0</v>
      </c>
      <c r="H121" s="3">
        <v>0</v>
      </c>
      <c r="I121" s="3">
        <v>0</v>
      </c>
      <c r="J121" s="3">
        <v>0</v>
      </c>
      <c r="K121" s="3">
        <v>0</v>
      </c>
      <c r="L121" s="3">
        <v>0</v>
      </c>
      <c r="M121" s="3">
        <v>0</v>
      </c>
      <c r="N121" s="3">
        <v>0</v>
      </c>
      <c r="O121" s="3">
        <v>0</v>
      </c>
      <c r="P121" s="3">
        <v>0</v>
      </c>
      <c r="Q121" s="3">
        <v>0.7379</v>
      </c>
      <c r="R121" s="3">
        <v>0</v>
      </c>
      <c r="S121" s="3">
        <v>0</v>
      </c>
      <c r="T121" s="3">
        <v>0</v>
      </c>
      <c r="U121" s="3">
        <v>0</v>
      </c>
      <c r="V121" s="3">
        <v>0</v>
      </c>
      <c r="W121" s="3">
        <v>0</v>
      </c>
      <c r="X121" s="3">
        <v>0</v>
      </c>
      <c r="Y121" s="3">
        <v>0</v>
      </c>
      <c r="Z121" s="3">
        <v>0</v>
      </c>
      <c r="AA121" s="3">
        <v>0.7379</v>
      </c>
    </row>
    <row r="122" spans="1:38" x14ac:dyDescent="0.2">
      <c r="A122" s="3" t="s">
        <v>17</v>
      </c>
      <c r="B122" s="3">
        <v>0.2772</v>
      </c>
      <c r="C122" s="3">
        <v>12.5633</v>
      </c>
      <c r="D122" s="3">
        <v>0.22420000000000001</v>
      </c>
      <c r="E122" s="3">
        <v>1.2596000000000001</v>
      </c>
      <c r="F122" s="3">
        <v>3.9679000000000002</v>
      </c>
      <c r="G122" s="3">
        <v>2.1999999999999999E-2</v>
      </c>
      <c r="H122" s="3">
        <v>16.8401</v>
      </c>
      <c r="I122" s="3">
        <v>0.13700000000000001</v>
      </c>
      <c r="J122" s="3">
        <v>0</v>
      </c>
      <c r="K122" s="3">
        <v>12.1326</v>
      </c>
      <c r="L122" s="3">
        <v>26.162500000000001</v>
      </c>
      <c r="M122" s="3">
        <v>8.8599999999999998E-2</v>
      </c>
      <c r="N122" s="3">
        <v>0</v>
      </c>
      <c r="O122" s="3">
        <v>22.146799999999999</v>
      </c>
      <c r="P122" s="3">
        <v>5.0293999999999999</v>
      </c>
      <c r="Q122" s="3">
        <v>16.467099999999999</v>
      </c>
      <c r="R122" s="3">
        <v>199.88210000000001</v>
      </c>
      <c r="S122" s="3">
        <v>3.9698000000000002</v>
      </c>
      <c r="T122" s="3">
        <v>0.59599999999999997</v>
      </c>
      <c r="U122" s="3">
        <v>0.26490000000000002</v>
      </c>
      <c r="V122" s="3">
        <v>2861.8562000000002</v>
      </c>
      <c r="W122" s="3">
        <v>0</v>
      </c>
      <c r="X122" s="3">
        <v>0</v>
      </c>
      <c r="Y122" s="3">
        <v>0</v>
      </c>
      <c r="Z122" s="3">
        <v>0</v>
      </c>
      <c r="AA122" s="3">
        <v>3183.8872999999999</v>
      </c>
    </row>
    <row r="123" spans="1:38" x14ac:dyDescent="0.2">
      <c r="A123" s="3" t="s">
        <v>18</v>
      </c>
      <c r="B123" s="3">
        <v>0</v>
      </c>
      <c r="C123" s="3">
        <v>0</v>
      </c>
      <c r="D123" s="3">
        <v>0</v>
      </c>
      <c r="E123" s="3">
        <v>0</v>
      </c>
      <c r="F123" s="3">
        <v>0</v>
      </c>
      <c r="G123" s="3">
        <v>0</v>
      </c>
      <c r="H123" s="3">
        <v>0</v>
      </c>
      <c r="I123" s="3">
        <v>0</v>
      </c>
      <c r="J123" s="3">
        <v>0</v>
      </c>
      <c r="K123" s="3">
        <v>1.0147999999999999</v>
      </c>
      <c r="L123" s="3">
        <v>8.2100000000000006E-2</v>
      </c>
      <c r="M123" s="3">
        <v>5.7000000000000002E-2</v>
      </c>
      <c r="N123" s="3">
        <v>0</v>
      </c>
      <c r="O123" s="3">
        <v>8.8504000000000005</v>
      </c>
      <c r="P123" s="3">
        <v>2.7547999999999999</v>
      </c>
      <c r="Q123" s="3">
        <v>0.40860000000000002</v>
      </c>
      <c r="R123" s="3">
        <v>4.0899999999999999E-2</v>
      </c>
      <c r="S123" s="3">
        <v>27.869</v>
      </c>
      <c r="T123" s="3">
        <v>0</v>
      </c>
      <c r="U123" s="3">
        <v>7.8E-2</v>
      </c>
      <c r="V123" s="3">
        <v>636.52350000000001</v>
      </c>
      <c r="W123" s="3">
        <v>0</v>
      </c>
      <c r="X123" s="3">
        <v>0</v>
      </c>
      <c r="Y123" s="3">
        <v>0</v>
      </c>
      <c r="Z123" s="3">
        <v>0</v>
      </c>
      <c r="AA123" s="3">
        <v>677.67920000000004</v>
      </c>
    </row>
    <row r="124" spans="1:38" x14ac:dyDescent="0.2">
      <c r="A124" s="3" t="s">
        <v>19</v>
      </c>
      <c r="B124" s="3">
        <v>0</v>
      </c>
      <c r="C124" s="3">
        <v>0</v>
      </c>
      <c r="D124" s="3">
        <v>0</v>
      </c>
      <c r="E124" s="3">
        <v>0</v>
      </c>
      <c r="F124" s="3">
        <v>0</v>
      </c>
      <c r="G124" s="3">
        <v>0</v>
      </c>
      <c r="H124" s="3">
        <v>0</v>
      </c>
      <c r="I124" s="3">
        <v>3.7900000000000003E-2</v>
      </c>
      <c r="J124" s="3">
        <v>0</v>
      </c>
      <c r="K124" s="3">
        <v>2.3502999999999998</v>
      </c>
      <c r="L124" s="3">
        <v>0.48620000000000002</v>
      </c>
      <c r="M124" s="3">
        <v>0</v>
      </c>
      <c r="N124" s="3">
        <v>0</v>
      </c>
      <c r="O124" s="3">
        <v>4.7666000000000004</v>
      </c>
      <c r="P124" s="3">
        <v>48.551299999999998</v>
      </c>
      <c r="Q124" s="3">
        <v>0.14849999999999999</v>
      </c>
      <c r="R124" s="3">
        <v>1.0529999999999999</v>
      </c>
      <c r="S124" s="3">
        <v>0</v>
      </c>
      <c r="T124" s="3">
        <v>32.331000000000003</v>
      </c>
      <c r="U124" s="3">
        <v>0</v>
      </c>
      <c r="V124" s="3">
        <v>313.72629999999998</v>
      </c>
      <c r="W124" s="3">
        <v>0</v>
      </c>
      <c r="X124" s="3">
        <v>0</v>
      </c>
      <c r="Y124" s="3">
        <v>0</v>
      </c>
      <c r="Z124" s="3">
        <v>0</v>
      </c>
      <c r="AA124" s="3">
        <v>403.45119999999997</v>
      </c>
    </row>
    <row r="125" spans="1:38" x14ac:dyDescent="0.2">
      <c r="A125" s="3" t="s">
        <v>20</v>
      </c>
      <c r="B125" s="3">
        <v>0</v>
      </c>
      <c r="C125" s="3">
        <v>163.68510000000001</v>
      </c>
      <c r="D125" s="3">
        <v>0</v>
      </c>
      <c r="E125" s="3">
        <v>0</v>
      </c>
      <c r="F125" s="3">
        <v>3.0700000000000002E-2</v>
      </c>
      <c r="G125" s="3">
        <v>0</v>
      </c>
      <c r="H125" s="3">
        <v>1.9996</v>
      </c>
      <c r="I125" s="3">
        <v>0</v>
      </c>
      <c r="J125" s="3">
        <v>0</v>
      </c>
      <c r="K125" s="3">
        <v>0</v>
      </c>
      <c r="L125" s="3">
        <v>0.3478</v>
      </c>
      <c r="M125" s="3">
        <v>0</v>
      </c>
      <c r="N125" s="3">
        <v>0</v>
      </c>
      <c r="O125" s="3">
        <v>0.39600000000000002</v>
      </c>
      <c r="P125" s="3">
        <v>2.4388000000000001</v>
      </c>
      <c r="Q125" s="3">
        <v>1.2818000000000001</v>
      </c>
      <c r="R125" s="3">
        <v>0</v>
      </c>
      <c r="S125" s="3">
        <v>0.76300000000000001</v>
      </c>
      <c r="T125" s="3">
        <v>0.52600000000000002</v>
      </c>
      <c r="U125" s="3">
        <v>0</v>
      </c>
      <c r="V125" s="3">
        <v>138.6087</v>
      </c>
      <c r="W125" s="3">
        <v>0</v>
      </c>
      <c r="X125" s="3">
        <v>0</v>
      </c>
      <c r="Y125" s="3">
        <v>0</v>
      </c>
      <c r="Z125" s="3">
        <v>0</v>
      </c>
      <c r="AA125" s="3">
        <v>310.07749999999999</v>
      </c>
    </row>
    <row r="126" spans="1:38" x14ac:dyDescent="0.2">
      <c r="A126" s="15" t="s">
        <v>49</v>
      </c>
      <c r="B126" s="15">
        <v>270.0788</v>
      </c>
      <c r="C126" s="15">
        <v>221440.52179999999</v>
      </c>
      <c r="D126" s="15">
        <v>9260.5838000000003</v>
      </c>
      <c r="E126" s="15">
        <v>13127.0746</v>
      </c>
      <c r="F126" s="15">
        <v>101411.4317</v>
      </c>
      <c r="G126" s="15">
        <v>1299.8157000000001</v>
      </c>
      <c r="H126" s="15">
        <v>116756.60890000001</v>
      </c>
      <c r="I126" s="15">
        <v>643.04909999999995</v>
      </c>
      <c r="J126" s="15">
        <v>3208.2932999999998</v>
      </c>
      <c r="K126" s="15">
        <v>69020.604900000006</v>
      </c>
      <c r="L126" s="15">
        <v>39786.058599999997</v>
      </c>
      <c r="M126" s="15">
        <v>919.5181</v>
      </c>
      <c r="N126" s="15">
        <v>0</v>
      </c>
      <c r="O126" s="15">
        <v>19896.1577</v>
      </c>
      <c r="P126" s="15">
        <v>3656.8607000000002</v>
      </c>
      <c r="Q126" s="15">
        <v>8479.5817999999999</v>
      </c>
      <c r="R126" s="15">
        <v>1459.4719</v>
      </c>
      <c r="S126" s="15">
        <v>2790.0219000000002</v>
      </c>
      <c r="T126" s="15">
        <v>682.12099999999998</v>
      </c>
      <c r="U126" s="15">
        <v>1122.1242999999999</v>
      </c>
      <c r="V126" s="15">
        <v>38879.940399999999</v>
      </c>
      <c r="W126" s="15">
        <v>0</v>
      </c>
      <c r="X126" s="15">
        <v>51819.945299999999</v>
      </c>
      <c r="Y126" s="15">
        <v>7334.8778000000002</v>
      </c>
      <c r="Z126" s="15">
        <v>332876.68609999999</v>
      </c>
      <c r="AA126" s="15">
        <v>1046141.4282</v>
      </c>
    </row>
    <row r="132" spans="1:27" x14ac:dyDescent="0.2">
      <c r="E132" t="s">
        <v>70</v>
      </c>
    </row>
    <row r="135" spans="1:27" ht="19" x14ac:dyDescent="0.2">
      <c r="A135" s="23" t="s">
        <v>29</v>
      </c>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spans="1:27" s="10" customFormat="1" ht="68" x14ac:dyDescent="0.2">
      <c r="A136" s="8" t="s">
        <v>76</v>
      </c>
      <c r="B136" s="8" t="s">
        <v>1</v>
      </c>
      <c r="C136" s="8" t="s">
        <v>2</v>
      </c>
      <c r="D136" s="8" t="s">
        <v>3</v>
      </c>
      <c r="E136" s="8" t="s">
        <v>4</v>
      </c>
      <c r="F136" s="8" t="s">
        <v>5</v>
      </c>
      <c r="G136" s="8" t="s">
        <v>6</v>
      </c>
      <c r="H136" s="8" t="s">
        <v>7</v>
      </c>
      <c r="I136" s="8" t="s">
        <v>8</v>
      </c>
      <c r="J136" s="8" t="s">
        <v>9</v>
      </c>
      <c r="K136" s="8" t="s">
        <v>10</v>
      </c>
      <c r="L136" s="8" t="s">
        <v>11</v>
      </c>
      <c r="M136" s="8" t="s">
        <v>12</v>
      </c>
      <c r="N136" s="8" t="s">
        <v>13</v>
      </c>
      <c r="O136" s="8" t="s">
        <v>14</v>
      </c>
      <c r="P136" s="8" t="s">
        <v>15</v>
      </c>
      <c r="Q136" s="8" t="s">
        <v>16</v>
      </c>
      <c r="R136" s="8" t="s">
        <v>17</v>
      </c>
      <c r="S136" s="8" t="s">
        <v>18</v>
      </c>
      <c r="T136" s="8" t="s">
        <v>19</v>
      </c>
      <c r="U136" s="8" t="s">
        <v>20</v>
      </c>
      <c r="V136" s="8" t="s">
        <v>40</v>
      </c>
      <c r="W136" s="8" t="s">
        <v>41</v>
      </c>
      <c r="X136" s="8" t="s">
        <v>42</v>
      </c>
      <c r="Y136" s="8" t="s">
        <v>43</v>
      </c>
      <c r="Z136" s="8" t="s">
        <v>44</v>
      </c>
      <c r="AA136" s="8" t="s">
        <v>49</v>
      </c>
    </row>
    <row r="137" spans="1:27" x14ac:dyDescent="0.2">
      <c r="A137" s="3" t="s">
        <v>1</v>
      </c>
      <c r="B137" s="3">
        <v>150.3579</v>
      </c>
      <c r="C137" s="3">
        <v>53.059199999999997</v>
      </c>
      <c r="D137" s="3">
        <v>1.5652999999999999</v>
      </c>
      <c r="E137" s="3">
        <v>6.1299000000000001</v>
      </c>
      <c r="F137" s="3">
        <v>6.3800999999999997</v>
      </c>
      <c r="G137" s="3">
        <v>0.82489999999999997</v>
      </c>
      <c r="H137" s="3">
        <v>4.0452000000000004</v>
      </c>
      <c r="I137" s="3">
        <v>9.1014999999999997</v>
      </c>
      <c r="J137" s="3">
        <v>71.711100000000002</v>
      </c>
      <c r="K137" s="3">
        <v>8.4222000000000001</v>
      </c>
      <c r="L137" s="3">
        <v>3.5604</v>
      </c>
      <c r="M137" s="3">
        <v>2.0802999999999998</v>
      </c>
      <c r="N137" s="3">
        <v>0.27489999999999998</v>
      </c>
      <c r="O137" s="3">
        <v>2.9794</v>
      </c>
      <c r="P137" s="3">
        <v>5.6923000000000004</v>
      </c>
      <c r="Q137" s="3">
        <v>1.7456</v>
      </c>
      <c r="R137" s="3">
        <v>0.52390000000000003</v>
      </c>
      <c r="S137" s="3">
        <v>1.4944999999999999</v>
      </c>
      <c r="T137" s="3">
        <v>0.98380000000000001</v>
      </c>
      <c r="U137" s="3">
        <v>1.4014</v>
      </c>
      <c r="V137" s="3">
        <v>189.6874</v>
      </c>
      <c r="W137" s="3">
        <v>0.5484</v>
      </c>
      <c r="X137" s="3">
        <v>5.0930999999999997</v>
      </c>
      <c r="Y137" s="3">
        <v>22.6813</v>
      </c>
      <c r="Z137" s="3">
        <v>191.65450000000001</v>
      </c>
      <c r="AA137" s="3">
        <v>741.99860000000001</v>
      </c>
    </row>
    <row r="138" spans="1:27" x14ac:dyDescent="0.2">
      <c r="A138" s="3" t="s">
        <v>2</v>
      </c>
      <c r="B138" s="3">
        <v>39.583300000000001</v>
      </c>
      <c r="C138" s="3">
        <v>79298.270699999994</v>
      </c>
      <c r="D138" s="3">
        <v>384.05020000000002</v>
      </c>
      <c r="E138" s="3">
        <v>5452.2282999999998</v>
      </c>
      <c r="F138" s="3">
        <v>4662.0334999999995</v>
      </c>
      <c r="G138" s="3">
        <v>416.15559999999999</v>
      </c>
      <c r="H138" s="3">
        <v>15722.867899999999</v>
      </c>
      <c r="I138" s="3">
        <v>260.3811</v>
      </c>
      <c r="J138" s="3">
        <v>1596.1310000000001</v>
      </c>
      <c r="K138" s="3">
        <v>8518.1929999999993</v>
      </c>
      <c r="L138" s="3">
        <v>736.14020000000005</v>
      </c>
      <c r="M138" s="3">
        <v>1314.6909000000001</v>
      </c>
      <c r="N138" s="3">
        <v>47.219299999999997</v>
      </c>
      <c r="O138" s="3">
        <v>7466.9215999999997</v>
      </c>
      <c r="P138" s="3">
        <v>1407.4277</v>
      </c>
      <c r="Q138" s="3">
        <v>2254.4866000000002</v>
      </c>
      <c r="R138" s="3">
        <v>666.05269999999996</v>
      </c>
      <c r="S138" s="3">
        <v>1893.0707</v>
      </c>
      <c r="T138" s="3">
        <v>224.46090000000001</v>
      </c>
      <c r="U138" s="3">
        <v>498.87189999999998</v>
      </c>
      <c r="V138" s="3">
        <v>6583.4234999999999</v>
      </c>
      <c r="W138" s="3">
        <v>456.07679999999999</v>
      </c>
      <c r="X138" s="3">
        <v>10745.3809</v>
      </c>
      <c r="Y138" s="3">
        <v>2874.7545</v>
      </c>
      <c r="Z138" s="3">
        <v>323098.93709999998</v>
      </c>
      <c r="AA138" s="3">
        <v>476617.81</v>
      </c>
    </row>
    <row r="139" spans="1:27" x14ac:dyDescent="0.2">
      <c r="A139" s="3" t="s">
        <v>3</v>
      </c>
      <c r="B139" s="3">
        <v>21.463999999999999</v>
      </c>
      <c r="C139" s="3">
        <v>4394.0855000000001</v>
      </c>
      <c r="D139" s="3">
        <v>4021.1460999999999</v>
      </c>
      <c r="E139" s="3">
        <v>221.28469999999999</v>
      </c>
      <c r="F139" s="3">
        <v>557.27329999999995</v>
      </c>
      <c r="G139" s="3">
        <v>431.64139999999998</v>
      </c>
      <c r="H139" s="3">
        <v>1187.8379</v>
      </c>
      <c r="I139" s="3">
        <v>325.18939999999998</v>
      </c>
      <c r="J139" s="3">
        <v>671.50930000000005</v>
      </c>
      <c r="K139" s="3">
        <v>2465.9137999999998</v>
      </c>
      <c r="L139" s="3">
        <v>440.6884</v>
      </c>
      <c r="M139" s="3">
        <v>1208.2669000000001</v>
      </c>
      <c r="N139" s="3">
        <v>2.4765000000000001</v>
      </c>
      <c r="O139" s="3">
        <v>350.77339999999998</v>
      </c>
      <c r="P139" s="3">
        <v>89.736000000000004</v>
      </c>
      <c r="Q139" s="3">
        <v>1619.4481000000001</v>
      </c>
      <c r="R139" s="3">
        <v>443.47379999999998</v>
      </c>
      <c r="S139" s="3">
        <v>439.32499999999999</v>
      </c>
      <c r="T139" s="3">
        <v>371.6816</v>
      </c>
      <c r="U139" s="3">
        <v>140.41309999999999</v>
      </c>
      <c r="V139" s="3">
        <v>3019.4005000000002</v>
      </c>
      <c r="W139" s="3">
        <v>735.73779999999999</v>
      </c>
      <c r="X139" s="3">
        <v>51.5715</v>
      </c>
      <c r="Y139" s="3">
        <v>-22.680099999999999</v>
      </c>
      <c r="Z139" s="3">
        <v>689.44330000000002</v>
      </c>
      <c r="AA139" s="3">
        <v>23877.1011</v>
      </c>
    </row>
    <row r="140" spans="1:27" x14ac:dyDescent="0.2">
      <c r="A140" s="3" t="s">
        <v>4</v>
      </c>
      <c r="B140" s="3">
        <v>0.33760000000000001</v>
      </c>
      <c r="C140" s="3">
        <v>479.7595</v>
      </c>
      <c r="D140" s="3">
        <v>109.17870000000001</v>
      </c>
      <c r="E140" s="3">
        <v>24118.940699999999</v>
      </c>
      <c r="F140" s="3">
        <v>209.59309999999999</v>
      </c>
      <c r="G140" s="3">
        <v>36.648499999999999</v>
      </c>
      <c r="H140" s="3">
        <v>290.6164</v>
      </c>
      <c r="I140" s="3">
        <v>95.286000000000001</v>
      </c>
      <c r="J140" s="3">
        <v>46.382399999999997</v>
      </c>
      <c r="K140" s="3">
        <v>186.97210000000001</v>
      </c>
      <c r="L140" s="3">
        <v>143.5444</v>
      </c>
      <c r="M140" s="3">
        <v>2146.0448999999999</v>
      </c>
      <c r="N140" s="3">
        <v>2500.3917999999999</v>
      </c>
      <c r="O140" s="3">
        <v>518.98289999999997</v>
      </c>
      <c r="P140" s="3">
        <v>46.524700000000003</v>
      </c>
      <c r="Q140" s="3">
        <v>221.38939999999999</v>
      </c>
      <c r="R140" s="3">
        <v>143.83179999999999</v>
      </c>
      <c r="S140" s="3">
        <v>80.443600000000004</v>
      </c>
      <c r="T140" s="3">
        <v>87.005899999999997</v>
      </c>
      <c r="U140" s="3">
        <v>16.034199999999998</v>
      </c>
      <c r="V140" s="3">
        <v>29.068899999999999</v>
      </c>
      <c r="W140" s="3">
        <v>3.2124999999999999</v>
      </c>
      <c r="X140" s="3">
        <v>37877.527999999998</v>
      </c>
      <c r="Y140" s="3">
        <v>0</v>
      </c>
      <c r="Z140" s="3">
        <v>1697.3321000000001</v>
      </c>
      <c r="AA140" s="3">
        <v>71085.050199999998</v>
      </c>
    </row>
    <row r="141" spans="1:27" x14ac:dyDescent="0.2">
      <c r="A141" s="3" t="s">
        <v>5</v>
      </c>
      <c r="B141" s="3">
        <v>58.186599999999999</v>
      </c>
      <c r="C141" s="3">
        <v>15825.8256</v>
      </c>
      <c r="D141" s="3">
        <v>210.72200000000001</v>
      </c>
      <c r="E141" s="3">
        <v>2394.2422000000001</v>
      </c>
      <c r="F141" s="3">
        <v>6520.6557000000003</v>
      </c>
      <c r="G141" s="3">
        <v>434.77050000000003</v>
      </c>
      <c r="H141" s="3">
        <v>5905.8334999999997</v>
      </c>
      <c r="I141" s="3">
        <v>220.12100000000001</v>
      </c>
      <c r="J141" s="3">
        <v>921.92840000000001</v>
      </c>
      <c r="K141" s="3">
        <v>7279.2354999999998</v>
      </c>
      <c r="L141" s="3">
        <v>1255.229</v>
      </c>
      <c r="M141" s="3">
        <v>463.38670000000002</v>
      </c>
      <c r="N141" s="3">
        <v>46.413800000000002</v>
      </c>
      <c r="O141" s="3">
        <v>1463.7242000000001</v>
      </c>
      <c r="P141" s="3">
        <v>595.73810000000003</v>
      </c>
      <c r="Q141" s="3">
        <v>1280.066</v>
      </c>
      <c r="R141" s="3">
        <v>315.4889</v>
      </c>
      <c r="S141" s="3">
        <v>671.81089999999995</v>
      </c>
      <c r="T141" s="3">
        <v>114.5311</v>
      </c>
      <c r="U141" s="3">
        <v>289.69940000000003</v>
      </c>
      <c r="V141" s="3">
        <v>8823.9313000000002</v>
      </c>
      <c r="W141" s="3">
        <v>78.777000000000001</v>
      </c>
      <c r="X141" s="3">
        <v>7627.8284000000003</v>
      </c>
      <c r="Y141" s="3">
        <v>5.3761999999999999</v>
      </c>
      <c r="Z141" s="3">
        <v>253223.83679999999</v>
      </c>
      <c r="AA141" s="3">
        <v>316027.3591</v>
      </c>
    </row>
    <row r="142" spans="1:27" x14ac:dyDescent="0.2">
      <c r="A142" s="3" t="s">
        <v>6</v>
      </c>
      <c r="B142" s="3">
        <v>0.14430000000000001</v>
      </c>
      <c r="C142" s="3">
        <v>61.697299999999998</v>
      </c>
      <c r="D142" s="3">
        <v>3.456</v>
      </c>
      <c r="E142" s="3">
        <v>242.27350000000001</v>
      </c>
      <c r="F142" s="3">
        <v>492.6422</v>
      </c>
      <c r="G142" s="3">
        <v>221.11949999999999</v>
      </c>
      <c r="H142" s="3">
        <v>251.0164</v>
      </c>
      <c r="I142" s="3">
        <v>18.8261</v>
      </c>
      <c r="J142" s="3">
        <v>196.2114</v>
      </c>
      <c r="K142" s="3">
        <v>297.19470000000001</v>
      </c>
      <c r="L142" s="3">
        <v>76.433400000000006</v>
      </c>
      <c r="M142" s="3">
        <v>39.299199999999999</v>
      </c>
      <c r="N142" s="3">
        <v>3.6360999999999999</v>
      </c>
      <c r="O142" s="3">
        <v>122.9074</v>
      </c>
      <c r="P142" s="3">
        <v>42.2395</v>
      </c>
      <c r="Q142" s="3">
        <v>99.2958</v>
      </c>
      <c r="R142" s="3">
        <v>31.9115</v>
      </c>
      <c r="S142" s="3">
        <v>67.4953</v>
      </c>
      <c r="T142" s="3">
        <v>13.9665</v>
      </c>
      <c r="U142" s="3">
        <v>33.585999999999999</v>
      </c>
      <c r="V142" s="3">
        <v>12169.2497</v>
      </c>
      <c r="W142" s="3">
        <v>6.7215999999999996</v>
      </c>
      <c r="X142" s="3">
        <v>132.97</v>
      </c>
      <c r="Y142" s="3">
        <v>0</v>
      </c>
      <c r="Z142" s="3">
        <v>2174.0387000000001</v>
      </c>
      <c r="AA142" s="3">
        <v>16798.331999999999</v>
      </c>
    </row>
    <row r="143" spans="1:27" x14ac:dyDescent="0.2">
      <c r="A143" s="3" t="s">
        <v>7</v>
      </c>
      <c r="B143" s="3">
        <v>2.8565999999999998</v>
      </c>
      <c r="C143" s="3">
        <v>3581.2449999999999</v>
      </c>
      <c r="D143" s="3">
        <v>139.67169999999999</v>
      </c>
      <c r="E143" s="3">
        <v>322.7944</v>
      </c>
      <c r="F143" s="3">
        <v>25877.245999999999</v>
      </c>
      <c r="G143" s="3">
        <v>857.77800000000002</v>
      </c>
      <c r="H143" s="3">
        <v>86667.435700000002</v>
      </c>
      <c r="I143" s="3">
        <v>37.796399999999998</v>
      </c>
      <c r="J143" s="3">
        <v>168.45910000000001</v>
      </c>
      <c r="K143" s="3">
        <v>1960.5673999999999</v>
      </c>
      <c r="L143" s="3">
        <v>1132.4567</v>
      </c>
      <c r="M143" s="3">
        <v>507.86180000000002</v>
      </c>
      <c r="N143" s="3">
        <v>49.366500000000002</v>
      </c>
      <c r="O143" s="3">
        <v>519.09310000000005</v>
      </c>
      <c r="P143" s="3">
        <v>516.01559999999995</v>
      </c>
      <c r="Q143" s="3">
        <v>2674.1997000000001</v>
      </c>
      <c r="R143" s="3">
        <v>136.46299999999999</v>
      </c>
      <c r="S143" s="3">
        <v>177.37780000000001</v>
      </c>
      <c r="T143" s="3">
        <v>68.326499999999996</v>
      </c>
      <c r="U143" s="3">
        <v>77.570599999999999</v>
      </c>
      <c r="V143" s="3">
        <v>7749.1687000000002</v>
      </c>
      <c r="W143" s="3">
        <v>58.236600000000003</v>
      </c>
      <c r="X143" s="3">
        <v>357.28969999999998</v>
      </c>
      <c r="Y143" s="3">
        <v>4.6371000000000002</v>
      </c>
      <c r="Z143" s="3">
        <v>186500.87100000001</v>
      </c>
      <c r="AA143" s="3">
        <v>320144.78480000002</v>
      </c>
    </row>
    <row r="144" spans="1:27" x14ac:dyDescent="0.2">
      <c r="A144" s="3" t="s">
        <v>8</v>
      </c>
      <c r="B144" s="3">
        <v>3.5799999999999998E-2</v>
      </c>
      <c r="C144" s="3">
        <v>51.682699999999997</v>
      </c>
      <c r="D144" s="3">
        <v>10.66</v>
      </c>
      <c r="E144" s="3">
        <v>46.460099999999997</v>
      </c>
      <c r="F144" s="3">
        <v>255.0248</v>
      </c>
      <c r="G144" s="3">
        <v>43.013100000000001</v>
      </c>
      <c r="H144" s="3">
        <v>316.40940000000001</v>
      </c>
      <c r="I144" s="3">
        <v>8.4842999999999993</v>
      </c>
      <c r="J144" s="3">
        <v>41.190100000000001</v>
      </c>
      <c r="K144" s="3">
        <v>86.341399999999993</v>
      </c>
      <c r="L144" s="3">
        <v>204.00810000000001</v>
      </c>
      <c r="M144" s="3">
        <v>20.8689</v>
      </c>
      <c r="N144" s="3">
        <v>0.28079999999999999</v>
      </c>
      <c r="O144" s="3">
        <v>93.674199999999999</v>
      </c>
      <c r="P144" s="3">
        <v>44.463700000000003</v>
      </c>
      <c r="Q144" s="3">
        <v>104.9036</v>
      </c>
      <c r="R144" s="3">
        <v>18.9099</v>
      </c>
      <c r="S144" s="3">
        <v>13.0146</v>
      </c>
      <c r="T144" s="3">
        <v>17.918600000000001</v>
      </c>
      <c r="U144" s="3">
        <v>18.100999999999999</v>
      </c>
      <c r="V144" s="3">
        <v>1548.6393</v>
      </c>
      <c r="W144" s="3">
        <v>39.282800000000002</v>
      </c>
      <c r="X144" s="3">
        <v>53.182699999999997</v>
      </c>
      <c r="Y144" s="3">
        <v>0</v>
      </c>
      <c r="Z144" s="3">
        <v>3500.8672999999999</v>
      </c>
      <c r="AA144" s="3">
        <v>6537.4173000000001</v>
      </c>
    </row>
    <row r="145" spans="1:27" x14ac:dyDescent="0.2">
      <c r="A145" s="3" t="s">
        <v>9</v>
      </c>
      <c r="B145" s="3">
        <v>0.26960000000000001</v>
      </c>
      <c r="C145" s="3">
        <v>105.5557</v>
      </c>
      <c r="D145" s="3">
        <v>25.067399999999999</v>
      </c>
      <c r="E145" s="3">
        <v>62.0244</v>
      </c>
      <c r="F145" s="3">
        <v>911.19320000000005</v>
      </c>
      <c r="G145" s="3">
        <v>90.4238</v>
      </c>
      <c r="H145" s="3">
        <v>684.93880000000001</v>
      </c>
      <c r="I145" s="3">
        <v>15.26</v>
      </c>
      <c r="J145" s="3">
        <v>118.55759999999999</v>
      </c>
      <c r="K145" s="3">
        <v>243.09520000000001</v>
      </c>
      <c r="L145" s="3">
        <v>700.69500000000005</v>
      </c>
      <c r="M145" s="3">
        <v>84.263999999999996</v>
      </c>
      <c r="N145" s="3">
        <v>1.2981</v>
      </c>
      <c r="O145" s="3">
        <v>199.49789999999999</v>
      </c>
      <c r="P145" s="3">
        <v>120.67700000000001</v>
      </c>
      <c r="Q145" s="3">
        <v>111.9744</v>
      </c>
      <c r="R145" s="3">
        <v>42.055799999999998</v>
      </c>
      <c r="S145" s="3">
        <v>38.902900000000002</v>
      </c>
      <c r="T145" s="3">
        <v>66.172499999999999</v>
      </c>
      <c r="U145" s="3">
        <v>25.6494</v>
      </c>
      <c r="V145" s="3">
        <v>8921.1826999999994</v>
      </c>
      <c r="W145" s="3">
        <v>212.2054</v>
      </c>
      <c r="X145" s="3">
        <v>62.069000000000003</v>
      </c>
      <c r="Y145" s="3">
        <v>0</v>
      </c>
      <c r="Z145" s="3">
        <v>1967.1793</v>
      </c>
      <c r="AA145" s="3">
        <v>14810.2091</v>
      </c>
    </row>
    <row r="146" spans="1:27" x14ac:dyDescent="0.2">
      <c r="A146" s="3" t="s">
        <v>10</v>
      </c>
      <c r="B146" s="3">
        <v>2.0649999999999999</v>
      </c>
      <c r="C146" s="3">
        <v>2021.991</v>
      </c>
      <c r="D146" s="3">
        <v>222.16149999999999</v>
      </c>
      <c r="E146" s="3">
        <v>323.82510000000002</v>
      </c>
      <c r="F146" s="3">
        <v>6441.0324000000001</v>
      </c>
      <c r="G146" s="3">
        <v>416.4153</v>
      </c>
      <c r="H146" s="3">
        <v>1952.9204</v>
      </c>
      <c r="I146" s="3">
        <v>136.03100000000001</v>
      </c>
      <c r="J146" s="3">
        <v>161.2295</v>
      </c>
      <c r="K146" s="3">
        <v>39910.883399999999</v>
      </c>
      <c r="L146" s="3">
        <v>6346.6041999999998</v>
      </c>
      <c r="M146" s="3">
        <v>1124.7718</v>
      </c>
      <c r="N146" s="3">
        <v>112.7133</v>
      </c>
      <c r="O146" s="3">
        <v>3669.6423</v>
      </c>
      <c r="P146" s="3">
        <v>762.3021</v>
      </c>
      <c r="Q146" s="3">
        <v>3276.6259</v>
      </c>
      <c r="R146" s="3">
        <v>586.62289999999996</v>
      </c>
      <c r="S146" s="3">
        <v>818.45330000000001</v>
      </c>
      <c r="T146" s="3">
        <v>304.24470000000002</v>
      </c>
      <c r="U146" s="3">
        <v>226.04060000000001</v>
      </c>
      <c r="V146" s="3">
        <v>5099.7148999999999</v>
      </c>
      <c r="W146" s="3">
        <v>308.19729999999998</v>
      </c>
      <c r="X146" s="3">
        <v>8656.4940000000006</v>
      </c>
      <c r="Y146" s="3">
        <v>0.1381</v>
      </c>
      <c r="Z146" s="3">
        <v>99794.685700000002</v>
      </c>
      <c r="AA146" s="3">
        <v>182675.8057</v>
      </c>
    </row>
    <row r="147" spans="1:27" x14ac:dyDescent="0.2">
      <c r="A147" s="3" t="s">
        <v>11</v>
      </c>
      <c r="B147" s="3">
        <v>4.1203000000000003</v>
      </c>
      <c r="C147" s="3">
        <v>3063.8852999999999</v>
      </c>
      <c r="D147" s="3">
        <v>372.9794</v>
      </c>
      <c r="E147" s="3">
        <v>677.28800000000001</v>
      </c>
      <c r="F147" s="3">
        <v>8228.9701999999997</v>
      </c>
      <c r="G147" s="3">
        <v>792.75009999999997</v>
      </c>
      <c r="H147" s="3">
        <v>2104.1257999999998</v>
      </c>
      <c r="I147" s="3">
        <v>207.59979999999999</v>
      </c>
      <c r="J147" s="3">
        <v>289.45400000000001</v>
      </c>
      <c r="K147" s="3">
        <v>3159.0598</v>
      </c>
      <c r="L147" s="3">
        <v>26941.611700000001</v>
      </c>
      <c r="M147" s="3">
        <v>5349.2798000000003</v>
      </c>
      <c r="N147" s="3">
        <v>680.94259999999997</v>
      </c>
      <c r="O147" s="3">
        <v>1613.9057</v>
      </c>
      <c r="P147" s="3">
        <v>760.85889999999995</v>
      </c>
      <c r="Q147" s="3">
        <v>6553.7587999999996</v>
      </c>
      <c r="R147" s="3">
        <v>248.86959999999999</v>
      </c>
      <c r="S147" s="3">
        <v>424.08659999999998</v>
      </c>
      <c r="T147" s="3">
        <v>192.02099999999999</v>
      </c>
      <c r="U147" s="3">
        <v>170.9468</v>
      </c>
      <c r="V147" s="3">
        <v>28121.017599999999</v>
      </c>
      <c r="W147" s="3">
        <v>600.78859999999997</v>
      </c>
      <c r="X147" s="3">
        <v>1208.0136</v>
      </c>
      <c r="Y147" s="3">
        <v>0</v>
      </c>
      <c r="Z147" s="3">
        <v>77930.303899999999</v>
      </c>
      <c r="AA147" s="3">
        <v>169696.6379</v>
      </c>
    </row>
    <row r="148" spans="1:27" x14ac:dyDescent="0.2">
      <c r="A148" s="3" t="s">
        <v>12</v>
      </c>
      <c r="B148" s="3">
        <v>0.2858</v>
      </c>
      <c r="C148" s="3">
        <v>1354.5088000000001</v>
      </c>
      <c r="D148" s="3">
        <v>177.05590000000001</v>
      </c>
      <c r="E148" s="3">
        <v>376.07409999999999</v>
      </c>
      <c r="F148" s="3">
        <v>4466.1472999999996</v>
      </c>
      <c r="G148" s="3">
        <v>2658.3710000000001</v>
      </c>
      <c r="H148" s="3">
        <v>1156.4606000000001</v>
      </c>
      <c r="I148" s="3">
        <v>349.19869999999997</v>
      </c>
      <c r="J148" s="3">
        <v>1554.0011</v>
      </c>
      <c r="K148" s="3">
        <v>2906.9016999999999</v>
      </c>
      <c r="L148" s="3">
        <v>2756.0155</v>
      </c>
      <c r="M148" s="3">
        <v>1660.4422999999999</v>
      </c>
      <c r="N148" s="3">
        <v>11.5441</v>
      </c>
      <c r="O148" s="3">
        <v>1871.0331000000001</v>
      </c>
      <c r="P148" s="3">
        <v>600.70740000000001</v>
      </c>
      <c r="Q148" s="3">
        <v>746.76649999999995</v>
      </c>
      <c r="R148" s="3">
        <v>479.3793</v>
      </c>
      <c r="S148" s="3">
        <v>800.8374</v>
      </c>
      <c r="T148" s="3">
        <v>300.42309999999998</v>
      </c>
      <c r="U148" s="3">
        <v>626.03869999999995</v>
      </c>
      <c r="V148" s="3">
        <v>2497.3265999999999</v>
      </c>
      <c r="W148" s="3">
        <v>119.34399999999999</v>
      </c>
      <c r="X148" s="3">
        <v>10015.571599999999</v>
      </c>
      <c r="Y148" s="3">
        <v>1.2999999999999999E-3</v>
      </c>
      <c r="Z148" s="3">
        <v>1472.2736</v>
      </c>
      <c r="AA148" s="3">
        <v>38956.7094</v>
      </c>
    </row>
    <row r="149" spans="1:27" x14ac:dyDescent="0.2">
      <c r="A149" s="3" t="s">
        <v>13</v>
      </c>
      <c r="B149" s="3">
        <v>0</v>
      </c>
      <c r="C149" s="3">
        <v>0</v>
      </c>
      <c r="D149" s="3">
        <v>0</v>
      </c>
      <c r="E149" s="3">
        <v>0</v>
      </c>
      <c r="F149" s="3">
        <v>0</v>
      </c>
      <c r="G149" s="3">
        <v>0</v>
      </c>
      <c r="H149" s="3">
        <v>0</v>
      </c>
      <c r="I149" s="3">
        <v>0</v>
      </c>
      <c r="J149" s="3">
        <v>0</v>
      </c>
      <c r="K149" s="3">
        <v>0</v>
      </c>
      <c r="L149" s="3">
        <v>0</v>
      </c>
      <c r="M149" s="3">
        <v>0</v>
      </c>
      <c r="N149" s="3">
        <v>0</v>
      </c>
      <c r="O149" s="3">
        <v>0</v>
      </c>
      <c r="P149" s="3">
        <v>0</v>
      </c>
      <c r="Q149" s="3">
        <v>0</v>
      </c>
      <c r="R149" s="3">
        <v>0</v>
      </c>
      <c r="S149" s="3">
        <v>0</v>
      </c>
      <c r="T149" s="3">
        <v>0</v>
      </c>
      <c r="U149" s="3">
        <v>0</v>
      </c>
      <c r="V149" s="3">
        <v>24241.766800000001</v>
      </c>
      <c r="W149" s="3">
        <v>0</v>
      </c>
      <c r="X149" s="3">
        <v>0</v>
      </c>
      <c r="Y149" s="3">
        <v>0</v>
      </c>
      <c r="Z149" s="3">
        <v>503.63319999999999</v>
      </c>
      <c r="AA149" s="3">
        <v>24745.4</v>
      </c>
    </row>
    <row r="150" spans="1:27" x14ac:dyDescent="0.2">
      <c r="A150" s="3" t="s">
        <v>14</v>
      </c>
      <c r="B150" s="3">
        <v>5.1268000000000002</v>
      </c>
      <c r="C150" s="3">
        <v>3905.6788000000001</v>
      </c>
      <c r="D150" s="3">
        <v>197.2362</v>
      </c>
      <c r="E150" s="3">
        <v>1622.8725999999999</v>
      </c>
      <c r="F150" s="3">
        <v>8870.7577999999994</v>
      </c>
      <c r="G150" s="3">
        <v>535.60419999999999</v>
      </c>
      <c r="H150" s="3">
        <v>2031.3254999999999</v>
      </c>
      <c r="I150" s="3">
        <v>308.73899999999998</v>
      </c>
      <c r="J150" s="3">
        <v>246.4496</v>
      </c>
      <c r="K150" s="3">
        <v>7326.5348999999997</v>
      </c>
      <c r="L150" s="3">
        <v>4336.1288999999997</v>
      </c>
      <c r="M150" s="3">
        <v>2615.5068999999999</v>
      </c>
      <c r="N150" s="3">
        <v>390.20650000000001</v>
      </c>
      <c r="O150" s="3">
        <v>4357.8149999999996</v>
      </c>
      <c r="P150" s="3">
        <v>969.4126</v>
      </c>
      <c r="Q150" s="3">
        <v>1558.6089999999999</v>
      </c>
      <c r="R150" s="3">
        <v>459.6816</v>
      </c>
      <c r="S150" s="3">
        <v>469.26690000000002</v>
      </c>
      <c r="T150" s="3">
        <v>296.15129999999999</v>
      </c>
      <c r="U150" s="3">
        <v>274.3886</v>
      </c>
      <c r="V150" s="3">
        <v>849.68430000000001</v>
      </c>
      <c r="W150" s="3">
        <v>1125.7217000000001</v>
      </c>
      <c r="X150" s="3">
        <v>7815.3175000000001</v>
      </c>
      <c r="Y150" s="3">
        <v>20.684200000000001</v>
      </c>
      <c r="Z150" s="3">
        <v>27272.008999999998</v>
      </c>
      <c r="AA150" s="3">
        <v>77860.909499999994</v>
      </c>
    </row>
    <row r="151" spans="1:27" x14ac:dyDescent="0.2">
      <c r="A151" s="3" t="s">
        <v>15</v>
      </c>
      <c r="B151" s="3">
        <v>0.2198</v>
      </c>
      <c r="C151" s="3">
        <v>1999.4712999999999</v>
      </c>
      <c r="D151" s="3">
        <v>251.50649999999999</v>
      </c>
      <c r="E151" s="3">
        <v>550.51179999999999</v>
      </c>
      <c r="F151" s="3">
        <v>3754.4231</v>
      </c>
      <c r="G151" s="3">
        <v>284.53059999999999</v>
      </c>
      <c r="H151" s="3">
        <v>2810.5752000000002</v>
      </c>
      <c r="I151" s="3">
        <v>97.102199999999996</v>
      </c>
      <c r="J151" s="3">
        <v>146.089</v>
      </c>
      <c r="K151" s="3">
        <v>2915.3108000000002</v>
      </c>
      <c r="L151" s="3">
        <v>1295.8615</v>
      </c>
      <c r="M151" s="3">
        <v>1792.2797</v>
      </c>
      <c r="N151" s="3">
        <v>315.07339999999999</v>
      </c>
      <c r="O151" s="3">
        <v>799.23590000000002</v>
      </c>
      <c r="P151" s="3">
        <v>1797.2317</v>
      </c>
      <c r="Q151" s="3">
        <v>953.32259999999997</v>
      </c>
      <c r="R151" s="3">
        <v>265.96769999999998</v>
      </c>
      <c r="S151" s="3">
        <v>615.37099999999998</v>
      </c>
      <c r="T151" s="3">
        <v>184.1396</v>
      </c>
      <c r="U151" s="3">
        <v>122.13809999999999</v>
      </c>
      <c r="V151" s="3">
        <v>827.2749</v>
      </c>
      <c r="W151" s="3">
        <v>42.6526</v>
      </c>
      <c r="X151" s="3">
        <v>148.01650000000001</v>
      </c>
      <c r="Y151" s="3">
        <v>0.92530000000000001</v>
      </c>
      <c r="Z151" s="3">
        <v>8252.8353999999999</v>
      </c>
      <c r="AA151" s="3">
        <v>30222.066200000001</v>
      </c>
    </row>
    <row r="152" spans="1:27" x14ac:dyDescent="0.2">
      <c r="A152" s="3" t="s">
        <v>16</v>
      </c>
      <c r="B152" s="3">
        <v>0.2324</v>
      </c>
      <c r="C152" s="3">
        <v>125.34650000000001</v>
      </c>
      <c r="D152" s="3">
        <v>55.1496</v>
      </c>
      <c r="E152" s="3">
        <v>130.29509999999999</v>
      </c>
      <c r="F152" s="3">
        <v>736.88649999999996</v>
      </c>
      <c r="G152" s="3">
        <v>153.35390000000001</v>
      </c>
      <c r="H152" s="3">
        <v>376.62450000000001</v>
      </c>
      <c r="I152" s="3">
        <v>27.4312</v>
      </c>
      <c r="J152" s="3">
        <v>70.180700000000002</v>
      </c>
      <c r="K152" s="3">
        <v>639.07360000000006</v>
      </c>
      <c r="L152" s="3">
        <v>378.75450000000001</v>
      </c>
      <c r="M152" s="3">
        <v>399.83600000000001</v>
      </c>
      <c r="N152" s="3">
        <v>4.4215999999999998</v>
      </c>
      <c r="O152" s="3">
        <v>308.38420000000002</v>
      </c>
      <c r="P152" s="3">
        <v>50.219299999999997</v>
      </c>
      <c r="Q152" s="3">
        <v>878.68340000000001</v>
      </c>
      <c r="R152" s="3">
        <v>33.581099999999999</v>
      </c>
      <c r="S152" s="3">
        <v>54.331000000000003</v>
      </c>
      <c r="T152" s="3">
        <v>86.466200000000001</v>
      </c>
      <c r="U152" s="3">
        <v>33.5871</v>
      </c>
      <c r="V152" s="3">
        <v>720.82560000000001</v>
      </c>
      <c r="W152" s="3">
        <v>40426.674700000003</v>
      </c>
      <c r="X152" s="3">
        <v>437.25400000000002</v>
      </c>
      <c r="Y152" s="3">
        <v>-0.1973</v>
      </c>
      <c r="Z152" s="3">
        <v>1161.5942</v>
      </c>
      <c r="AA152" s="3">
        <v>47288.989800000003</v>
      </c>
    </row>
    <row r="153" spans="1:27" x14ac:dyDescent="0.2">
      <c r="A153" s="3" t="s">
        <v>17</v>
      </c>
      <c r="B153" s="3">
        <v>0.12770000000000001</v>
      </c>
      <c r="C153" s="3">
        <v>113.79470000000001</v>
      </c>
      <c r="D153" s="3">
        <v>7.7994000000000003</v>
      </c>
      <c r="E153" s="3">
        <v>19.250299999999999</v>
      </c>
      <c r="F153" s="3">
        <v>274.71839999999997</v>
      </c>
      <c r="G153" s="3">
        <v>29.138999999999999</v>
      </c>
      <c r="H153" s="3">
        <v>99.433599999999998</v>
      </c>
      <c r="I153" s="3">
        <v>17.940799999999999</v>
      </c>
      <c r="J153" s="3">
        <v>19.046199999999999</v>
      </c>
      <c r="K153" s="3">
        <v>314.18700000000001</v>
      </c>
      <c r="L153" s="3">
        <v>165.19139999999999</v>
      </c>
      <c r="M153" s="3">
        <v>76.034300000000002</v>
      </c>
      <c r="N153" s="3">
        <v>7.0587999999999997</v>
      </c>
      <c r="O153" s="3">
        <v>147.18029999999999</v>
      </c>
      <c r="P153" s="3">
        <v>39.795400000000001</v>
      </c>
      <c r="Q153" s="3">
        <v>293.95510000000002</v>
      </c>
      <c r="R153" s="3">
        <v>455.11270000000002</v>
      </c>
      <c r="S153" s="3">
        <v>34.628599999999999</v>
      </c>
      <c r="T153" s="3">
        <v>15.1508</v>
      </c>
      <c r="U153" s="3">
        <v>16.375399999999999</v>
      </c>
      <c r="V153" s="3">
        <v>6884.1547</v>
      </c>
      <c r="W153" s="3">
        <v>9602.6761000000006</v>
      </c>
      <c r="X153" s="3">
        <v>196.0626</v>
      </c>
      <c r="Y153" s="3">
        <v>1.6000000000000001E-3</v>
      </c>
      <c r="Z153" s="3">
        <v>3100.3456000000001</v>
      </c>
      <c r="AA153" s="3">
        <v>21929.160500000002</v>
      </c>
    </row>
    <row r="154" spans="1:27" x14ac:dyDescent="0.2">
      <c r="A154" s="3" t="s">
        <v>18</v>
      </c>
      <c r="B154" s="3">
        <v>4.3299999999999998E-2</v>
      </c>
      <c r="C154" s="3">
        <v>27.471499999999999</v>
      </c>
      <c r="D154" s="3">
        <v>6.0107999999999997</v>
      </c>
      <c r="E154" s="3">
        <v>12.4962</v>
      </c>
      <c r="F154" s="3">
        <v>113.0701</v>
      </c>
      <c r="G154" s="3">
        <v>19.421900000000001</v>
      </c>
      <c r="H154" s="3">
        <v>74.201099999999997</v>
      </c>
      <c r="I154" s="3">
        <v>5.3209</v>
      </c>
      <c r="J154" s="3">
        <v>14.279299999999999</v>
      </c>
      <c r="K154" s="3">
        <v>96.777600000000007</v>
      </c>
      <c r="L154" s="3">
        <v>94.062899999999999</v>
      </c>
      <c r="M154" s="3">
        <v>32.523099999999999</v>
      </c>
      <c r="N154" s="3">
        <v>1.9353</v>
      </c>
      <c r="O154" s="3">
        <v>423.97030000000001</v>
      </c>
      <c r="P154" s="3">
        <v>63.150100000000002</v>
      </c>
      <c r="Q154" s="3">
        <v>413.79700000000003</v>
      </c>
      <c r="R154" s="3">
        <v>25.481100000000001</v>
      </c>
      <c r="S154" s="3">
        <v>3062.5720999999999</v>
      </c>
      <c r="T154" s="3">
        <v>277.58150000000001</v>
      </c>
      <c r="U154" s="3">
        <v>59.344000000000001</v>
      </c>
      <c r="V154" s="3">
        <v>12888.7693</v>
      </c>
      <c r="W154" s="3">
        <v>9810.2224999999999</v>
      </c>
      <c r="X154" s="3">
        <v>94.404700000000005</v>
      </c>
      <c r="Y154" s="3">
        <v>0</v>
      </c>
      <c r="Z154" s="3">
        <v>789.22680000000003</v>
      </c>
      <c r="AA154" s="3">
        <v>28406.133399999999</v>
      </c>
    </row>
    <row r="155" spans="1:27" x14ac:dyDescent="0.2">
      <c r="A155" s="3" t="s">
        <v>19</v>
      </c>
      <c r="B155" s="3">
        <v>1.8200000000000001E-2</v>
      </c>
      <c r="C155" s="3">
        <v>26.596399999999999</v>
      </c>
      <c r="D155" s="3">
        <v>3.7101999999999999</v>
      </c>
      <c r="E155" s="3">
        <v>63.051099999999998</v>
      </c>
      <c r="F155" s="3">
        <v>142.68389999999999</v>
      </c>
      <c r="G155" s="3">
        <v>56.7789</v>
      </c>
      <c r="H155" s="3">
        <v>71.937799999999996</v>
      </c>
      <c r="I155" s="3">
        <v>8.9281000000000006</v>
      </c>
      <c r="J155" s="3">
        <v>17.1402</v>
      </c>
      <c r="K155" s="3">
        <v>212.05940000000001</v>
      </c>
      <c r="L155" s="3">
        <v>330.15929999999997</v>
      </c>
      <c r="M155" s="3">
        <v>28.100200000000001</v>
      </c>
      <c r="N155" s="3">
        <v>0.74</v>
      </c>
      <c r="O155" s="3">
        <v>82.074100000000001</v>
      </c>
      <c r="P155" s="3">
        <v>59.309699999999999</v>
      </c>
      <c r="Q155" s="3">
        <v>27.7255</v>
      </c>
      <c r="R155" s="3">
        <v>202.97649999999999</v>
      </c>
      <c r="S155" s="3">
        <v>23.8155</v>
      </c>
      <c r="T155" s="3">
        <v>292.78919999999999</v>
      </c>
      <c r="U155" s="3">
        <v>22.4404</v>
      </c>
      <c r="V155" s="3">
        <v>3402.8438000000001</v>
      </c>
      <c r="W155" s="3">
        <v>1160.4414999999999</v>
      </c>
      <c r="X155" s="3">
        <v>81.7821</v>
      </c>
      <c r="Y155" s="3">
        <v>0</v>
      </c>
      <c r="Z155" s="3">
        <v>2312.8843000000002</v>
      </c>
      <c r="AA155" s="3">
        <v>8630.9861000000001</v>
      </c>
    </row>
    <row r="156" spans="1:27" x14ac:dyDescent="0.2">
      <c r="A156" s="3" t="s">
        <v>20</v>
      </c>
      <c r="B156" s="3">
        <v>8.3900000000000002E-2</v>
      </c>
      <c r="C156" s="3">
        <v>111.9524</v>
      </c>
      <c r="D156" s="3">
        <v>25.363</v>
      </c>
      <c r="E156" s="3">
        <v>61.066099999999999</v>
      </c>
      <c r="F156" s="3">
        <v>182.82900000000001</v>
      </c>
      <c r="G156" s="3">
        <v>42.122300000000003</v>
      </c>
      <c r="H156" s="3">
        <v>296.40469999999999</v>
      </c>
      <c r="I156" s="3">
        <v>65.706500000000005</v>
      </c>
      <c r="J156" s="3">
        <v>18.154199999999999</v>
      </c>
      <c r="K156" s="3">
        <v>307.67759999999998</v>
      </c>
      <c r="L156" s="3">
        <v>214.37100000000001</v>
      </c>
      <c r="M156" s="3">
        <v>72.451499999999996</v>
      </c>
      <c r="N156" s="3">
        <v>70.106800000000007</v>
      </c>
      <c r="O156" s="3">
        <v>132.5275</v>
      </c>
      <c r="P156" s="3">
        <v>117.3235</v>
      </c>
      <c r="Q156" s="3">
        <v>304.87700000000001</v>
      </c>
      <c r="R156" s="3">
        <v>152.5685</v>
      </c>
      <c r="S156" s="3">
        <v>171.84460000000001</v>
      </c>
      <c r="T156" s="3">
        <v>145.93289999999999</v>
      </c>
      <c r="U156" s="3">
        <v>98.393199999999993</v>
      </c>
      <c r="V156" s="3">
        <v>7146.1581999999999</v>
      </c>
      <c r="W156" s="3">
        <v>78.088099999999997</v>
      </c>
      <c r="X156" s="3">
        <v>56.432299999999998</v>
      </c>
      <c r="Y156" s="3">
        <v>0</v>
      </c>
      <c r="Z156" s="3">
        <v>286.76440000000002</v>
      </c>
      <c r="AA156" s="3">
        <v>10159.1993</v>
      </c>
    </row>
    <row r="157" spans="1:27" x14ac:dyDescent="0.2">
      <c r="A157" s="15" t="s">
        <v>21</v>
      </c>
      <c r="B157" s="15">
        <v>270.0788</v>
      </c>
      <c r="C157" s="15">
        <v>221440.52179999999</v>
      </c>
      <c r="D157" s="15">
        <v>9260.5838000000003</v>
      </c>
      <c r="E157" s="15">
        <v>13127.0746</v>
      </c>
      <c r="F157" s="15">
        <v>101411.4317</v>
      </c>
      <c r="G157" s="15">
        <v>1299.8157000000001</v>
      </c>
      <c r="H157" s="15">
        <v>116756.60890000001</v>
      </c>
      <c r="I157" s="15">
        <v>643.04909999999995</v>
      </c>
      <c r="J157" s="15">
        <v>3208.2932999999998</v>
      </c>
      <c r="K157" s="15">
        <v>69020.604900000006</v>
      </c>
      <c r="L157" s="15">
        <v>39786.058599999997</v>
      </c>
      <c r="M157" s="15">
        <v>919.5181</v>
      </c>
      <c r="N157" s="15">
        <v>0</v>
      </c>
      <c r="O157" s="15">
        <v>19896.1577</v>
      </c>
      <c r="P157" s="15">
        <v>3656.8607000000002</v>
      </c>
      <c r="Q157" s="15">
        <v>8479.5817999999999</v>
      </c>
      <c r="R157" s="15">
        <v>1459.4719</v>
      </c>
      <c r="S157" s="15">
        <v>2790.0219000000002</v>
      </c>
      <c r="T157" s="15">
        <v>682.12099999999998</v>
      </c>
      <c r="U157" s="15">
        <v>1122.1242999999999</v>
      </c>
      <c r="V157" s="15">
        <v>38879.940399999999</v>
      </c>
      <c r="W157" s="15">
        <v>0</v>
      </c>
      <c r="X157" s="15">
        <v>51819.945299999999</v>
      </c>
      <c r="Y157" s="15">
        <v>7334.8778000000002</v>
      </c>
      <c r="Z157" s="15">
        <v>332876.68609999999</v>
      </c>
      <c r="AA157" s="15">
        <v>1046141.4282</v>
      </c>
    </row>
    <row r="158" spans="1:27" x14ac:dyDescent="0.2">
      <c r="A158" s="16" t="s">
        <v>22</v>
      </c>
      <c r="B158" s="16">
        <v>2.7355</v>
      </c>
      <c r="C158" s="16">
        <v>182.24189999999999</v>
      </c>
      <c r="D158" s="16">
        <v>215.0515</v>
      </c>
      <c r="E158" s="16">
        <v>34.3005</v>
      </c>
      <c r="F158" s="16">
        <v>112.8329</v>
      </c>
      <c r="G158" s="16">
        <v>22.488199999999999</v>
      </c>
      <c r="H158" s="16">
        <v>503.91750000000002</v>
      </c>
      <c r="I158" s="16">
        <v>24.4313</v>
      </c>
      <c r="J158" s="16">
        <v>402.78149999999999</v>
      </c>
      <c r="K158" s="16">
        <v>817.32119999999998</v>
      </c>
      <c r="L158" s="16">
        <v>1617.6438000000001</v>
      </c>
      <c r="M158" s="16">
        <v>396.04160000000002</v>
      </c>
      <c r="N158" s="16">
        <v>0</v>
      </c>
      <c r="O158" s="16">
        <v>164.0402</v>
      </c>
      <c r="P158" s="16">
        <v>30.628900000000002</v>
      </c>
      <c r="Q158" s="16">
        <v>212.4314</v>
      </c>
      <c r="R158" s="16">
        <v>144.44630000000001</v>
      </c>
      <c r="S158" s="16">
        <v>810.92460000000005</v>
      </c>
      <c r="T158" s="16">
        <v>109.37860000000001</v>
      </c>
      <c r="U158" s="16">
        <v>33.206800000000001</v>
      </c>
      <c r="V158" s="16">
        <v>17704.1129</v>
      </c>
      <c r="W158" s="16">
        <v>0</v>
      </c>
      <c r="X158" s="16">
        <v>8263.7428999999993</v>
      </c>
      <c r="Y158" s="16">
        <v>0</v>
      </c>
      <c r="Z158" s="16">
        <v>0</v>
      </c>
      <c r="AA158" s="16">
        <v>31804.7</v>
      </c>
    </row>
    <row r="159" spans="1:27" x14ac:dyDescent="0.2">
      <c r="A159" s="7" t="s">
        <v>23</v>
      </c>
      <c r="B159" s="7">
        <v>86.7</v>
      </c>
      <c r="C159" s="7">
        <v>28875.404900000001</v>
      </c>
      <c r="D159" s="7">
        <v>1862.0463999999999</v>
      </c>
      <c r="E159" s="7">
        <v>14884.0851</v>
      </c>
      <c r="F159" s="7">
        <v>26128.797699999999</v>
      </c>
      <c r="G159" s="7">
        <v>5168.4458999999997</v>
      </c>
      <c r="H159" s="7">
        <v>15083.0191</v>
      </c>
      <c r="I159" s="7">
        <v>1620.6025999999999</v>
      </c>
      <c r="J159" s="7">
        <v>3824.9321</v>
      </c>
      <c r="K159" s="7">
        <v>23450.095000000001</v>
      </c>
      <c r="L159" s="7">
        <v>34374.253900000003</v>
      </c>
      <c r="M159" s="7">
        <v>3492.3346000000001</v>
      </c>
      <c r="N159" s="7">
        <v>0</v>
      </c>
      <c r="O159" s="7">
        <v>26688.5085</v>
      </c>
      <c r="P159" s="7">
        <v>9623.9709999999995</v>
      </c>
      <c r="Q159" s="7">
        <v>14524.275100000001</v>
      </c>
      <c r="R159" s="7">
        <v>12878.346799999999</v>
      </c>
      <c r="S159" s="7">
        <v>13655.9414</v>
      </c>
      <c r="T159" s="7">
        <v>2367.5585999999998</v>
      </c>
      <c r="U159" s="7">
        <v>5624.6018000000004</v>
      </c>
      <c r="V159" s="7">
        <v>0</v>
      </c>
      <c r="W159" s="7">
        <v>0</v>
      </c>
      <c r="X159" s="7">
        <v>0</v>
      </c>
      <c r="Y159" s="7">
        <v>0</v>
      </c>
      <c r="Z159" s="7">
        <v>0</v>
      </c>
      <c r="AA159" s="7">
        <v>244213.9203</v>
      </c>
    </row>
    <row r="160" spans="1:27" x14ac:dyDescent="0.2">
      <c r="A160" s="7" t="s">
        <v>24</v>
      </c>
      <c r="B160" s="7">
        <v>6.4</v>
      </c>
      <c r="C160" s="7">
        <v>859.5</v>
      </c>
      <c r="D160" s="7">
        <v>270.7</v>
      </c>
      <c r="E160" s="7">
        <v>1728.8</v>
      </c>
      <c r="F160" s="7">
        <v>-91.1</v>
      </c>
      <c r="G160" s="7">
        <v>-64.099999999999994</v>
      </c>
      <c r="H160" s="7">
        <v>412.4</v>
      </c>
      <c r="I160" s="7">
        <v>81.900000000000006</v>
      </c>
      <c r="J160" s="7">
        <v>-221.3</v>
      </c>
      <c r="K160" s="7">
        <v>-57.3</v>
      </c>
      <c r="L160" s="7">
        <v>-99</v>
      </c>
      <c r="M160" s="7">
        <v>1781.9</v>
      </c>
      <c r="N160" s="7">
        <v>1128.9000000000001</v>
      </c>
      <c r="O160" s="7">
        <v>-394.6</v>
      </c>
      <c r="P160" s="7">
        <v>-145.4</v>
      </c>
      <c r="Q160" s="7">
        <v>24.3</v>
      </c>
      <c r="R160" s="7">
        <v>-119.7</v>
      </c>
      <c r="S160" s="7">
        <v>-66.099999999999994</v>
      </c>
      <c r="T160" s="7">
        <v>165.7</v>
      </c>
      <c r="U160" s="7">
        <v>331.4</v>
      </c>
      <c r="V160" s="7">
        <v>0</v>
      </c>
      <c r="W160" s="7">
        <v>0</v>
      </c>
      <c r="X160" s="7">
        <v>0</v>
      </c>
      <c r="Y160" s="7">
        <v>0</v>
      </c>
      <c r="Z160" s="7">
        <v>0</v>
      </c>
      <c r="AA160" s="7">
        <v>5533.3</v>
      </c>
    </row>
    <row r="161" spans="1:27" x14ac:dyDescent="0.2">
      <c r="A161" s="7" t="s">
        <v>25</v>
      </c>
      <c r="B161" s="7">
        <v>90.525199999999998</v>
      </c>
      <c r="C161" s="7">
        <v>108658.2637</v>
      </c>
      <c r="D161" s="7">
        <v>6044.2293</v>
      </c>
      <c r="E161" s="7">
        <v>4607.6813000000002</v>
      </c>
      <c r="F161" s="7">
        <v>115761.836</v>
      </c>
      <c r="G161" s="7">
        <v>2850.8198000000002</v>
      </c>
      <c r="H161" s="7">
        <v>65383.8289</v>
      </c>
      <c r="I161" s="7">
        <v>1952.9903999999999</v>
      </c>
      <c r="J161" s="7">
        <v>1227.3981000000001</v>
      </c>
      <c r="K161" s="7">
        <v>10610.683300000001</v>
      </c>
      <c r="L161" s="7">
        <v>46466.165000000001</v>
      </c>
      <c r="M161" s="7">
        <v>13428.9259</v>
      </c>
      <c r="N161" s="7">
        <v>19370.400000000001</v>
      </c>
      <c r="O161" s="7">
        <v>7362.4804999999997</v>
      </c>
      <c r="P161" s="7">
        <v>8967.1802000000007</v>
      </c>
      <c r="Q161" s="7">
        <v>672.77160000000003</v>
      </c>
      <c r="R161" s="7">
        <v>2857.6432</v>
      </c>
      <c r="S161" s="7">
        <v>1357.2032999999999</v>
      </c>
      <c r="T161" s="7">
        <v>2246.2802000000001</v>
      </c>
      <c r="U161" s="7">
        <v>296.84640000000002</v>
      </c>
      <c r="V161" s="7">
        <v>0</v>
      </c>
      <c r="W161" s="7">
        <v>0</v>
      </c>
      <c r="X161" s="7">
        <v>0</v>
      </c>
      <c r="Y161" s="7">
        <v>0</v>
      </c>
      <c r="Z161" s="7">
        <v>0</v>
      </c>
      <c r="AA161" s="7">
        <v>420214.15240000002</v>
      </c>
    </row>
    <row r="162" spans="1:27" x14ac:dyDescent="0.2">
      <c r="A162" s="7" t="s">
        <v>27</v>
      </c>
      <c r="B162" s="7">
        <v>741.99860000000001</v>
      </c>
      <c r="C162" s="7">
        <v>476617.81</v>
      </c>
      <c r="D162" s="7">
        <v>23877.1011</v>
      </c>
      <c r="E162" s="7">
        <v>71085.050199999998</v>
      </c>
      <c r="F162" s="7">
        <v>316027.3591</v>
      </c>
      <c r="G162" s="7">
        <v>16798.331999999999</v>
      </c>
      <c r="H162" s="7">
        <v>320144.78480000002</v>
      </c>
      <c r="I162" s="7">
        <v>6537.4173000000001</v>
      </c>
      <c r="J162" s="7">
        <v>14810.2091</v>
      </c>
      <c r="K162" s="7">
        <v>182675.8057</v>
      </c>
      <c r="L162" s="7">
        <v>169696.6379</v>
      </c>
      <c r="M162" s="7">
        <v>38956.7094</v>
      </c>
      <c r="N162" s="7">
        <v>24745.4</v>
      </c>
      <c r="O162" s="7">
        <v>77860.909499999994</v>
      </c>
      <c r="P162" s="7">
        <v>30222.066200000001</v>
      </c>
      <c r="Q162" s="7">
        <v>47288.989800000003</v>
      </c>
      <c r="R162" s="7">
        <v>21929.160500000002</v>
      </c>
      <c r="S162" s="7">
        <v>28406.133399999999</v>
      </c>
      <c r="T162" s="7">
        <v>8630.9861000000001</v>
      </c>
      <c r="U162" s="7">
        <v>10159.1993</v>
      </c>
      <c r="V162" s="7">
        <v>198297.34210000001</v>
      </c>
      <c r="W162" s="7">
        <v>64865.605900000002</v>
      </c>
      <c r="X162" s="7">
        <v>145705.95060000001</v>
      </c>
      <c r="Y162" s="7">
        <v>10241.200000000001</v>
      </c>
      <c r="Z162" s="7">
        <v>1328797.4021999999</v>
      </c>
      <c r="AA162" s="7">
        <v>3635119.5606999998</v>
      </c>
    </row>
    <row r="166" spans="1:27" ht="16" customHeight="1" x14ac:dyDescent="0.2">
      <c r="B166" s="27" t="s">
        <v>71</v>
      </c>
      <c r="C166" s="27"/>
      <c r="D166" s="27"/>
      <c r="E166" s="27"/>
      <c r="F166" s="27"/>
      <c r="G166" s="27"/>
      <c r="H166" s="27"/>
      <c r="I166" s="27"/>
      <c r="J166" s="27"/>
      <c r="K166" s="27"/>
    </row>
    <row r="167" spans="1:27" x14ac:dyDescent="0.2">
      <c r="B167" s="28"/>
      <c r="C167" s="28"/>
      <c r="D167" s="28"/>
      <c r="E167" s="28"/>
      <c r="F167" s="28"/>
      <c r="G167" s="28"/>
      <c r="H167" s="28"/>
      <c r="I167" s="28"/>
      <c r="J167" s="28"/>
      <c r="K167" s="28"/>
    </row>
    <row r="168" spans="1:27" x14ac:dyDescent="0.2">
      <c r="B168" s="28"/>
      <c r="C168" s="28"/>
      <c r="D168" s="28"/>
      <c r="E168" s="28"/>
      <c r="F168" s="28"/>
      <c r="G168" s="28"/>
      <c r="H168" s="28"/>
      <c r="I168" s="28"/>
      <c r="J168" s="28"/>
      <c r="K168" s="28"/>
    </row>
    <row r="169" spans="1:27" x14ac:dyDescent="0.2">
      <c r="B169" s="28"/>
      <c r="C169" s="28"/>
      <c r="D169" s="28"/>
      <c r="E169" s="28"/>
      <c r="F169" s="28"/>
      <c r="G169" s="28"/>
      <c r="H169" s="28"/>
      <c r="I169" s="28"/>
      <c r="J169" s="28"/>
      <c r="K169" s="28"/>
    </row>
    <row r="170" spans="1:27" x14ac:dyDescent="0.2">
      <c r="B170" s="28"/>
      <c r="C170" s="28"/>
      <c r="D170" s="28"/>
      <c r="E170" s="28"/>
      <c r="F170" s="28"/>
      <c r="G170" s="28"/>
      <c r="H170" s="28"/>
      <c r="I170" s="28"/>
      <c r="J170" s="28"/>
      <c r="K170" s="28"/>
    </row>
    <row r="171" spans="1:27" x14ac:dyDescent="0.2">
      <c r="B171" s="28"/>
      <c r="C171" s="28"/>
      <c r="D171" s="28"/>
      <c r="E171" s="28"/>
      <c r="F171" s="28"/>
      <c r="G171" s="28"/>
      <c r="H171" s="28"/>
      <c r="I171" s="28"/>
      <c r="J171" s="28"/>
      <c r="K171" s="28"/>
    </row>
    <row r="172" spans="1:27" x14ac:dyDescent="0.2">
      <c r="B172" s="28"/>
      <c r="C172" s="28"/>
      <c r="D172" s="28"/>
      <c r="E172" s="28"/>
      <c r="F172" s="28"/>
      <c r="G172" s="28"/>
      <c r="H172" s="28"/>
      <c r="I172" s="28"/>
      <c r="J172" s="28"/>
      <c r="K172" s="28"/>
    </row>
    <row r="173" spans="1:27" x14ac:dyDescent="0.2">
      <c r="B173" s="28"/>
      <c r="C173" s="28"/>
      <c r="D173" s="28"/>
      <c r="E173" s="28"/>
      <c r="F173" s="28"/>
      <c r="G173" s="28"/>
      <c r="H173" s="28"/>
      <c r="I173" s="28"/>
      <c r="J173" s="28"/>
      <c r="K173" s="28"/>
    </row>
    <row r="174" spans="1:27" x14ac:dyDescent="0.2">
      <c r="B174" s="28"/>
      <c r="C174" s="28"/>
      <c r="D174" s="28"/>
      <c r="E174" s="28"/>
      <c r="F174" s="28"/>
      <c r="G174" s="28"/>
      <c r="H174" s="28"/>
      <c r="I174" s="28"/>
      <c r="J174" s="28"/>
      <c r="K174" s="28"/>
    </row>
    <row r="175" spans="1:27" x14ac:dyDescent="0.2">
      <c r="B175" s="28"/>
      <c r="C175" s="28"/>
      <c r="D175" s="28"/>
      <c r="E175" s="28"/>
      <c r="F175" s="28"/>
      <c r="G175" s="28"/>
      <c r="H175" s="28"/>
      <c r="I175" s="28"/>
      <c r="J175" s="28"/>
      <c r="K175" s="28"/>
    </row>
    <row r="176" spans="1:27" x14ac:dyDescent="0.2">
      <c r="B176" s="28"/>
      <c r="C176" s="28"/>
      <c r="D176" s="28"/>
      <c r="E176" s="28"/>
      <c r="F176" s="28"/>
      <c r="G176" s="28"/>
      <c r="H176" s="28"/>
      <c r="I176" s="28"/>
      <c r="J176" s="28"/>
      <c r="K176" s="28"/>
    </row>
    <row r="177" spans="2:11" x14ac:dyDescent="0.2">
      <c r="B177" s="28"/>
      <c r="C177" s="28"/>
      <c r="D177" s="28"/>
      <c r="E177" s="28"/>
      <c r="F177" s="28"/>
      <c r="G177" s="28"/>
      <c r="H177" s="28"/>
      <c r="I177" s="28"/>
      <c r="J177" s="28"/>
      <c r="K177" s="28"/>
    </row>
    <row r="178" spans="2:11" x14ac:dyDescent="0.2">
      <c r="B178" s="28"/>
      <c r="C178" s="28"/>
      <c r="D178" s="28"/>
      <c r="E178" s="28"/>
      <c r="F178" s="28"/>
      <c r="G178" s="28"/>
      <c r="H178" s="28"/>
      <c r="I178" s="28"/>
      <c r="J178" s="28"/>
      <c r="K178" s="28"/>
    </row>
  </sheetData>
  <mergeCells count="9">
    <mergeCell ref="B166:K178"/>
    <mergeCell ref="AC111:AL115"/>
    <mergeCell ref="A135:AA135"/>
    <mergeCell ref="A104:AA104"/>
    <mergeCell ref="A6:X6"/>
    <mergeCell ref="A37:AA37"/>
    <mergeCell ref="A71:AA71"/>
    <mergeCell ref="AC64:AL68"/>
    <mergeCell ref="AC63:AL6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59A3A-E4C8-EE48-B197-C9F811DF3CD8}">
  <dimension ref="A2:BU98"/>
  <sheetViews>
    <sheetView topLeftCell="A64" zoomScale="88" workbookViewId="0">
      <selection activeCell="A71" sqref="A71:AA98"/>
    </sheetView>
  </sheetViews>
  <sheetFormatPr baseColWidth="10" defaultRowHeight="16" x14ac:dyDescent="0.2"/>
  <cols>
    <col min="1" max="1" width="34" bestFit="1" customWidth="1"/>
    <col min="28" max="28" width="21.6640625" customWidth="1"/>
    <col min="29" max="29" width="34" bestFit="1" customWidth="1"/>
    <col min="50" max="50" width="16.6640625" customWidth="1"/>
    <col min="53" max="53" width="21.83203125" customWidth="1"/>
  </cols>
  <sheetData>
    <row r="2" spans="1:73" ht="19" customHeight="1" x14ac:dyDescent="0.2">
      <c r="A2" s="23" t="s">
        <v>55</v>
      </c>
      <c r="B2" s="23"/>
      <c r="C2" s="23"/>
      <c r="D2" s="23"/>
      <c r="E2" s="23"/>
      <c r="F2" s="23"/>
      <c r="G2" s="23"/>
      <c r="H2" s="23"/>
      <c r="I2" s="23"/>
      <c r="J2" s="23"/>
      <c r="K2" s="23"/>
      <c r="L2" s="23"/>
      <c r="M2" s="23"/>
      <c r="N2" s="23"/>
      <c r="O2" s="23"/>
      <c r="P2" s="23"/>
      <c r="Q2" s="23"/>
      <c r="R2" s="23"/>
      <c r="S2" s="23"/>
      <c r="T2" s="23"/>
      <c r="U2" s="23"/>
      <c r="V2" s="23"/>
      <c r="W2" s="23"/>
      <c r="X2" s="23"/>
      <c r="AB2" s="22" t="s">
        <v>78</v>
      </c>
      <c r="AC2" s="23"/>
      <c r="AD2" s="23"/>
      <c r="AE2" s="23"/>
      <c r="AF2" s="23"/>
      <c r="AG2" s="23"/>
      <c r="AH2" s="23"/>
      <c r="AI2" s="23"/>
      <c r="AJ2" s="23"/>
      <c r="AK2" s="23"/>
      <c r="AL2" s="23"/>
      <c r="AM2" s="23"/>
      <c r="AN2" s="23"/>
      <c r="AO2" s="23"/>
      <c r="AP2" s="23"/>
      <c r="AQ2" s="23"/>
      <c r="AR2" s="23"/>
      <c r="AS2" s="23"/>
      <c r="AT2" s="23"/>
      <c r="AU2" s="23"/>
      <c r="AV2" s="23"/>
      <c r="AW2" s="23"/>
      <c r="BA2" s="31" t="s">
        <v>98</v>
      </c>
      <c r="BB2" s="32"/>
      <c r="BC2" s="32"/>
      <c r="BD2" s="32"/>
      <c r="BE2" s="32"/>
      <c r="BF2" s="32"/>
      <c r="BG2" s="32"/>
      <c r="BH2" s="32"/>
      <c r="BI2" s="32"/>
      <c r="BJ2" s="32"/>
      <c r="BK2" s="32"/>
      <c r="BL2" s="32"/>
      <c r="BM2" s="32"/>
      <c r="BN2" s="32"/>
      <c r="BO2" s="32"/>
      <c r="BP2" s="32"/>
      <c r="BQ2" s="32"/>
      <c r="BR2" s="32"/>
      <c r="BS2" s="32"/>
      <c r="BT2" s="32"/>
      <c r="BU2" s="33"/>
    </row>
    <row r="3" spans="1:73" ht="102" x14ac:dyDescent="0.2">
      <c r="A3" s="8" t="s">
        <v>74</v>
      </c>
      <c r="B3" s="13" t="s">
        <v>1</v>
      </c>
      <c r="C3" s="13" t="s">
        <v>2</v>
      </c>
      <c r="D3" s="13" t="s">
        <v>3</v>
      </c>
      <c r="E3" s="13" t="s">
        <v>4</v>
      </c>
      <c r="F3" s="13" t="s">
        <v>5</v>
      </c>
      <c r="G3" s="13" t="s">
        <v>6</v>
      </c>
      <c r="H3" s="13" t="s">
        <v>7</v>
      </c>
      <c r="I3" s="13" t="s">
        <v>8</v>
      </c>
      <c r="J3" s="13" t="s">
        <v>9</v>
      </c>
      <c r="K3" s="13" t="s">
        <v>10</v>
      </c>
      <c r="L3" s="13" t="s">
        <v>11</v>
      </c>
      <c r="M3" s="13" t="s">
        <v>12</v>
      </c>
      <c r="N3" s="13" t="s">
        <v>13</v>
      </c>
      <c r="O3" s="13" t="s">
        <v>14</v>
      </c>
      <c r="P3" s="13" t="s">
        <v>15</v>
      </c>
      <c r="Q3" s="13" t="s">
        <v>16</v>
      </c>
      <c r="R3" s="13" t="s">
        <v>17</v>
      </c>
      <c r="S3" s="13" t="s">
        <v>18</v>
      </c>
      <c r="T3" s="13" t="s">
        <v>19</v>
      </c>
      <c r="U3" s="13" t="s">
        <v>20</v>
      </c>
      <c r="V3" s="13" t="s">
        <v>21</v>
      </c>
      <c r="W3" s="13" t="s">
        <v>57</v>
      </c>
      <c r="X3" s="8" t="s">
        <v>49</v>
      </c>
      <c r="AB3" s="8" t="s">
        <v>77</v>
      </c>
      <c r="AC3" s="3" t="s">
        <v>1</v>
      </c>
      <c r="AD3" s="3" t="s">
        <v>2</v>
      </c>
      <c r="AE3" s="3" t="s">
        <v>3</v>
      </c>
      <c r="AF3" s="3" t="s">
        <v>4</v>
      </c>
      <c r="AG3" s="3" t="s">
        <v>5</v>
      </c>
      <c r="AH3" s="3" t="s">
        <v>6</v>
      </c>
      <c r="AI3" s="3" t="s">
        <v>7</v>
      </c>
      <c r="AJ3" s="3" t="s">
        <v>8</v>
      </c>
      <c r="AK3" s="3" t="s">
        <v>9</v>
      </c>
      <c r="AL3" s="3" t="s">
        <v>10</v>
      </c>
      <c r="AM3" s="3" t="s">
        <v>11</v>
      </c>
      <c r="AN3" s="3" t="s">
        <v>12</v>
      </c>
      <c r="AO3" s="3" t="s">
        <v>13</v>
      </c>
      <c r="AP3" s="3" t="s">
        <v>14</v>
      </c>
      <c r="AQ3" s="3" t="s">
        <v>15</v>
      </c>
      <c r="AR3" s="3" t="s">
        <v>16</v>
      </c>
      <c r="AS3" s="3" t="s">
        <v>17</v>
      </c>
      <c r="AT3" s="3" t="s">
        <v>18</v>
      </c>
      <c r="AU3" s="3" t="s">
        <v>19</v>
      </c>
      <c r="AV3" s="3" t="s">
        <v>20</v>
      </c>
      <c r="AW3" s="3" t="s">
        <v>49</v>
      </c>
      <c r="BA3" s="8" t="s">
        <v>77</v>
      </c>
      <c r="BB3" s="3" t="s">
        <v>1</v>
      </c>
      <c r="BC3" s="3" t="s">
        <v>2</v>
      </c>
      <c r="BD3" s="3" t="s">
        <v>3</v>
      </c>
      <c r="BE3" s="3" t="s">
        <v>4</v>
      </c>
      <c r="BF3" s="3" t="s">
        <v>5</v>
      </c>
      <c r="BG3" s="3" t="s">
        <v>6</v>
      </c>
      <c r="BH3" s="3" t="s">
        <v>7</v>
      </c>
      <c r="BI3" s="3" t="s">
        <v>8</v>
      </c>
      <c r="BJ3" s="3" t="s">
        <v>9</v>
      </c>
      <c r="BK3" s="3" t="s">
        <v>10</v>
      </c>
      <c r="BL3" s="3" t="s">
        <v>11</v>
      </c>
      <c r="BM3" s="3" t="s">
        <v>12</v>
      </c>
      <c r="BN3" s="3" t="s">
        <v>13</v>
      </c>
      <c r="BO3" s="3" t="s">
        <v>14</v>
      </c>
      <c r="BP3" s="3" t="s">
        <v>15</v>
      </c>
      <c r="BQ3" s="3" t="s">
        <v>16</v>
      </c>
      <c r="BR3" s="3" t="s">
        <v>17</v>
      </c>
      <c r="BS3" s="3" t="s">
        <v>18</v>
      </c>
      <c r="BT3" s="3" t="s">
        <v>19</v>
      </c>
      <c r="BU3" s="3" t="s">
        <v>20</v>
      </c>
    </row>
    <row r="4" spans="1:73" ht="17" x14ac:dyDescent="0.2">
      <c r="A4" s="3" t="s">
        <v>1</v>
      </c>
      <c r="B4" s="19">
        <v>674.30219999999997</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3">
        <v>4716.8773000000001</v>
      </c>
      <c r="W4" s="3">
        <v>8389.0831999999991</v>
      </c>
      <c r="X4" s="1">
        <v>13780.2628</v>
      </c>
      <c r="AB4" s="8" t="s">
        <v>1</v>
      </c>
      <c r="AC4" s="3">
        <v>674.30219999999997</v>
      </c>
      <c r="AD4" s="3">
        <v>0</v>
      </c>
      <c r="AE4" s="3">
        <v>0</v>
      </c>
      <c r="AF4" s="3">
        <v>0</v>
      </c>
      <c r="AG4" s="3">
        <v>19.755099999999999</v>
      </c>
      <c r="AH4" s="3">
        <v>0</v>
      </c>
      <c r="AI4" s="3">
        <v>0</v>
      </c>
      <c r="AJ4" s="3">
        <v>0</v>
      </c>
      <c r="AK4" s="3">
        <v>0</v>
      </c>
      <c r="AL4" s="3">
        <v>0</v>
      </c>
      <c r="AM4" s="3">
        <v>0</v>
      </c>
      <c r="AN4" s="3">
        <v>2.2086000000000001</v>
      </c>
      <c r="AO4" s="3">
        <v>0</v>
      </c>
      <c r="AP4" s="3">
        <v>33.186399999999999</v>
      </c>
      <c r="AQ4" s="3">
        <v>12.5463</v>
      </c>
      <c r="AR4" s="3">
        <v>0</v>
      </c>
      <c r="AS4" s="3">
        <v>0</v>
      </c>
      <c r="AT4" s="3">
        <v>0</v>
      </c>
      <c r="AU4" s="3">
        <v>0</v>
      </c>
      <c r="AV4" s="3">
        <v>0</v>
      </c>
      <c r="AW4" s="3">
        <v>741.99860000000001</v>
      </c>
      <c r="BA4" s="8" t="s">
        <v>1</v>
      </c>
      <c r="BB4" s="3">
        <v>1</v>
      </c>
      <c r="BC4" s="3">
        <v>0</v>
      </c>
      <c r="BD4" s="3">
        <v>0</v>
      </c>
      <c r="BE4" s="3">
        <v>0</v>
      </c>
      <c r="BF4" s="3">
        <v>6.6850607497294384E-5</v>
      </c>
      <c r="BG4" s="3">
        <v>0</v>
      </c>
      <c r="BH4" s="3">
        <v>0</v>
      </c>
      <c r="BI4" s="3">
        <v>0</v>
      </c>
      <c r="BJ4" s="3">
        <v>0</v>
      </c>
      <c r="BK4" s="3">
        <v>0</v>
      </c>
      <c r="BL4" s="3">
        <v>0</v>
      </c>
      <c r="BM4" s="3">
        <v>5.1202598961019836E-5</v>
      </c>
      <c r="BN4" s="3">
        <v>0</v>
      </c>
      <c r="BO4" s="3">
        <v>3.1955138815129111E-4</v>
      </c>
      <c r="BP4" s="3">
        <v>2.7960557123845198E-4</v>
      </c>
      <c r="BQ4" s="3">
        <v>0</v>
      </c>
      <c r="BR4" s="3">
        <v>0</v>
      </c>
      <c r="BS4" s="3">
        <v>0</v>
      </c>
      <c r="BT4" s="3">
        <v>0</v>
      </c>
      <c r="BU4" s="3">
        <v>0</v>
      </c>
    </row>
    <row r="5" spans="1:73" ht="17" x14ac:dyDescent="0.2">
      <c r="A5" s="3" t="s">
        <v>2</v>
      </c>
      <c r="B5" s="19">
        <v>0</v>
      </c>
      <c r="C5" s="19">
        <v>457858.86099999998</v>
      </c>
      <c r="D5" s="19">
        <v>6.4428999999999998</v>
      </c>
      <c r="E5" s="19">
        <v>0</v>
      </c>
      <c r="F5" s="19">
        <v>856.12620000000004</v>
      </c>
      <c r="G5" s="19">
        <v>0</v>
      </c>
      <c r="H5" s="19">
        <v>738.42960000000005</v>
      </c>
      <c r="I5" s="19">
        <v>0</v>
      </c>
      <c r="J5" s="19">
        <v>0</v>
      </c>
      <c r="K5" s="19">
        <v>21.9863</v>
      </c>
      <c r="L5" s="19">
        <v>0</v>
      </c>
      <c r="M5" s="19">
        <v>0.1991</v>
      </c>
      <c r="N5" s="19">
        <v>0</v>
      </c>
      <c r="O5" s="19">
        <v>3293.8038999999999</v>
      </c>
      <c r="P5" s="19">
        <v>147.34790000000001</v>
      </c>
      <c r="Q5" s="19">
        <v>4.1288999999999998</v>
      </c>
      <c r="R5" s="19">
        <v>0.25850000000000001</v>
      </c>
      <c r="S5" s="19">
        <v>0</v>
      </c>
      <c r="T5" s="19">
        <v>0</v>
      </c>
      <c r="U5" s="19">
        <v>0</v>
      </c>
      <c r="V5" s="3">
        <v>666036.99560000002</v>
      </c>
      <c r="W5" s="3">
        <v>300014.42219999997</v>
      </c>
      <c r="X5" s="1">
        <v>1428979.0020000001</v>
      </c>
      <c r="Z5" s="34" t="s">
        <v>80</v>
      </c>
      <c r="AB5" s="8" t="s">
        <v>2</v>
      </c>
      <c r="AC5" s="3">
        <v>0</v>
      </c>
      <c r="AD5" s="3">
        <v>457858.86099999998</v>
      </c>
      <c r="AE5" s="3">
        <v>489.56880000000001</v>
      </c>
      <c r="AF5" s="3">
        <v>246.27680000000001</v>
      </c>
      <c r="AG5" s="3">
        <v>10619.0069</v>
      </c>
      <c r="AH5" s="3">
        <v>0</v>
      </c>
      <c r="AI5" s="3">
        <v>313.34230000000002</v>
      </c>
      <c r="AJ5" s="3">
        <v>0</v>
      </c>
      <c r="AK5" s="3">
        <v>0</v>
      </c>
      <c r="AL5" s="3">
        <v>657.1961</v>
      </c>
      <c r="AM5" s="3">
        <v>55.698</v>
      </c>
      <c r="AN5" s="3">
        <v>296.43520000000001</v>
      </c>
      <c r="AO5" s="3">
        <v>0</v>
      </c>
      <c r="AP5" s="3">
        <v>4059.9173999999998</v>
      </c>
      <c r="AQ5" s="3">
        <v>1897.0784000000001</v>
      </c>
      <c r="AR5" s="3">
        <v>0</v>
      </c>
      <c r="AS5" s="3">
        <v>44.935499999999998</v>
      </c>
      <c r="AT5" s="3">
        <v>0</v>
      </c>
      <c r="AU5" s="3">
        <v>0</v>
      </c>
      <c r="AV5" s="3">
        <v>79.493700000000004</v>
      </c>
      <c r="AW5" s="3">
        <v>476617.81009999994</v>
      </c>
      <c r="BA5" s="8" t="s">
        <v>2</v>
      </c>
      <c r="BB5" s="3">
        <v>0</v>
      </c>
      <c r="BC5" s="3">
        <v>0.98905072095095714</v>
      </c>
      <c r="BD5" s="3">
        <v>2.025030064988622E-2</v>
      </c>
      <c r="BE5" s="3">
        <v>3.3695127402086564E-3</v>
      </c>
      <c r="BF5" s="3">
        <v>3.5934369468287222E-2</v>
      </c>
      <c r="BG5" s="3">
        <v>0</v>
      </c>
      <c r="BH5" s="3">
        <v>9.5919461647141658E-4</v>
      </c>
      <c r="BI5" s="3">
        <v>0</v>
      </c>
      <c r="BJ5" s="3">
        <v>0</v>
      </c>
      <c r="BK5" s="3">
        <v>3.6503880629380186E-3</v>
      </c>
      <c r="BL5" s="3">
        <v>3.5205721506077401E-4</v>
      </c>
      <c r="BM5" s="3">
        <v>6.8723411498368683E-3</v>
      </c>
      <c r="BN5" s="3">
        <v>0</v>
      </c>
      <c r="BO5" s="3">
        <v>3.9092888681796778E-2</v>
      </c>
      <c r="BP5" s="3">
        <v>4.2278097105611104E-2</v>
      </c>
      <c r="BQ5" s="3">
        <v>0</v>
      </c>
      <c r="BR5" s="3">
        <v>2.1899074291325989E-3</v>
      </c>
      <c r="BS5" s="3">
        <v>0</v>
      </c>
      <c r="BT5" s="3">
        <v>0</v>
      </c>
      <c r="BU5" s="3">
        <v>7.4378435415721252E-3</v>
      </c>
    </row>
    <row r="6" spans="1:73" ht="17" x14ac:dyDescent="0.2">
      <c r="A6" s="3" t="s">
        <v>3</v>
      </c>
      <c r="B6" s="19">
        <v>0</v>
      </c>
      <c r="C6" s="19">
        <v>489.56880000000001</v>
      </c>
      <c r="D6" s="19">
        <v>23455.824799999999</v>
      </c>
      <c r="E6" s="19">
        <v>0</v>
      </c>
      <c r="F6" s="19">
        <v>0</v>
      </c>
      <c r="G6" s="19">
        <v>0</v>
      </c>
      <c r="H6" s="19">
        <v>0</v>
      </c>
      <c r="I6" s="19">
        <v>0</v>
      </c>
      <c r="J6" s="19">
        <v>0</v>
      </c>
      <c r="K6" s="19">
        <v>0</v>
      </c>
      <c r="L6" s="19">
        <v>0</v>
      </c>
      <c r="M6" s="19">
        <v>0</v>
      </c>
      <c r="N6" s="19">
        <v>0</v>
      </c>
      <c r="O6" s="19">
        <v>0</v>
      </c>
      <c r="P6" s="19">
        <v>0</v>
      </c>
      <c r="Q6" s="19">
        <v>230.4845</v>
      </c>
      <c r="R6" s="19">
        <v>0</v>
      </c>
      <c r="S6" s="19">
        <v>0</v>
      </c>
      <c r="T6" s="19">
        <v>0</v>
      </c>
      <c r="U6" s="19">
        <v>0</v>
      </c>
      <c r="V6" s="3">
        <v>10887.836499999999</v>
      </c>
      <c r="W6" s="3">
        <v>4004.7804000000001</v>
      </c>
      <c r="X6" s="1">
        <v>39068.495000000003</v>
      </c>
      <c r="Z6" s="34"/>
      <c r="AB6" s="8" t="s">
        <v>3</v>
      </c>
      <c r="AC6" s="3">
        <v>0</v>
      </c>
      <c r="AD6" s="3">
        <v>6.4428999999999998</v>
      </c>
      <c r="AE6" s="3">
        <v>23455.824799999999</v>
      </c>
      <c r="AF6" s="3">
        <v>33.706099999999999</v>
      </c>
      <c r="AG6" s="3">
        <v>0.40989999999999999</v>
      </c>
      <c r="AH6" s="3">
        <v>0</v>
      </c>
      <c r="AI6" s="3">
        <v>44.896500000000003</v>
      </c>
      <c r="AJ6" s="3">
        <v>0</v>
      </c>
      <c r="AK6" s="3">
        <v>0</v>
      </c>
      <c r="AL6" s="3">
        <v>29.166399999999999</v>
      </c>
      <c r="AM6" s="3">
        <v>0</v>
      </c>
      <c r="AN6" s="3">
        <v>33.636299999999999</v>
      </c>
      <c r="AO6" s="3">
        <v>0</v>
      </c>
      <c r="AP6" s="3">
        <v>251.1609</v>
      </c>
      <c r="AQ6" s="3">
        <v>21.857299999999999</v>
      </c>
      <c r="AR6" s="3">
        <v>0</v>
      </c>
      <c r="AS6" s="3">
        <v>0</v>
      </c>
      <c r="AT6" s="3">
        <v>0</v>
      </c>
      <c r="AU6" s="3">
        <v>0</v>
      </c>
      <c r="AV6" s="3">
        <v>0</v>
      </c>
      <c r="AW6" s="3">
        <v>23877.101099999989</v>
      </c>
      <c r="BA6" s="8" t="s">
        <v>3</v>
      </c>
      <c r="BB6" s="3">
        <v>0</v>
      </c>
      <c r="BC6" s="3">
        <v>1.3917727563680202E-5</v>
      </c>
      <c r="BD6" s="3">
        <v>0.97021604356947844</v>
      </c>
      <c r="BE6" s="3">
        <v>4.6116050465470963E-4</v>
      </c>
      <c r="BF6" s="3">
        <v>1.3870880943726414E-6</v>
      </c>
      <c r="BG6" s="3">
        <v>0</v>
      </c>
      <c r="BH6" s="3">
        <v>1.3743590028671187E-4</v>
      </c>
      <c r="BI6" s="3">
        <v>0</v>
      </c>
      <c r="BJ6" s="3">
        <v>0</v>
      </c>
      <c r="BK6" s="3">
        <v>1.6200442820472522E-4</v>
      </c>
      <c r="BL6" s="3">
        <v>0</v>
      </c>
      <c r="BM6" s="3">
        <v>7.7979986391041897E-4</v>
      </c>
      <c r="BN6" s="3">
        <v>0</v>
      </c>
      <c r="BO6" s="3">
        <v>2.418424844042367E-3</v>
      </c>
      <c r="BP6" s="3">
        <v>4.8710957431515397E-4</v>
      </c>
      <c r="BQ6" s="3">
        <v>0</v>
      </c>
      <c r="BR6" s="3">
        <v>0</v>
      </c>
      <c r="BS6" s="3">
        <v>0</v>
      </c>
      <c r="BT6" s="3">
        <v>0</v>
      </c>
      <c r="BU6" s="3">
        <v>0</v>
      </c>
    </row>
    <row r="7" spans="1:73" ht="17" x14ac:dyDescent="0.2">
      <c r="A7" s="3" t="s">
        <v>4</v>
      </c>
      <c r="B7" s="19">
        <v>0</v>
      </c>
      <c r="C7" s="19">
        <v>246.27680000000001</v>
      </c>
      <c r="D7" s="19">
        <v>33.706099999999999</v>
      </c>
      <c r="E7" s="19">
        <v>69866.753500000006</v>
      </c>
      <c r="F7" s="19">
        <v>72.208600000000004</v>
      </c>
      <c r="G7" s="19">
        <v>0</v>
      </c>
      <c r="H7" s="19">
        <v>3.3999999999999998E-3</v>
      </c>
      <c r="I7" s="19">
        <v>0</v>
      </c>
      <c r="J7" s="19">
        <v>0</v>
      </c>
      <c r="K7" s="19">
        <v>7.9268000000000001</v>
      </c>
      <c r="L7" s="19">
        <v>0</v>
      </c>
      <c r="M7" s="19">
        <v>0</v>
      </c>
      <c r="N7" s="19">
        <v>0</v>
      </c>
      <c r="O7" s="19">
        <v>2750.3438000000001</v>
      </c>
      <c r="P7" s="19">
        <v>27.5961</v>
      </c>
      <c r="Q7" s="19">
        <v>80.843699999999998</v>
      </c>
      <c r="R7" s="19">
        <v>0</v>
      </c>
      <c r="S7" s="19">
        <v>0</v>
      </c>
      <c r="T7" s="19">
        <v>2.3561999999999999</v>
      </c>
      <c r="U7" s="19">
        <v>1.722</v>
      </c>
      <c r="V7" s="3">
        <v>258.8777</v>
      </c>
      <c r="W7" s="3">
        <v>0</v>
      </c>
      <c r="X7" s="1">
        <v>73348.614700000006</v>
      </c>
      <c r="Z7" s="34"/>
      <c r="AB7" s="8" t="s">
        <v>4</v>
      </c>
      <c r="AC7" s="3">
        <v>0</v>
      </c>
      <c r="AD7" s="3">
        <v>0</v>
      </c>
      <c r="AE7" s="3">
        <v>0</v>
      </c>
      <c r="AF7" s="3">
        <v>69866.753500000006</v>
      </c>
      <c r="AG7" s="3">
        <v>250.66669999999999</v>
      </c>
      <c r="AH7" s="3">
        <v>0</v>
      </c>
      <c r="AI7" s="3">
        <v>75.816199999999995</v>
      </c>
      <c r="AJ7" s="3">
        <v>0</v>
      </c>
      <c r="AK7" s="3">
        <v>0</v>
      </c>
      <c r="AL7" s="3">
        <v>23.265899999999998</v>
      </c>
      <c r="AM7" s="3">
        <v>0</v>
      </c>
      <c r="AN7" s="3">
        <v>181.72329999999999</v>
      </c>
      <c r="AO7" s="3">
        <v>0</v>
      </c>
      <c r="AP7" s="3">
        <v>150.08349999999999</v>
      </c>
      <c r="AQ7" s="3">
        <v>536.74099999999999</v>
      </c>
      <c r="AR7" s="3">
        <v>0</v>
      </c>
      <c r="AS7" s="3">
        <v>0</v>
      </c>
      <c r="AT7" s="3">
        <v>0</v>
      </c>
      <c r="AU7" s="3">
        <v>0</v>
      </c>
      <c r="AV7" s="3">
        <v>0</v>
      </c>
      <c r="AW7" s="3">
        <v>71085.050099999993</v>
      </c>
      <c r="BA7" s="8" t="s">
        <v>4</v>
      </c>
      <c r="BB7" s="3">
        <v>0</v>
      </c>
      <c r="BC7" s="3">
        <v>0</v>
      </c>
      <c r="BD7" s="3">
        <v>0</v>
      </c>
      <c r="BE7" s="3">
        <v>0.95590374747141327</v>
      </c>
      <c r="BF7" s="3">
        <v>8.4824785368548081E-4</v>
      </c>
      <c r="BG7" s="3">
        <v>0</v>
      </c>
      <c r="BH7" s="3">
        <v>2.3208641438235501E-4</v>
      </c>
      <c r="BI7" s="3">
        <v>0</v>
      </c>
      <c r="BJ7" s="3">
        <v>0</v>
      </c>
      <c r="BK7" s="3">
        <v>1.2923016985875242E-4</v>
      </c>
      <c r="BL7" s="3">
        <v>0</v>
      </c>
      <c r="BM7" s="3">
        <v>4.2129427020615303E-3</v>
      </c>
      <c r="BN7" s="3">
        <v>0</v>
      </c>
      <c r="BO7" s="3">
        <v>1.4451519527156997E-3</v>
      </c>
      <c r="BP7" s="3">
        <v>1.1961755570335315E-2</v>
      </c>
      <c r="BQ7" s="3">
        <v>0</v>
      </c>
      <c r="BR7" s="3">
        <v>0</v>
      </c>
      <c r="BS7" s="3">
        <v>0</v>
      </c>
      <c r="BT7" s="3">
        <v>0</v>
      </c>
      <c r="BU7" s="3">
        <v>0</v>
      </c>
    </row>
    <row r="8" spans="1:73" ht="17" customHeight="1" x14ac:dyDescent="0.2">
      <c r="A8" s="3" t="s">
        <v>5</v>
      </c>
      <c r="B8" s="19">
        <v>19.755099999999999</v>
      </c>
      <c r="C8" s="19">
        <v>10619.0069</v>
      </c>
      <c r="D8" s="19">
        <v>0.40989999999999999</v>
      </c>
      <c r="E8" s="19">
        <v>250.66669999999999</v>
      </c>
      <c r="F8" s="19">
        <v>277602.951</v>
      </c>
      <c r="G8" s="19">
        <v>567.47360000000003</v>
      </c>
      <c r="H8" s="19">
        <v>1186.6819</v>
      </c>
      <c r="I8" s="19">
        <v>4.1223999999999998</v>
      </c>
      <c r="J8" s="19">
        <v>42.736199999999997</v>
      </c>
      <c r="K8" s="19">
        <v>4027.3130000000001</v>
      </c>
      <c r="L8" s="19">
        <v>227.33090000000001</v>
      </c>
      <c r="M8" s="19">
        <v>7.5800000000000006E-2</v>
      </c>
      <c r="N8" s="19">
        <v>0</v>
      </c>
      <c r="O8" s="19">
        <v>778.75609999999995</v>
      </c>
      <c r="P8" s="19">
        <v>22.222000000000001</v>
      </c>
      <c r="Q8" s="19">
        <v>0</v>
      </c>
      <c r="R8" s="19">
        <v>29.610800000000001</v>
      </c>
      <c r="S8" s="19">
        <v>11.742100000000001</v>
      </c>
      <c r="T8" s="19">
        <v>37.412799999999997</v>
      </c>
      <c r="U8" s="19">
        <v>82.884299999999996</v>
      </c>
      <c r="V8" s="3">
        <v>4150.8056999999999</v>
      </c>
      <c r="W8" s="3">
        <v>-283451.62040000001</v>
      </c>
      <c r="X8" s="1">
        <v>16210.3369</v>
      </c>
      <c r="Z8" s="34"/>
      <c r="AB8" s="8" t="s">
        <v>5</v>
      </c>
      <c r="AC8" s="3">
        <v>0</v>
      </c>
      <c r="AD8" s="3">
        <v>856.12620000000004</v>
      </c>
      <c r="AE8" s="3">
        <v>0</v>
      </c>
      <c r="AF8" s="3">
        <v>72.208600000000004</v>
      </c>
      <c r="AG8" s="3">
        <v>277602.951</v>
      </c>
      <c r="AH8" s="3">
        <v>1058.0962999999999</v>
      </c>
      <c r="AI8" s="3">
        <v>12204.891900000001</v>
      </c>
      <c r="AJ8" s="3">
        <v>0</v>
      </c>
      <c r="AK8" s="3">
        <v>65.3279</v>
      </c>
      <c r="AL8" s="3">
        <v>16685.9787</v>
      </c>
      <c r="AM8" s="3">
        <v>286.75560000000002</v>
      </c>
      <c r="AN8" s="3">
        <v>498.71969999999999</v>
      </c>
      <c r="AO8" s="3">
        <v>0</v>
      </c>
      <c r="AP8" s="3">
        <v>4166.3449000000001</v>
      </c>
      <c r="AQ8" s="3">
        <v>1964.7645</v>
      </c>
      <c r="AR8" s="3">
        <v>0</v>
      </c>
      <c r="AS8" s="3">
        <v>0</v>
      </c>
      <c r="AT8" s="3">
        <v>0.79020000000000001</v>
      </c>
      <c r="AU8" s="3">
        <v>25.0015</v>
      </c>
      <c r="AV8" s="3">
        <v>539.40200000000004</v>
      </c>
      <c r="AW8" s="3">
        <v>316027.35899999994</v>
      </c>
      <c r="BA8" s="8" t="s">
        <v>5</v>
      </c>
      <c r="BB8" s="3">
        <v>0</v>
      </c>
      <c r="BC8" s="3">
        <v>1.849373917293267E-3</v>
      </c>
      <c r="BD8" s="3">
        <v>0</v>
      </c>
      <c r="BE8" s="3">
        <v>9.8794444971118185E-4</v>
      </c>
      <c r="BF8" s="3">
        <v>0.93939923955796967</v>
      </c>
      <c r="BG8" s="3">
        <v>6.1483272249625312E-2</v>
      </c>
      <c r="BH8" s="3">
        <v>3.7361271060739637E-2</v>
      </c>
      <c r="BI8" s="3">
        <v>0</v>
      </c>
      <c r="BJ8" s="3">
        <v>3.9108440649833279E-3</v>
      </c>
      <c r="BK8" s="3">
        <v>9.26820738359799E-2</v>
      </c>
      <c r="BL8" s="3">
        <v>1.8125314722087203E-3</v>
      </c>
      <c r="BM8" s="3">
        <v>1.1561959971502365E-2</v>
      </c>
      <c r="BN8" s="3">
        <v>0</v>
      </c>
      <c r="BO8" s="3">
        <v>4.0117677612276477E-2</v>
      </c>
      <c r="BP8" s="3">
        <v>4.3786542675651907E-2</v>
      </c>
      <c r="BQ8" s="3">
        <v>0</v>
      </c>
      <c r="BR8" s="3">
        <v>0</v>
      </c>
      <c r="BS8" s="3">
        <v>2.8433167833609763E-5</v>
      </c>
      <c r="BT8" s="3">
        <v>2.9166088435047194E-3</v>
      </c>
      <c r="BU8" s="3">
        <v>5.0469253312037152E-2</v>
      </c>
    </row>
    <row r="9" spans="1:73" ht="17" x14ac:dyDescent="0.2">
      <c r="A9" s="3" t="s">
        <v>6</v>
      </c>
      <c r="B9" s="19">
        <v>0</v>
      </c>
      <c r="C9" s="19">
        <v>0</v>
      </c>
      <c r="D9" s="19">
        <v>0</v>
      </c>
      <c r="E9" s="19">
        <v>0</v>
      </c>
      <c r="F9" s="19">
        <v>1058.0962999999999</v>
      </c>
      <c r="G9" s="19">
        <v>15194.4375</v>
      </c>
      <c r="H9" s="19">
        <v>34.421900000000001</v>
      </c>
      <c r="I9" s="19">
        <v>20.292899999999999</v>
      </c>
      <c r="J9" s="19">
        <v>79.088700000000003</v>
      </c>
      <c r="K9" s="19">
        <v>141.0412</v>
      </c>
      <c r="L9" s="19">
        <v>8.2849000000000004</v>
      </c>
      <c r="M9" s="19">
        <v>123.5159</v>
      </c>
      <c r="N9" s="19">
        <v>0</v>
      </c>
      <c r="O9" s="19">
        <v>69.88</v>
      </c>
      <c r="P9" s="19">
        <v>398.39440000000002</v>
      </c>
      <c r="Q9" s="19">
        <v>73.006900000000002</v>
      </c>
      <c r="R9" s="19">
        <v>0.14369999999999999</v>
      </c>
      <c r="S9" s="19">
        <v>0.99070000000000003</v>
      </c>
      <c r="T9" s="19">
        <v>0.68430000000000002</v>
      </c>
      <c r="U9" s="19">
        <v>7.2195</v>
      </c>
      <c r="V9" s="3">
        <v>0</v>
      </c>
      <c r="W9" s="3">
        <v>-16245.4663</v>
      </c>
      <c r="X9" s="1">
        <v>964.03269999999998</v>
      </c>
      <c r="Z9" s="34"/>
      <c r="AB9" s="8" t="s">
        <v>6</v>
      </c>
      <c r="AC9" s="3">
        <v>0</v>
      </c>
      <c r="AD9" s="3">
        <v>0</v>
      </c>
      <c r="AE9" s="3">
        <v>0</v>
      </c>
      <c r="AF9" s="3">
        <v>0</v>
      </c>
      <c r="AG9" s="3">
        <v>567.47360000000003</v>
      </c>
      <c r="AH9" s="3">
        <v>15194.4375</v>
      </c>
      <c r="AI9" s="3">
        <v>26.3675</v>
      </c>
      <c r="AJ9" s="3">
        <v>0</v>
      </c>
      <c r="AK9" s="3">
        <v>9.4038000000000004</v>
      </c>
      <c r="AL9" s="3">
        <v>129.13669999999999</v>
      </c>
      <c r="AM9" s="3">
        <v>2.7323</v>
      </c>
      <c r="AN9" s="3">
        <v>241.3897</v>
      </c>
      <c r="AO9" s="3">
        <v>0</v>
      </c>
      <c r="AP9" s="3">
        <v>335.43150000000003</v>
      </c>
      <c r="AQ9" s="3">
        <v>40.605200000000004</v>
      </c>
      <c r="AR9" s="3">
        <v>0</v>
      </c>
      <c r="AS9" s="3">
        <v>0</v>
      </c>
      <c r="AT9" s="3">
        <v>0</v>
      </c>
      <c r="AU9" s="3">
        <v>0</v>
      </c>
      <c r="AV9" s="3">
        <v>251.35419999999999</v>
      </c>
      <c r="AW9" s="3">
        <v>16798.332000000002</v>
      </c>
      <c r="AY9" t="s">
        <v>79</v>
      </c>
      <c r="BA9" s="8" t="s">
        <v>6</v>
      </c>
      <c r="BB9" s="3">
        <v>0</v>
      </c>
      <c r="BC9" s="3">
        <v>0</v>
      </c>
      <c r="BD9" s="3">
        <v>0</v>
      </c>
      <c r="BE9" s="3">
        <v>0</v>
      </c>
      <c r="BF9" s="3">
        <v>1.9203119649445783E-3</v>
      </c>
      <c r="BG9" s="3">
        <v>0.88290993692390407</v>
      </c>
      <c r="BH9" s="3">
        <v>8.0715447770090648E-5</v>
      </c>
      <c r="BI9" s="3">
        <v>0</v>
      </c>
      <c r="BJ9" s="3">
        <v>5.6295695129171801E-4</v>
      </c>
      <c r="BK9" s="3">
        <v>7.1728829213564712E-4</v>
      </c>
      <c r="BL9" s="3">
        <v>1.7270385448499997E-5</v>
      </c>
      <c r="BM9" s="3">
        <v>5.5962057422896359E-3</v>
      </c>
      <c r="BN9" s="3">
        <v>0</v>
      </c>
      <c r="BO9" s="3">
        <v>3.2298652898376987E-3</v>
      </c>
      <c r="BP9" s="3">
        <v>9.0492337511868771E-4</v>
      </c>
      <c r="BQ9" s="3">
        <v>0</v>
      </c>
      <c r="BR9" s="3">
        <v>0</v>
      </c>
      <c r="BS9" s="3">
        <v>0</v>
      </c>
      <c r="BT9" s="3">
        <v>0</v>
      </c>
      <c r="BU9" s="3">
        <v>2.3518004736438589E-2</v>
      </c>
    </row>
    <row r="10" spans="1:73" ht="17" x14ac:dyDescent="0.2">
      <c r="A10" s="3" t="s">
        <v>7</v>
      </c>
      <c r="B10" s="19">
        <v>0</v>
      </c>
      <c r="C10" s="19">
        <v>313.34230000000002</v>
      </c>
      <c r="D10" s="19">
        <v>44.896500000000003</v>
      </c>
      <c r="E10" s="19">
        <v>75.816199999999995</v>
      </c>
      <c r="F10" s="19">
        <v>12204.891900000001</v>
      </c>
      <c r="G10" s="19">
        <v>26.3675</v>
      </c>
      <c r="H10" s="19">
        <v>312170.69569999998</v>
      </c>
      <c r="I10" s="19">
        <v>22.47</v>
      </c>
      <c r="J10" s="19">
        <v>1.3115000000000001</v>
      </c>
      <c r="K10" s="19">
        <v>145.87520000000001</v>
      </c>
      <c r="L10" s="19">
        <v>3.0137</v>
      </c>
      <c r="M10" s="19">
        <v>540.40980000000002</v>
      </c>
      <c r="N10" s="19">
        <v>0</v>
      </c>
      <c r="O10" s="19">
        <v>36.2438</v>
      </c>
      <c r="P10" s="19">
        <v>195.70330000000001</v>
      </c>
      <c r="Q10" s="19">
        <v>844.94060000000002</v>
      </c>
      <c r="R10" s="19">
        <v>5.5673000000000004</v>
      </c>
      <c r="S10" s="19">
        <v>7.7359999999999998</v>
      </c>
      <c r="T10" s="19">
        <v>21.873200000000001</v>
      </c>
      <c r="U10" s="19">
        <v>11.1335</v>
      </c>
      <c r="V10" s="3">
        <v>152860.90789999999</v>
      </c>
      <c r="W10" s="3">
        <v>1468.6797999999999</v>
      </c>
      <c r="X10" s="1">
        <v>481001.87579999998</v>
      </c>
      <c r="Z10" s="34"/>
      <c r="AB10" s="8" t="s">
        <v>7</v>
      </c>
      <c r="AC10" s="3">
        <v>0</v>
      </c>
      <c r="AD10" s="3">
        <v>738.42960000000005</v>
      </c>
      <c r="AE10" s="3">
        <v>0</v>
      </c>
      <c r="AF10" s="3">
        <v>3.3999999999999998E-3</v>
      </c>
      <c r="AG10" s="3">
        <v>1186.6819</v>
      </c>
      <c r="AH10" s="3">
        <v>34.421900000000001</v>
      </c>
      <c r="AI10" s="3">
        <v>312170.69569999998</v>
      </c>
      <c r="AJ10" s="3">
        <v>0</v>
      </c>
      <c r="AK10" s="3">
        <v>16.428000000000001</v>
      </c>
      <c r="AL10" s="3">
        <v>219.17250000000001</v>
      </c>
      <c r="AM10" s="3">
        <v>0.32190000000000002</v>
      </c>
      <c r="AN10" s="3">
        <v>932.00609999999995</v>
      </c>
      <c r="AO10" s="3">
        <v>0</v>
      </c>
      <c r="AP10" s="3">
        <v>523.94669999999996</v>
      </c>
      <c r="AQ10" s="3">
        <v>4244.8496999999998</v>
      </c>
      <c r="AR10" s="3">
        <v>0</v>
      </c>
      <c r="AS10" s="3">
        <v>31.531400000000001</v>
      </c>
      <c r="AT10" s="3">
        <v>0.1021</v>
      </c>
      <c r="AU10" s="3">
        <v>0.58520000000000005</v>
      </c>
      <c r="AV10" s="3">
        <v>45.608499999999999</v>
      </c>
      <c r="AW10" s="3">
        <v>320144.7845999999</v>
      </c>
      <c r="BA10" s="8" t="s">
        <v>7</v>
      </c>
      <c r="BB10" s="3">
        <v>0</v>
      </c>
      <c r="BC10" s="3">
        <v>1.595129832491168E-3</v>
      </c>
      <c r="BD10" s="3">
        <v>0</v>
      </c>
      <c r="BE10" s="3">
        <v>4.6518158903759635E-8</v>
      </c>
      <c r="BF10" s="3">
        <v>4.0156924501036978E-3</v>
      </c>
      <c r="BG10" s="3">
        <v>2.0001686510475254E-3</v>
      </c>
      <c r="BH10" s="3">
        <v>0.955608134412675</v>
      </c>
      <c r="BI10" s="3">
        <v>0</v>
      </c>
      <c r="BJ10" s="3">
        <v>9.8345953718925782E-4</v>
      </c>
      <c r="BK10" s="3">
        <v>1.217391091828273E-3</v>
      </c>
      <c r="BL10" s="3">
        <v>2.0346730138975038E-6</v>
      </c>
      <c r="BM10" s="3">
        <v>2.1606961227711739E-2</v>
      </c>
      <c r="BN10" s="3">
        <v>0</v>
      </c>
      <c r="BO10" s="3">
        <v>5.0450755521023087E-3</v>
      </c>
      <c r="BP10" s="3">
        <v>9.4600290539033141E-2</v>
      </c>
      <c r="BQ10" s="3">
        <v>0</v>
      </c>
      <c r="BR10" s="3">
        <v>1.5366658234792455E-3</v>
      </c>
      <c r="BS10" s="3">
        <v>3.6737869347147007E-6</v>
      </c>
      <c r="BT10" s="3">
        <v>6.8267883735734333E-5</v>
      </c>
      <c r="BU10" s="3">
        <v>4.2673681960431111E-3</v>
      </c>
    </row>
    <row r="11" spans="1:73" ht="17" x14ac:dyDescent="0.2">
      <c r="A11" s="3" t="s">
        <v>8</v>
      </c>
      <c r="B11" s="19">
        <v>0</v>
      </c>
      <c r="C11" s="19">
        <v>0</v>
      </c>
      <c r="D11" s="19">
        <v>0</v>
      </c>
      <c r="E11" s="19">
        <v>0</v>
      </c>
      <c r="F11" s="19">
        <v>0</v>
      </c>
      <c r="G11" s="19">
        <v>0</v>
      </c>
      <c r="H11" s="19">
        <v>0</v>
      </c>
      <c r="I11" s="19">
        <v>4326.5306</v>
      </c>
      <c r="J11" s="19">
        <v>0</v>
      </c>
      <c r="K11" s="19">
        <v>0</v>
      </c>
      <c r="L11" s="19">
        <v>0</v>
      </c>
      <c r="M11" s="19">
        <v>209.43180000000001</v>
      </c>
      <c r="N11" s="19">
        <v>0</v>
      </c>
      <c r="O11" s="19">
        <v>0</v>
      </c>
      <c r="P11" s="19">
        <v>2.0000000000000001E-4</v>
      </c>
      <c r="Q11" s="19">
        <v>0</v>
      </c>
      <c r="R11" s="19">
        <v>0</v>
      </c>
      <c r="S11" s="19">
        <v>0</v>
      </c>
      <c r="T11" s="19">
        <v>1.3906000000000001</v>
      </c>
      <c r="U11" s="19">
        <v>0</v>
      </c>
      <c r="V11" s="3">
        <v>6907.3042999999998</v>
      </c>
      <c r="W11" s="3">
        <v>296.00799999999998</v>
      </c>
      <c r="X11" s="1">
        <v>11740.665300000001</v>
      </c>
      <c r="AB11" s="8" t="s">
        <v>8</v>
      </c>
      <c r="AC11" s="3">
        <v>0</v>
      </c>
      <c r="AD11" s="3">
        <v>0</v>
      </c>
      <c r="AE11" s="3">
        <v>0</v>
      </c>
      <c r="AF11" s="3">
        <v>0</v>
      </c>
      <c r="AG11" s="3">
        <v>4.1223999999999998</v>
      </c>
      <c r="AH11" s="3">
        <v>20.292899999999999</v>
      </c>
      <c r="AI11" s="3">
        <v>22.47</v>
      </c>
      <c r="AJ11" s="3">
        <v>4326.5306</v>
      </c>
      <c r="AK11" s="3">
        <v>1854.1054999999999</v>
      </c>
      <c r="AL11" s="3">
        <v>4.5258000000000003</v>
      </c>
      <c r="AM11" s="3">
        <v>1E-4</v>
      </c>
      <c r="AN11" s="3">
        <v>189.37540000000001</v>
      </c>
      <c r="AO11" s="3">
        <v>0</v>
      </c>
      <c r="AP11" s="3">
        <v>6.3011999999999997</v>
      </c>
      <c r="AQ11" s="3">
        <v>3.7605</v>
      </c>
      <c r="AR11" s="3">
        <v>0</v>
      </c>
      <c r="AS11" s="3">
        <v>0</v>
      </c>
      <c r="AT11" s="3">
        <v>2.0552000000000001</v>
      </c>
      <c r="AU11" s="3">
        <v>74.0608</v>
      </c>
      <c r="AV11" s="3">
        <v>29.816700000000001</v>
      </c>
      <c r="AW11" s="3">
        <v>6537.4171000000006</v>
      </c>
      <c r="BA11" s="8" t="s">
        <v>8</v>
      </c>
      <c r="BB11" s="3">
        <v>0</v>
      </c>
      <c r="BC11" s="3">
        <v>0</v>
      </c>
      <c r="BD11" s="3">
        <v>0</v>
      </c>
      <c r="BE11" s="3">
        <v>0</v>
      </c>
      <c r="BF11" s="3">
        <v>1.3950065772729391E-5</v>
      </c>
      <c r="BG11" s="3">
        <v>1.1791685647463482E-3</v>
      </c>
      <c r="BH11" s="3">
        <v>6.8784530630281099E-5</v>
      </c>
      <c r="BI11" s="3">
        <v>0.95353621578324554</v>
      </c>
      <c r="BJ11" s="3">
        <v>0.11099572296871545</v>
      </c>
      <c r="BK11" s="3">
        <v>2.5138503249250695E-5</v>
      </c>
      <c r="BL11" s="3">
        <v>6.3208232802034906E-10</v>
      </c>
      <c r="BM11" s="3">
        <v>4.3903435023466067E-3</v>
      </c>
      <c r="BN11" s="3">
        <v>0</v>
      </c>
      <c r="BO11" s="3">
        <v>6.0674167942859586E-5</v>
      </c>
      <c r="BP11" s="3">
        <v>8.380612217484029E-5</v>
      </c>
      <c r="BQ11" s="3">
        <v>0</v>
      </c>
      <c r="BR11" s="3">
        <v>0</v>
      </c>
      <c r="BS11" s="3">
        <v>7.3950704292121973E-5</v>
      </c>
      <c r="BT11" s="3">
        <v>8.6397369852622575E-3</v>
      </c>
      <c r="BU11" s="3">
        <v>2.7898053496817183E-3</v>
      </c>
    </row>
    <row r="12" spans="1:73" ht="17" x14ac:dyDescent="0.2">
      <c r="A12" s="3" t="s">
        <v>9</v>
      </c>
      <c r="B12" s="19">
        <v>0</v>
      </c>
      <c r="C12" s="19">
        <v>0</v>
      </c>
      <c r="D12" s="19">
        <v>0</v>
      </c>
      <c r="E12" s="19">
        <v>0</v>
      </c>
      <c r="F12" s="19">
        <v>65.3279</v>
      </c>
      <c r="G12" s="19">
        <v>9.4038000000000004</v>
      </c>
      <c r="H12" s="19">
        <v>16.428000000000001</v>
      </c>
      <c r="I12" s="19">
        <v>1854.1054999999999</v>
      </c>
      <c r="J12" s="19">
        <v>14336.384899999999</v>
      </c>
      <c r="K12" s="19">
        <v>14.2348</v>
      </c>
      <c r="L12" s="19">
        <v>0</v>
      </c>
      <c r="M12" s="19">
        <v>159.9067</v>
      </c>
      <c r="N12" s="19">
        <v>0</v>
      </c>
      <c r="O12" s="19">
        <v>0.7036</v>
      </c>
      <c r="P12" s="19">
        <v>6.3475000000000001</v>
      </c>
      <c r="Q12" s="19">
        <v>0</v>
      </c>
      <c r="R12" s="19">
        <v>0.6038</v>
      </c>
      <c r="S12" s="19">
        <v>1.7653000000000001</v>
      </c>
      <c r="T12" s="19">
        <v>232.00970000000001</v>
      </c>
      <c r="U12" s="19">
        <v>7.0753000000000004</v>
      </c>
      <c r="V12" s="3">
        <v>4675.1660000000002</v>
      </c>
      <c r="W12" s="3">
        <v>1052.4367999999999</v>
      </c>
      <c r="X12" s="1">
        <v>22431.8995</v>
      </c>
      <c r="AB12" s="8" t="s">
        <v>9</v>
      </c>
      <c r="AC12" s="3">
        <v>0</v>
      </c>
      <c r="AD12" s="3">
        <v>0</v>
      </c>
      <c r="AE12" s="3">
        <v>0</v>
      </c>
      <c r="AF12" s="3">
        <v>0</v>
      </c>
      <c r="AG12" s="3">
        <v>42.736199999999997</v>
      </c>
      <c r="AH12" s="3">
        <v>79.088700000000003</v>
      </c>
      <c r="AI12" s="3">
        <v>1.3115000000000001</v>
      </c>
      <c r="AJ12" s="3">
        <v>0</v>
      </c>
      <c r="AK12" s="3">
        <v>14336.384899999999</v>
      </c>
      <c r="AL12" s="3">
        <v>6.3670999999999998</v>
      </c>
      <c r="AM12" s="3">
        <v>0</v>
      </c>
      <c r="AN12" s="3">
        <v>214.90710000000001</v>
      </c>
      <c r="AO12" s="3">
        <v>0</v>
      </c>
      <c r="AP12" s="3">
        <v>15.2882</v>
      </c>
      <c r="AQ12" s="3">
        <v>108.5031</v>
      </c>
      <c r="AR12" s="3">
        <v>0</v>
      </c>
      <c r="AS12" s="3">
        <v>0</v>
      </c>
      <c r="AT12" s="3">
        <v>0</v>
      </c>
      <c r="AU12" s="3">
        <v>0.48039999999999999</v>
      </c>
      <c r="AV12" s="3">
        <v>5.1420000000000003</v>
      </c>
      <c r="AW12" s="3">
        <v>14810.209199999999</v>
      </c>
      <c r="BA12" s="8" t="s">
        <v>9</v>
      </c>
      <c r="BB12" s="3">
        <v>0</v>
      </c>
      <c r="BC12" s="3">
        <v>0</v>
      </c>
      <c r="BD12" s="3">
        <v>0</v>
      </c>
      <c r="BE12" s="3">
        <v>0</v>
      </c>
      <c r="BF12" s="3">
        <v>1.4461789270243494E-4</v>
      </c>
      <c r="BG12" s="3">
        <v>4.5956422623998801E-3</v>
      </c>
      <c r="BH12" s="3">
        <v>4.0147268322925531E-6</v>
      </c>
      <c r="BI12" s="3">
        <v>0</v>
      </c>
      <c r="BJ12" s="3">
        <v>0.85824534080357096</v>
      </c>
      <c r="BK12" s="3">
        <v>3.536598259717709E-5</v>
      </c>
      <c r="BL12" s="3">
        <v>0</v>
      </c>
      <c r="BM12" s="3">
        <v>4.9822521303883845E-3</v>
      </c>
      <c r="BN12" s="3">
        <v>0</v>
      </c>
      <c r="BO12" s="3">
        <v>1.4720986706405541E-4</v>
      </c>
      <c r="BP12" s="3">
        <v>2.4180890985105474E-3</v>
      </c>
      <c r="BQ12" s="3">
        <v>0</v>
      </c>
      <c r="BR12" s="3">
        <v>0</v>
      </c>
      <c r="BS12" s="3">
        <v>0</v>
      </c>
      <c r="BT12" s="3">
        <v>5.6042193005206377E-5</v>
      </c>
      <c r="BU12" s="3">
        <v>4.8111223267710362E-4</v>
      </c>
    </row>
    <row r="13" spans="1:73" ht="17" x14ac:dyDescent="0.2">
      <c r="A13" s="3" t="s">
        <v>10</v>
      </c>
      <c r="B13" s="19">
        <v>0</v>
      </c>
      <c r="C13" s="19">
        <v>657.1961</v>
      </c>
      <c r="D13" s="19">
        <v>29.166399999999999</v>
      </c>
      <c r="E13" s="19">
        <v>23.265899999999998</v>
      </c>
      <c r="F13" s="19">
        <v>16685.9787</v>
      </c>
      <c r="G13" s="19">
        <v>129.13669999999999</v>
      </c>
      <c r="H13" s="19">
        <v>219.17250000000001</v>
      </c>
      <c r="I13" s="19">
        <v>4.5258000000000003</v>
      </c>
      <c r="J13" s="19">
        <v>6.3670999999999998</v>
      </c>
      <c r="K13" s="19">
        <v>157716.88829999999</v>
      </c>
      <c r="L13" s="19">
        <v>1939.3444999999999</v>
      </c>
      <c r="M13" s="19">
        <v>4.9812000000000003</v>
      </c>
      <c r="N13" s="19">
        <v>0</v>
      </c>
      <c r="O13" s="19">
        <v>1359.3189</v>
      </c>
      <c r="P13" s="19">
        <v>92.015100000000004</v>
      </c>
      <c r="Q13" s="19">
        <v>947.25139999999999</v>
      </c>
      <c r="R13" s="19">
        <v>149.76689999999999</v>
      </c>
      <c r="S13" s="19">
        <v>52.686900000000001</v>
      </c>
      <c r="T13" s="19">
        <v>3.2195</v>
      </c>
      <c r="U13" s="19">
        <v>14.303100000000001</v>
      </c>
      <c r="V13" s="3">
        <v>60770.049500000001</v>
      </c>
      <c r="W13" s="3">
        <v>881.16179999999997</v>
      </c>
      <c r="X13" s="1">
        <v>241685.7965</v>
      </c>
      <c r="AB13" s="8" t="s">
        <v>10</v>
      </c>
      <c r="AC13" s="3">
        <v>0</v>
      </c>
      <c r="AD13" s="3">
        <v>21.9863</v>
      </c>
      <c r="AE13" s="3">
        <v>0</v>
      </c>
      <c r="AF13" s="3">
        <v>7.9268000000000001</v>
      </c>
      <c r="AG13" s="3">
        <v>4027.3130000000001</v>
      </c>
      <c r="AH13" s="3">
        <v>141.0412</v>
      </c>
      <c r="AI13" s="3">
        <v>145.87520000000001</v>
      </c>
      <c r="AJ13" s="3">
        <v>0</v>
      </c>
      <c r="AK13" s="3">
        <v>14.2348</v>
      </c>
      <c r="AL13" s="3">
        <v>157716.88829999999</v>
      </c>
      <c r="AM13" s="3">
        <v>50.090800000000002</v>
      </c>
      <c r="AN13" s="3">
        <v>344.30259999999998</v>
      </c>
      <c r="AO13" s="3">
        <v>0</v>
      </c>
      <c r="AP13" s="3">
        <v>15407.920700000001</v>
      </c>
      <c r="AQ13" s="3">
        <v>4391.5145000000002</v>
      </c>
      <c r="AR13" s="3">
        <v>0</v>
      </c>
      <c r="AS13" s="3">
        <v>4.0297999999999998</v>
      </c>
      <c r="AT13" s="3">
        <v>0</v>
      </c>
      <c r="AU13" s="3">
        <v>344.66430000000003</v>
      </c>
      <c r="AV13" s="3">
        <v>58.017200000000003</v>
      </c>
      <c r="AW13" s="3">
        <v>182675.80549999996</v>
      </c>
      <c r="BA13" s="8" t="s">
        <v>10</v>
      </c>
      <c r="BB13" s="3">
        <v>0</v>
      </c>
      <c r="BC13" s="3">
        <v>4.7494037395170188E-5</v>
      </c>
      <c r="BD13" s="3">
        <v>0</v>
      </c>
      <c r="BE13" s="3">
        <v>1.0845298294068292E-4</v>
      </c>
      <c r="BF13" s="3">
        <v>1.3628294497712043E-2</v>
      </c>
      <c r="BG13" s="3">
        <v>8.1955437307680359E-3</v>
      </c>
      <c r="BH13" s="3">
        <v>4.4654905040491242E-4</v>
      </c>
      <c r="BI13" s="3">
        <v>0</v>
      </c>
      <c r="BJ13" s="3">
        <v>8.5216397735461691E-4</v>
      </c>
      <c r="BK13" s="3">
        <v>0.87603661429830271</v>
      </c>
      <c r="BL13" s="3">
        <v>3.1661509476401702E-4</v>
      </c>
      <c r="BM13" s="3">
        <v>7.9820646332683272E-3</v>
      </c>
      <c r="BN13" s="3">
        <v>0</v>
      </c>
      <c r="BO13" s="3">
        <v>0.14836265603409871</v>
      </c>
      <c r="BP13" s="3">
        <v>9.7868847419115196E-2</v>
      </c>
      <c r="BQ13" s="3">
        <v>0</v>
      </c>
      <c r="BR13" s="3">
        <v>1.9639013603762163E-4</v>
      </c>
      <c r="BS13" s="3">
        <v>0</v>
      </c>
      <c r="BT13" s="3">
        <v>4.0207625359292995E-2</v>
      </c>
      <c r="BU13" s="3">
        <v>5.4283906312084899E-3</v>
      </c>
    </row>
    <row r="14" spans="1:73" ht="17" x14ac:dyDescent="0.2">
      <c r="A14" s="3" t="s">
        <v>11</v>
      </c>
      <c r="B14" s="19">
        <v>0</v>
      </c>
      <c r="C14" s="19">
        <v>55.698</v>
      </c>
      <c r="D14" s="19">
        <v>0</v>
      </c>
      <c r="E14" s="19">
        <v>0</v>
      </c>
      <c r="F14" s="19">
        <v>286.75560000000002</v>
      </c>
      <c r="G14" s="19">
        <v>2.7323</v>
      </c>
      <c r="H14" s="19">
        <v>0.32190000000000002</v>
      </c>
      <c r="I14" s="19">
        <v>1E-4</v>
      </c>
      <c r="J14" s="19">
        <v>0</v>
      </c>
      <c r="K14" s="19">
        <v>50.090800000000002</v>
      </c>
      <c r="L14" s="19">
        <v>157620.5074</v>
      </c>
      <c r="M14" s="19">
        <v>2.2000000000000001E-3</v>
      </c>
      <c r="N14" s="19">
        <v>0</v>
      </c>
      <c r="O14" s="19">
        <v>108.9843</v>
      </c>
      <c r="P14" s="19">
        <v>81.879300000000001</v>
      </c>
      <c r="Q14" s="19">
        <v>0</v>
      </c>
      <c r="R14" s="19">
        <v>0</v>
      </c>
      <c r="S14" s="19">
        <v>0</v>
      </c>
      <c r="T14" s="19">
        <v>6.9999999999999999E-4</v>
      </c>
      <c r="U14" s="19">
        <v>0.26650000000000001</v>
      </c>
      <c r="V14" s="3">
        <v>31808.4686</v>
      </c>
      <c r="W14" s="3">
        <v>1150.4643000000001</v>
      </c>
      <c r="X14" s="1">
        <v>191166.1722</v>
      </c>
      <c r="AB14" s="8" t="s">
        <v>11</v>
      </c>
      <c r="AC14" s="3">
        <v>0</v>
      </c>
      <c r="AD14" s="3">
        <v>0</v>
      </c>
      <c r="AE14" s="3">
        <v>0</v>
      </c>
      <c r="AF14" s="3">
        <v>0</v>
      </c>
      <c r="AG14" s="3">
        <v>227.33090000000001</v>
      </c>
      <c r="AH14" s="3">
        <v>8.2849000000000004</v>
      </c>
      <c r="AI14" s="3">
        <v>3.0137</v>
      </c>
      <c r="AJ14" s="3">
        <v>0</v>
      </c>
      <c r="AK14" s="3">
        <v>0</v>
      </c>
      <c r="AL14" s="3">
        <v>1939.3444999999999</v>
      </c>
      <c r="AM14" s="3">
        <v>157620.5074</v>
      </c>
      <c r="AN14" s="3">
        <v>2298.1925000000001</v>
      </c>
      <c r="AO14" s="3">
        <v>0</v>
      </c>
      <c r="AP14" s="3">
        <v>5350.4839000000002</v>
      </c>
      <c r="AQ14" s="3">
        <v>2067.3083000000001</v>
      </c>
      <c r="AR14" s="3">
        <v>0</v>
      </c>
      <c r="AS14" s="3">
        <v>0</v>
      </c>
      <c r="AT14" s="3">
        <v>0</v>
      </c>
      <c r="AU14" s="3">
        <v>171.57550000000001</v>
      </c>
      <c r="AV14" s="3">
        <v>10.5961</v>
      </c>
      <c r="AW14" s="3">
        <v>169696.63769999999</v>
      </c>
      <c r="BA14" s="8" t="s">
        <v>11</v>
      </c>
      <c r="BB14" s="3">
        <v>0</v>
      </c>
      <c r="BC14" s="3">
        <v>0</v>
      </c>
      <c r="BD14" s="3">
        <v>0</v>
      </c>
      <c r="BE14" s="3">
        <v>0</v>
      </c>
      <c r="BF14" s="3">
        <v>7.692802753672055E-4</v>
      </c>
      <c r="BG14" s="3">
        <v>4.8141436867411857E-4</v>
      </c>
      <c r="BH14" s="3">
        <v>9.2254534917880794E-6</v>
      </c>
      <c r="BI14" s="3">
        <v>0</v>
      </c>
      <c r="BJ14" s="3">
        <v>0</v>
      </c>
      <c r="BK14" s="3">
        <v>1.0772066378246157E-2</v>
      </c>
      <c r="BL14" s="3">
        <v>0.99629137261140666</v>
      </c>
      <c r="BM14" s="3">
        <v>5.3279647248358049E-2</v>
      </c>
      <c r="BN14" s="3">
        <v>0</v>
      </c>
      <c r="BO14" s="3">
        <v>5.1519735720841488E-2</v>
      </c>
      <c r="BP14" s="3">
        <v>4.6071823417859696E-2</v>
      </c>
      <c r="BQ14" s="3">
        <v>0</v>
      </c>
      <c r="BR14" s="3">
        <v>0</v>
      </c>
      <c r="BS14" s="3">
        <v>0</v>
      </c>
      <c r="BT14" s="3">
        <v>2.001554389251621E-2</v>
      </c>
      <c r="BU14" s="3">
        <v>9.9142616271292441E-4</v>
      </c>
    </row>
    <row r="15" spans="1:73" ht="17" x14ac:dyDescent="0.2">
      <c r="A15" s="3" t="s">
        <v>12</v>
      </c>
      <c r="B15" s="19">
        <v>2.2086000000000001</v>
      </c>
      <c r="C15" s="19">
        <v>296.43520000000001</v>
      </c>
      <c r="D15" s="19">
        <v>33.636299999999999</v>
      </c>
      <c r="E15" s="19">
        <v>181.72329999999999</v>
      </c>
      <c r="F15" s="19">
        <v>498.71969999999999</v>
      </c>
      <c r="G15" s="19">
        <v>241.3897</v>
      </c>
      <c r="H15" s="19">
        <v>932.00609999999995</v>
      </c>
      <c r="I15" s="19">
        <v>189.37540000000001</v>
      </c>
      <c r="J15" s="19">
        <v>214.90710000000001</v>
      </c>
      <c r="K15" s="19">
        <v>344.30259999999998</v>
      </c>
      <c r="L15" s="19">
        <v>2298.1925000000001</v>
      </c>
      <c r="M15" s="19">
        <v>35618.881699999998</v>
      </c>
      <c r="N15" s="19">
        <v>0</v>
      </c>
      <c r="O15" s="19">
        <v>145.85480000000001</v>
      </c>
      <c r="P15" s="19">
        <v>74.057400000000001</v>
      </c>
      <c r="Q15" s="19">
        <v>1239.0632000000001</v>
      </c>
      <c r="R15" s="19">
        <v>161.48089999999999</v>
      </c>
      <c r="S15" s="19">
        <v>220.49299999999999</v>
      </c>
      <c r="T15" s="19">
        <v>265.17509999999999</v>
      </c>
      <c r="U15" s="19">
        <v>176.6266</v>
      </c>
      <c r="V15" s="3">
        <v>72.072400000000002</v>
      </c>
      <c r="W15" s="3">
        <v>7854.8402999999998</v>
      </c>
      <c r="X15" s="1">
        <v>51061.441800000001</v>
      </c>
      <c r="AB15" s="8" t="s">
        <v>12</v>
      </c>
      <c r="AC15" s="3">
        <v>0</v>
      </c>
      <c r="AD15" s="3">
        <v>0.1991</v>
      </c>
      <c r="AE15" s="3">
        <v>0</v>
      </c>
      <c r="AF15" s="3">
        <v>0</v>
      </c>
      <c r="AG15" s="3">
        <v>7.5800000000000006E-2</v>
      </c>
      <c r="AH15" s="3">
        <v>123.5159</v>
      </c>
      <c r="AI15" s="3">
        <v>540.40980000000002</v>
      </c>
      <c r="AJ15" s="3">
        <v>209.43180000000001</v>
      </c>
      <c r="AK15" s="3">
        <v>159.9067</v>
      </c>
      <c r="AL15" s="3">
        <v>4.9812000000000003</v>
      </c>
      <c r="AM15" s="3">
        <v>2.2000000000000001E-3</v>
      </c>
      <c r="AN15" s="3">
        <v>35618.881699999998</v>
      </c>
      <c r="AO15" s="3">
        <v>0</v>
      </c>
      <c r="AP15" s="3">
        <v>1991.1886</v>
      </c>
      <c r="AQ15" s="3">
        <v>304.34589999999997</v>
      </c>
      <c r="AR15" s="3">
        <v>0</v>
      </c>
      <c r="AS15" s="3">
        <v>0.32979999999999998</v>
      </c>
      <c r="AT15" s="3">
        <v>0</v>
      </c>
      <c r="AU15" s="3">
        <v>3.2808999999999999</v>
      </c>
      <c r="AV15" s="3">
        <v>0.15989999999999999</v>
      </c>
      <c r="AW15" s="3">
        <v>38956.709299999995</v>
      </c>
      <c r="BA15" s="8" t="s">
        <v>12</v>
      </c>
      <c r="BB15" s="3">
        <v>0</v>
      </c>
      <c r="BC15" s="3">
        <v>4.3008886649315187E-7</v>
      </c>
      <c r="BD15" s="3">
        <v>0</v>
      </c>
      <c r="BE15" s="3">
        <v>0</v>
      </c>
      <c r="BF15" s="3">
        <v>2.565047024968193E-7</v>
      </c>
      <c r="BG15" s="3">
        <v>7.1771933299998262E-3</v>
      </c>
      <c r="BH15" s="3">
        <v>1.6542872470406802E-3</v>
      </c>
      <c r="BI15" s="3">
        <v>4.6157261903261131E-2</v>
      </c>
      <c r="BJ15" s="3">
        <v>9.5727884815839711E-3</v>
      </c>
      <c r="BK15" s="3">
        <v>2.7668017231244765E-5</v>
      </c>
      <c r="BL15" s="3">
        <v>1.3905811216447681E-8</v>
      </c>
      <c r="BM15" s="3">
        <v>0.82576261664634087</v>
      </c>
      <c r="BN15" s="3">
        <v>0</v>
      </c>
      <c r="BO15" s="3">
        <v>1.917312758241406E-2</v>
      </c>
      <c r="BP15" s="3">
        <v>6.782621906345359E-3</v>
      </c>
      <c r="BQ15" s="3">
        <v>0</v>
      </c>
      <c r="BR15" s="3">
        <v>1.6072625655170882E-5</v>
      </c>
      <c r="BS15" s="3">
        <v>0</v>
      </c>
      <c r="BT15" s="3">
        <v>3.8274111371936219E-4</v>
      </c>
      <c r="BU15" s="3">
        <v>1.4961074680098961E-5</v>
      </c>
    </row>
    <row r="16" spans="1:73" ht="17" x14ac:dyDescent="0.2">
      <c r="A16" s="3" t="s">
        <v>13</v>
      </c>
      <c r="B16" s="19">
        <v>0</v>
      </c>
      <c r="C16" s="19">
        <v>0</v>
      </c>
      <c r="D16" s="19">
        <v>0</v>
      </c>
      <c r="E16" s="19">
        <v>0</v>
      </c>
      <c r="F16" s="19">
        <v>0</v>
      </c>
      <c r="G16" s="19">
        <v>0</v>
      </c>
      <c r="H16" s="19">
        <v>0</v>
      </c>
      <c r="I16" s="19">
        <v>0</v>
      </c>
      <c r="J16" s="19">
        <v>0</v>
      </c>
      <c r="K16" s="19">
        <v>0</v>
      </c>
      <c r="L16" s="19">
        <v>0</v>
      </c>
      <c r="M16" s="19">
        <v>0</v>
      </c>
      <c r="N16" s="19">
        <v>24745.4</v>
      </c>
      <c r="O16" s="19">
        <v>0</v>
      </c>
      <c r="P16" s="19">
        <v>0</v>
      </c>
      <c r="Q16" s="19">
        <v>0</v>
      </c>
      <c r="R16" s="19">
        <v>0</v>
      </c>
      <c r="S16" s="19">
        <v>0</v>
      </c>
      <c r="T16" s="19">
        <v>0</v>
      </c>
      <c r="U16" s="19">
        <v>0</v>
      </c>
      <c r="V16" s="3">
        <v>653.39149999999995</v>
      </c>
      <c r="W16" s="3">
        <v>0</v>
      </c>
      <c r="X16" s="1">
        <v>25398.791499999999</v>
      </c>
      <c r="AB16" s="8" t="s">
        <v>13</v>
      </c>
      <c r="AC16" s="3">
        <v>0</v>
      </c>
      <c r="AD16" s="3">
        <v>0</v>
      </c>
      <c r="AE16" s="3">
        <v>0</v>
      </c>
      <c r="AF16" s="3">
        <v>0</v>
      </c>
      <c r="AG16" s="3">
        <v>0</v>
      </c>
      <c r="AH16" s="3">
        <v>0</v>
      </c>
      <c r="AI16" s="3">
        <v>0</v>
      </c>
      <c r="AJ16" s="3">
        <v>0</v>
      </c>
      <c r="AK16" s="3">
        <v>0</v>
      </c>
      <c r="AL16" s="3">
        <v>0</v>
      </c>
      <c r="AM16" s="3">
        <v>0</v>
      </c>
      <c r="AN16" s="3">
        <v>0</v>
      </c>
      <c r="AO16" s="3">
        <v>24745.4</v>
      </c>
      <c r="AP16" s="3">
        <v>0</v>
      </c>
      <c r="AQ16" s="3">
        <v>0</v>
      </c>
      <c r="AR16" s="3">
        <v>0</v>
      </c>
      <c r="AS16" s="3">
        <v>0</v>
      </c>
      <c r="AT16" s="3">
        <v>0</v>
      </c>
      <c r="AU16" s="3">
        <v>0</v>
      </c>
      <c r="AV16" s="3">
        <v>0</v>
      </c>
      <c r="AW16" s="3">
        <v>24745.4</v>
      </c>
      <c r="BA16" s="8" t="s">
        <v>13</v>
      </c>
      <c r="BB16" s="3">
        <v>0</v>
      </c>
      <c r="BC16" s="3">
        <v>0</v>
      </c>
      <c r="BD16" s="3">
        <v>0</v>
      </c>
      <c r="BE16" s="3">
        <v>0</v>
      </c>
      <c r="BF16" s="3">
        <v>0</v>
      </c>
      <c r="BG16" s="3">
        <v>0</v>
      </c>
      <c r="BH16" s="3">
        <v>0</v>
      </c>
      <c r="BI16" s="3">
        <v>0</v>
      </c>
      <c r="BJ16" s="3">
        <v>0</v>
      </c>
      <c r="BK16" s="3">
        <v>0</v>
      </c>
      <c r="BL16" s="3">
        <v>0</v>
      </c>
      <c r="BM16" s="3">
        <v>0</v>
      </c>
      <c r="BN16" s="3">
        <v>1</v>
      </c>
      <c r="BO16" s="3">
        <v>0</v>
      </c>
      <c r="BP16" s="3">
        <v>0</v>
      </c>
      <c r="BQ16" s="3">
        <v>0</v>
      </c>
      <c r="BR16" s="3">
        <v>0</v>
      </c>
      <c r="BS16" s="3">
        <v>0</v>
      </c>
      <c r="BT16" s="3">
        <v>0</v>
      </c>
      <c r="BU16" s="3">
        <v>0</v>
      </c>
    </row>
    <row r="17" spans="1:73" ht="17" x14ac:dyDescent="0.2">
      <c r="A17" s="3" t="s">
        <v>14</v>
      </c>
      <c r="B17" s="19">
        <v>33.186399999999999</v>
      </c>
      <c r="C17" s="19">
        <v>4059.9173999999998</v>
      </c>
      <c r="D17" s="19">
        <v>251.1609</v>
      </c>
      <c r="E17" s="19">
        <v>150.08349999999999</v>
      </c>
      <c r="F17" s="19">
        <v>4166.3449000000001</v>
      </c>
      <c r="G17" s="19">
        <v>335.43150000000003</v>
      </c>
      <c r="H17" s="19">
        <v>523.94669999999996</v>
      </c>
      <c r="I17" s="19">
        <v>6.3011999999999997</v>
      </c>
      <c r="J17" s="19">
        <v>15.2882</v>
      </c>
      <c r="K17" s="19">
        <v>15407.920700000001</v>
      </c>
      <c r="L17" s="19">
        <v>5350.4839000000002</v>
      </c>
      <c r="M17" s="19">
        <v>1991.1886</v>
      </c>
      <c r="N17" s="19">
        <v>0</v>
      </c>
      <c r="O17" s="19">
        <v>68243.189400000003</v>
      </c>
      <c r="P17" s="19">
        <v>1160.4701</v>
      </c>
      <c r="Q17" s="19">
        <v>96.166899999999998</v>
      </c>
      <c r="R17" s="19">
        <v>1602.0965000000001</v>
      </c>
      <c r="S17" s="19">
        <v>343.42750000000001</v>
      </c>
      <c r="T17" s="19">
        <v>69.877200000000002</v>
      </c>
      <c r="U17" s="19">
        <v>46.611400000000003</v>
      </c>
      <c r="V17" s="3">
        <v>66818.360199999996</v>
      </c>
      <c r="W17" s="3">
        <v>69.574100000000001</v>
      </c>
      <c r="X17" s="1">
        <v>170741.0275</v>
      </c>
      <c r="AB17" s="8" t="s">
        <v>14</v>
      </c>
      <c r="AC17" s="3">
        <v>0</v>
      </c>
      <c r="AD17" s="3">
        <v>3293.8038999999999</v>
      </c>
      <c r="AE17" s="3">
        <v>0</v>
      </c>
      <c r="AF17" s="3">
        <v>2750.3438000000001</v>
      </c>
      <c r="AG17" s="3">
        <v>778.75609999999995</v>
      </c>
      <c r="AH17" s="3">
        <v>69.88</v>
      </c>
      <c r="AI17" s="3">
        <v>36.2438</v>
      </c>
      <c r="AJ17" s="3">
        <v>0</v>
      </c>
      <c r="AK17" s="3">
        <v>0.7036</v>
      </c>
      <c r="AL17" s="3">
        <v>1359.3189</v>
      </c>
      <c r="AM17" s="3">
        <v>108.9843</v>
      </c>
      <c r="AN17" s="3">
        <v>145.85480000000001</v>
      </c>
      <c r="AO17" s="3">
        <v>0</v>
      </c>
      <c r="AP17" s="3">
        <v>68243.189400000003</v>
      </c>
      <c r="AQ17" s="3">
        <v>994.80679999999995</v>
      </c>
      <c r="AR17" s="3">
        <v>0</v>
      </c>
      <c r="AS17" s="3">
        <v>38.752200000000002</v>
      </c>
      <c r="AT17" s="3">
        <v>8.7965</v>
      </c>
      <c r="AU17" s="3">
        <v>1.6646000000000001</v>
      </c>
      <c r="AV17" s="3">
        <v>29.8108</v>
      </c>
      <c r="AW17" s="3">
        <v>77860.909500000023</v>
      </c>
      <c r="BA17" s="8" t="s">
        <v>14</v>
      </c>
      <c r="BB17" s="3">
        <v>0</v>
      </c>
      <c r="BC17" s="3">
        <v>7.1151601496821839E-3</v>
      </c>
      <c r="BD17" s="3">
        <v>0</v>
      </c>
      <c r="BE17" s="3">
        <v>3.7629685273050037E-2</v>
      </c>
      <c r="BF17" s="3">
        <v>2.6352849834839478E-3</v>
      </c>
      <c r="BG17" s="3">
        <v>4.0605482363030819E-3</v>
      </c>
      <c r="BH17" s="3">
        <v>1.1094849894338149E-4</v>
      </c>
      <c r="BI17" s="3">
        <v>0</v>
      </c>
      <c r="BJ17" s="3">
        <v>4.2120899097051486E-5</v>
      </c>
      <c r="BK17" s="3">
        <v>7.5503209563873522E-3</v>
      </c>
      <c r="BL17" s="3">
        <v>6.8887050061668131E-4</v>
      </c>
      <c r="BM17" s="3">
        <v>3.3813931137099324E-3</v>
      </c>
      <c r="BN17" s="3">
        <v>0</v>
      </c>
      <c r="BO17" s="3">
        <v>0.65711273005331927</v>
      </c>
      <c r="BP17" s="3">
        <v>2.2170163600894004E-2</v>
      </c>
      <c r="BQ17" s="3">
        <v>0</v>
      </c>
      <c r="BR17" s="3">
        <v>1.8885676286061646E-3</v>
      </c>
      <c r="BS17" s="3">
        <v>3.1651779403739339E-4</v>
      </c>
      <c r="BT17" s="3">
        <v>1.9418783196600029E-4</v>
      </c>
      <c r="BU17" s="3">
        <v>2.7892533150312327E-3</v>
      </c>
    </row>
    <row r="18" spans="1:73" ht="17" x14ac:dyDescent="0.2">
      <c r="A18" s="3" t="s">
        <v>15</v>
      </c>
      <c r="B18" s="19">
        <v>12.5463</v>
      </c>
      <c r="C18" s="19">
        <v>1897.0784000000001</v>
      </c>
      <c r="D18" s="19">
        <v>21.857299999999999</v>
      </c>
      <c r="E18" s="19">
        <v>536.74099999999999</v>
      </c>
      <c r="F18" s="19">
        <v>1964.7645</v>
      </c>
      <c r="G18" s="19">
        <v>40.605200000000004</v>
      </c>
      <c r="H18" s="19">
        <v>4244.8496999999998</v>
      </c>
      <c r="I18" s="19">
        <v>3.7605</v>
      </c>
      <c r="J18" s="19">
        <v>108.5031</v>
      </c>
      <c r="K18" s="19">
        <v>4391.5145000000002</v>
      </c>
      <c r="L18" s="19">
        <v>2067.3083000000001</v>
      </c>
      <c r="M18" s="19">
        <v>304.34589999999997</v>
      </c>
      <c r="N18" s="19">
        <v>0</v>
      </c>
      <c r="O18" s="19">
        <v>994.80679999999995</v>
      </c>
      <c r="P18" s="19">
        <v>27921.696</v>
      </c>
      <c r="Q18" s="19">
        <v>103.2839</v>
      </c>
      <c r="R18" s="19">
        <v>25.447399999999998</v>
      </c>
      <c r="S18" s="19">
        <v>36.491999999999997</v>
      </c>
      <c r="T18" s="19">
        <v>32.445500000000003</v>
      </c>
      <c r="U18" s="19">
        <v>163.37719999999999</v>
      </c>
      <c r="V18" s="3">
        <v>30948.482</v>
      </c>
      <c r="W18" s="3">
        <v>717.42930000000001</v>
      </c>
      <c r="X18" s="1">
        <v>76537.334900000002</v>
      </c>
      <c r="AB18" s="8" t="s">
        <v>15</v>
      </c>
      <c r="AC18" s="3">
        <v>0</v>
      </c>
      <c r="AD18" s="3">
        <v>147.34790000000001</v>
      </c>
      <c r="AE18" s="3">
        <v>0</v>
      </c>
      <c r="AF18" s="3">
        <v>27.5961</v>
      </c>
      <c r="AG18" s="3">
        <v>22.222000000000001</v>
      </c>
      <c r="AH18" s="3">
        <v>398.39440000000002</v>
      </c>
      <c r="AI18" s="3">
        <v>195.70330000000001</v>
      </c>
      <c r="AJ18" s="3">
        <v>2.0000000000000001E-4</v>
      </c>
      <c r="AK18" s="3">
        <v>6.3475000000000001</v>
      </c>
      <c r="AL18" s="3">
        <v>92.015100000000004</v>
      </c>
      <c r="AM18" s="3">
        <v>81.879300000000001</v>
      </c>
      <c r="AN18" s="3">
        <v>74.057400000000001</v>
      </c>
      <c r="AO18" s="3">
        <v>0</v>
      </c>
      <c r="AP18" s="3">
        <v>1160.4701</v>
      </c>
      <c r="AQ18" s="3">
        <v>27921.696</v>
      </c>
      <c r="AR18" s="3">
        <v>0</v>
      </c>
      <c r="AS18" s="3">
        <v>7.9836999999999998</v>
      </c>
      <c r="AT18" s="3">
        <v>0</v>
      </c>
      <c r="AU18" s="3">
        <v>4.6993999999999998</v>
      </c>
      <c r="AV18" s="3">
        <v>81.653700000000001</v>
      </c>
      <c r="AW18" s="3">
        <v>30222.0661</v>
      </c>
      <c r="BA18" s="8" t="s">
        <v>15</v>
      </c>
      <c r="BB18" s="3">
        <v>0</v>
      </c>
      <c r="BC18" s="3">
        <v>3.1829578749947916E-4</v>
      </c>
      <c r="BD18" s="3">
        <v>0</v>
      </c>
      <c r="BE18" s="3">
        <v>3.775646367423651E-4</v>
      </c>
      <c r="BF18" s="3">
        <v>7.5198515816415806E-5</v>
      </c>
      <c r="BG18" s="3">
        <v>2.3149680570592798E-2</v>
      </c>
      <c r="BH18" s="3">
        <v>5.9908142560289679E-4</v>
      </c>
      <c r="BI18" s="3">
        <v>4.4078561043032751E-8</v>
      </c>
      <c r="BJ18" s="3">
        <v>3.7999205090752456E-4</v>
      </c>
      <c r="BK18" s="3">
        <v>5.1109679842903518E-4</v>
      </c>
      <c r="BL18" s="3">
        <v>5.1754458560676565E-4</v>
      </c>
      <c r="BM18" s="3">
        <v>1.7168936667100565E-3</v>
      </c>
      <c r="BN18" s="3">
        <v>0</v>
      </c>
      <c r="BO18" s="3">
        <v>1.1174150596722381E-2</v>
      </c>
      <c r="BP18" s="3">
        <v>0.62226008943086009</v>
      </c>
      <c r="BQ18" s="3">
        <v>0</v>
      </c>
      <c r="BR18" s="3">
        <v>3.8908132638928978E-4</v>
      </c>
      <c r="BS18" s="3">
        <v>0</v>
      </c>
      <c r="BT18" s="3">
        <v>5.4821957079239563E-4</v>
      </c>
      <c r="BU18" s="3">
        <v>7.6399443627667082E-3</v>
      </c>
    </row>
    <row r="19" spans="1:73" ht="17" x14ac:dyDescent="0.2">
      <c r="A19" s="3" t="s">
        <v>16</v>
      </c>
      <c r="B19" s="19">
        <v>0</v>
      </c>
      <c r="C19" s="19">
        <v>0</v>
      </c>
      <c r="D19" s="19">
        <v>0</v>
      </c>
      <c r="E19" s="19">
        <v>0</v>
      </c>
      <c r="F19" s="19">
        <v>0</v>
      </c>
      <c r="G19" s="19">
        <v>0</v>
      </c>
      <c r="H19" s="19">
        <v>0</v>
      </c>
      <c r="I19" s="19">
        <v>0</v>
      </c>
      <c r="J19" s="19">
        <v>0</v>
      </c>
      <c r="K19" s="19">
        <v>0</v>
      </c>
      <c r="L19" s="19">
        <v>0</v>
      </c>
      <c r="M19" s="19">
        <v>0</v>
      </c>
      <c r="N19" s="19">
        <v>0</v>
      </c>
      <c r="O19" s="19">
        <v>0</v>
      </c>
      <c r="P19" s="19">
        <v>0</v>
      </c>
      <c r="Q19" s="19">
        <v>43293.004500000003</v>
      </c>
      <c r="R19" s="19">
        <v>0</v>
      </c>
      <c r="S19" s="19">
        <v>0</v>
      </c>
      <c r="T19" s="19">
        <v>0</v>
      </c>
      <c r="U19" s="19">
        <v>0</v>
      </c>
      <c r="V19" s="3">
        <v>0.7379</v>
      </c>
      <c r="W19" s="3">
        <v>27.488299999999999</v>
      </c>
      <c r="X19" s="1">
        <v>43321.2307</v>
      </c>
      <c r="AB19" s="8" t="s">
        <v>16</v>
      </c>
      <c r="AC19" s="3">
        <v>0</v>
      </c>
      <c r="AD19" s="3">
        <v>4.1288999999999998</v>
      </c>
      <c r="AE19" s="3">
        <v>230.4845</v>
      </c>
      <c r="AF19" s="3">
        <v>80.843699999999998</v>
      </c>
      <c r="AG19" s="3">
        <v>0</v>
      </c>
      <c r="AH19" s="3">
        <v>73.006900000000002</v>
      </c>
      <c r="AI19" s="3">
        <v>844.94060000000002</v>
      </c>
      <c r="AJ19" s="3">
        <v>0</v>
      </c>
      <c r="AK19" s="3">
        <v>0</v>
      </c>
      <c r="AL19" s="3">
        <v>947.25139999999999</v>
      </c>
      <c r="AM19" s="3">
        <v>0</v>
      </c>
      <c r="AN19" s="3">
        <v>1239.0632000000001</v>
      </c>
      <c r="AO19" s="3">
        <v>0</v>
      </c>
      <c r="AP19" s="3">
        <v>96.166899999999998</v>
      </c>
      <c r="AQ19" s="3">
        <v>103.2839</v>
      </c>
      <c r="AR19" s="3">
        <v>43293.004500000003</v>
      </c>
      <c r="AS19" s="3">
        <v>291.66480000000001</v>
      </c>
      <c r="AT19" s="3">
        <v>85.150499999999994</v>
      </c>
      <c r="AU19" s="3">
        <v>0</v>
      </c>
      <c r="AV19" s="3">
        <v>0</v>
      </c>
      <c r="AW19" s="3">
        <v>47288.989800000003</v>
      </c>
      <c r="BA19" s="8" t="s">
        <v>16</v>
      </c>
      <c r="BB19" s="3">
        <v>0</v>
      </c>
      <c r="BC19" s="3">
        <v>8.9191055794252875E-6</v>
      </c>
      <c r="BD19" s="3">
        <v>9.5336557806353275E-3</v>
      </c>
      <c r="BE19" s="3">
        <v>1.1060882596964333E-3</v>
      </c>
      <c r="BF19" s="3">
        <v>0</v>
      </c>
      <c r="BG19" s="3">
        <v>4.2422444051653622E-3</v>
      </c>
      <c r="BH19" s="3">
        <v>2.5865083480849172E-3</v>
      </c>
      <c r="BI19" s="3">
        <v>0</v>
      </c>
      <c r="BJ19" s="3">
        <v>0</v>
      </c>
      <c r="BK19" s="3">
        <v>5.2614968396211209E-3</v>
      </c>
      <c r="BL19" s="3">
        <v>0</v>
      </c>
      <c r="BM19" s="3">
        <v>2.8725552891858151E-2</v>
      </c>
      <c r="BN19" s="3">
        <v>0</v>
      </c>
      <c r="BO19" s="3">
        <v>9.2598975451408999E-4</v>
      </c>
      <c r="BP19" s="3">
        <v>2.3017745358579942E-3</v>
      </c>
      <c r="BQ19" s="3">
        <v>1</v>
      </c>
      <c r="BR19" s="3">
        <v>1.4214127189782549E-2</v>
      </c>
      <c r="BS19" s="3">
        <v>3.0639059195340266E-3</v>
      </c>
      <c r="BT19" s="3">
        <v>0</v>
      </c>
      <c r="BU19" s="3">
        <v>0</v>
      </c>
    </row>
    <row r="20" spans="1:73" ht="17" x14ac:dyDescent="0.2">
      <c r="A20" s="3" t="s">
        <v>17</v>
      </c>
      <c r="B20" s="19">
        <v>0</v>
      </c>
      <c r="C20" s="19">
        <v>44.935499999999998</v>
      </c>
      <c r="D20" s="19">
        <v>0</v>
      </c>
      <c r="E20" s="19">
        <v>0</v>
      </c>
      <c r="F20" s="19">
        <v>0</v>
      </c>
      <c r="G20" s="19">
        <v>0</v>
      </c>
      <c r="H20" s="19">
        <v>31.531400000000001</v>
      </c>
      <c r="I20" s="19">
        <v>0</v>
      </c>
      <c r="J20" s="19">
        <v>0</v>
      </c>
      <c r="K20" s="19">
        <v>4.0297999999999998</v>
      </c>
      <c r="L20" s="19">
        <v>0</v>
      </c>
      <c r="M20" s="19">
        <v>0.32979999999999998</v>
      </c>
      <c r="N20" s="19">
        <v>0</v>
      </c>
      <c r="O20" s="19">
        <v>38.752200000000002</v>
      </c>
      <c r="P20" s="19">
        <v>7.9836999999999998</v>
      </c>
      <c r="Q20" s="19">
        <v>291.66480000000001</v>
      </c>
      <c r="R20" s="19">
        <v>19911.537100000001</v>
      </c>
      <c r="S20" s="19">
        <v>66.014899999999997</v>
      </c>
      <c r="T20" s="19">
        <v>40.780299999999997</v>
      </c>
      <c r="U20" s="19">
        <v>81.801000000000002</v>
      </c>
      <c r="V20" s="3">
        <v>3183.8872999999999</v>
      </c>
      <c r="W20" s="3">
        <v>600.63689999999997</v>
      </c>
      <c r="X20" s="1">
        <v>24303.884699999999</v>
      </c>
      <c r="AB20" s="8" t="s">
        <v>17</v>
      </c>
      <c r="AC20" s="3">
        <v>0</v>
      </c>
      <c r="AD20" s="3">
        <v>0.25850000000000001</v>
      </c>
      <c r="AE20" s="3">
        <v>0</v>
      </c>
      <c r="AF20" s="3">
        <v>0</v>
      </c>
      <c r="AG20" s="3">
        <v>29.610800000000001</v>
      </c>
      <c r="AH20" s="3">
        <v>0.14369999999999999</v>
      </c>
      <c r="AI20" s="3">
        <v>5.5673000000000004</v>
      </c>
      <c r="AJ20" s="3">
        <v>0</v>
      </c>
      <c r="AK20" s="3">
        <v>0.6038</v>
      </c>
      <c r="AL20" s="3">
        <v>149.76689999999999</v>
      </c>
      <c r="AM20" s="3">
        <v>0</v>
      </c>
      <c r="AN20" s="3">
        <v>161.48089999999999</v>
      </c>
      <c r="AO20" s="3">
        <v>0</v>
      </c>
      <c r="AP20" s="3">
        <v>1602.0965000000001</v>
      </c>
      <c r="AQ20" s="3">
        <v>25.447399999999998</v>
      </c>
      <c r="AR20" s="3">
        <v>0</v>
      </c>
      <c r="AS20" s="3">
        <v>19911.537100000001</v>
      </c>
      <c r="AT20" s="3">
        <v>7.2655000000000003</v>
      </c>
      <c r="AU20" s="3">
        <v>8.1145999999999994</v>
      </c>
      <c r="AV20" s="3">
        <v>27.267499999999998</v>
      </c>
      <c r="AW20" s="3">
        <v>21929.160500000005</v>
      </c>
      <c r="BA20" s="8" t="s">
        <v>17</v>
      </c>
      <c r="BB20" s="3">
        <v>0</v>
      </c>
      <c r="BC20" s="3">
        <v>5.5840267196624688E-7</v>
      </c>
      <c r="BD20" s="3">
        <v>0</v>
      </c>
      <c r="BE20" s="3">
        <v>0</v>
      </c>
      <c r="BF20" s="3">
        <v>1.002019715658683E-4</v>
      </c>
      <c r="BG20" s="3">
        <v>8.3500398047617762E-6</v>
      </c>
      <c r="BH20" s="3">
        <v>1.7042461832575167E-5</v>
      </c>
      <c r="BI20" s="3">
        <v>0</v>
      </c>
      <c r="BJ20" s="3">
        <v>3.6146388395110415E-5</v>
      </c>
      <c r="BK20" s="3">
        <v>8.3187849712320554E-4</v>
      </c>
      <c r="BL20" s="3">
        <v>0</v>
      </c>
      <c r="BM20" s="3">
        <v>3.7436574130963267E-3</v>
      </c>
      <c r="BN20" s="3">
        <v>0</v>
      </c>
      <c r="BO20" s="3">
        <v>1.542656511484599E-2</v>
      </c>
      <c r="BP20" s="3">
        <v>5.6711817934637166E-4</v>
      </c>
      <c r="BQ20" s="3">
        <v>0</v>
      </c>
      <c r="BR20" s="3">
        <v>0.97037805344859562</v>
      </c>
      <c r="BS20" s="3">
        <v>2.6142898113780275E-4</v>
      </c>
      <c r="BT20" s="3">
        <v>9.4662776719410416E-4</v>
      </c>
      <c r="BU20" s="3">
        <v>2.5512889545941113E-3</v>
      </c>
    </row>
    <row r="21" spans="1:73" ht="17" x14ac:dyDescent="0.2">
      <c r="A21" s="3" t="s">
        <v>18</v>
      </c>
      <c r="B21" s="19">
        <v>0</v>
      </c>
      <c r="C21" s="19">
        <v>0</v>
      </c>
      <c r="D21" s="19">
        <v>0</v>
      </c>
      <c r="E21" s="19">
        <v>0</v>
      </c>
      <c r="F21" s="19">
        <v>0.79020000000000001</v>
      </c>
      <c r="G21" s="19">
        <v>0</v>
      </c>
      <c r="H21" s="19">
        <v>0.1021</v>
      </c>
      <c r="I21" s="19">
        <v>2.0552000000000001</v>
      </c>
      <c r="J21" s="19">
        <v>0</v>
      </c>
      <c r="K21" s="19">
        <v>0</v>
      </c>
      <c r="L21" s="19">
        <v>0</v>
      </c>
      <c r="M21" s="19">
        <v>0</v>
      </c>
      <c r="N21" s="19">
        <v>0</v>
      </c>
      <c r="O21" s="19">
        <v>8.7965</v>
      </c>
      <c r="P21" s="19">
        <v>0</v>
      </c>
      <c r="Q21" s="19">
        <v>85.150499999999994</v>
      </c>
      <c r="R21" s="19">
        <v>7.2655000000000003</v>
      </c>
      <c r="S21" s="19">
        <v>27645.397300000001</v>
      </c>
      <c r="T21" s="19">
        <v>3.7061999999999999</v>
      </c>
      <c r="U21" s="19">
        <v>38.222999999999999</v>
      </c>
      <c r="V21" s="3">
        <v>677.67920000000004</v>
      </c>
      <c r="W21" s="3">
        <v>1133.7372</v>
      </c>
      <c r="X21" s="1">
        <v>29602.902999999998</v>
      </c>
      <c r="AB21" s="8" t="s">
        <v>18</v>
      </c>
      <c r="AC21" s="3">
        <v>0</v>
      </c>
      <c r="AD21" s="3">
        <v>0</v>
      </c>
      <c r="AE21" s="3">
        <v>0</v>
      </c>
      <c r="AF21" s="3">
        <v>0</v>
      </c>
      <c r="AG21" s="3">
        <v>11.742100000000001</v>
      </c>
      <c r="AH21" s="3">
        <v>0.99070000000000003</v>
      </c>
      <c r="AI21" s="3">
        <v>7.7359999999999998</v>
      </c>
      <c r="AJ21" s="3">
        <v>0</v>
      </c>
      <c r="AK21" s="3">
        <v>1.7653000000000001</v>
      </c>
      <c r="AL21" s="3">
        <v>52.686900000000001</v>
      </c>
      <c r="AM21" s="3">
        <v>0</v>
      </c>
      <c r="AN21" s="3">
        <v>220.49299999999999</v>
      </c>
      <c r="AO21" s="3">
        <v>0</v>
      </c>
      <c r="AP21" s="3">
        <v>343.42750000000001</v>
      </c>
      <c r="AQ21" s="3">
        <v>36.491999999999997</v>
      </c>
      <c r="AR21" s="3">
        <v>0</v>
      </c>
      <c r="AS21" s="3">
        <v>66.014899999999997</v>
      </c>
      <c r="AT21" s="3">
        <v>27645.397300000001</v>
      </c>
      <c r="AU21" s="3">
        <v>2.4512</v>
      </c>
      <c r="AV21" s="3">
        <v>16.936399999999999</v>
      </c>
      <c r="AW21" s="3">
        <v>28406.133299999998</v>
      </c>
      <c r="BA21" s="8" t="s">
        <v>18</v>
      </c>
      <c r="BB21" s="3">
        <v>0</v>
      </c>
      <c r="BC21" s="3">
        <v>0</v>
      </c>
      <c r="BD21" s="3">
        <v>0</v>
      </c>
      <c r="BE21" s="3">
        <v>0</v>
      </c>
      <c r="BF21" s="3">
        <v>3.9734879514352267E-5</v>
      </c>
      <c r="BG21" s="3">
        <v>5.7567045473747333E-5</v>
      </c>
      <c r="BH21" s="3">
        <v>2.3681225142672655E-5</v>
      </c>
      <c r="BI21" s="3">
        <v>0</v>
      </c>
      <c r="BJ21" s="3">
        <v>1.0567939621379333E-4</v>
      </c>
      <c r="BK21" s="3">
        <v>2.9264877079034567E-4</v>
      </c>
      <c r="BL21" s="3">
        <v>0</v>
      </c>
      <c r="BM21" s="3">
        <v>5.1117516312198432E-3</v>
      </c>
      <c r="BN21" s="3">
        <v>0</v>
      </c>
      <c r="BO21" s="3">
        <v>3.3068586636190588E-3</v>
      </c>
      <c r="BP21" s="3">
        <v>8.1325701646171292E-4</v>
      </c>
      <c r="BQ21" s="3">
        <v>0</v>
      </c>
      <c r="BR21" s="3">
        <v>3.2172006530125537E-3</v>
      </c>
      <c r="BS21" s="3">
        <v>0.99474338301407517</v>
      </c>
      <c r="BT21" s="3">
        <v>2.8595050685753927E-4</v>
      </c>
      <c r="BU21" s="3">
        <v>1.5846575685555225E-3</v>
      </c>
    </row>
    <row r="22" spans="1:73" ht="17" x14ac:dyDescent="0.2">
      <c r="A22" s="3" t="s">
        <v>19</v>
      </c>
      <c r="B22" s="19">
        <v>0</v>
      </c>
      <c r="C22" s="19">
        <v>0</v>
      </c>
      <c r="D22" s="19">
        <v>0</v>
      </c>
      <c r="E22" s="19">
        <v>0</v>
      </c>
      <c r="F22" s="19">
        <v>25.0015</v>
      </c>
      <c r="G22" s="19">
        <v>0</v>
      </c>
      <c r="H22" s="19">
        <v>0.58520000000000005</v>
      </c>
      <c r="I22" s="19">
        <v>74.0608</v>
      </c>
      <c r="J22" s="19">
        <v>0.48039999999999999</v>
      </c>
      <c r="K22" s="19">
        <v>344.66430000000003</v>
      </c>
      <c r="L22" s="19">
        <v>171.57550000000001</v>
      </c>
      <c r="M22" s="19">
        <v>3.2808999999999999</v>
      </c>
      <c r="N22" s="19">
        <v>0</v>
      </c>
      <c r="O22" s="19">
        <v>1.6646000000000001</v>
      </c>
      <c r="P22" s="19">
        <v>4.6993999999999998</v>
      </c>
      <c r="Q22" s="19">
        <v>0</v>
      </c>
      <c r="R22" s="19">
        <v>8.1145999999999994</v>
      </c>
      <c r="S22" s="19">
        <v>2.4512</v>
      </c>
      <c r="T22" s="19">
        <v>7918.6040000000003</v>
      </c>
      <c r="U22" s="19">
        <v>16.930399999999999</v>
      </c>
      <c r="V22" s="3">
        <v>403.45119999999997</v>
      </c>
      <c r="W22" s="3">
        <v>3350.0084000000002</v>
      </c>
      <c r="X22" s="1">
        <v>12325.572399999999</v>
      </c>
      <c r="AB22" s="8" t="s">
        <v>19</v>
      </c>
      <c r="AC22" s="3">
        <v>0</v>
      </c>
      <c r="AD22" s="3">
        <v>0</v>
      </c>
      <c r="AE22" s="3">
        <v>0</v>
      </c>
      <c r="AF22" s="3">
        <v>2.3561999999999999</v>
      </c>
      <c r="AG22" s="3">
        <v>37.412799999999997</v>
      </c>
      <c r="AH22" s="3">
        <v>0.68430000000000002</v>
      </c>
      <c r="AI22" s="3">
        <v>21.873200000000001</v>
      </c>
      <c r="AJ22" s="3">
        <v>1.3906000000000001</v>
      </c>
      <c r="AK22" s="3">
        <v>232.00970000000001</v>
      </c>
      <c r="AL22" s="3">
        <v>3.2195</v>
      </c>
      <c r="AM22" s="3">
        <v>6.9999999999999999E-4</v>
      </c>
      <c r="AN22" s="3">
        <v>265.17509999999999</v>
      </c>
      <c r="AO22" s="3">
        <v>0</v>
      </c>
      <c r="AP22" s="3">
        <v>69.877200000000002</v>
      </c>
      <c r="AQ22" s="3">
        <v>32.445500000000003</v>
      </c>
      <c r="AR22" s="3">
        <v>0</v>
      </c>
      <c r="AS22" s="3">
        <v>40.780299999999997</v>
      </c>
      <c r="AT22" s="3">
        <v>3.7061999999999999</v>
      </c>
      <c r="AU22" s="3">
        <v>7918.6040000000003</v>
      </c>
      <c r="AV22" s="3">
        <v>1.4507000000000001</v>
      </c>
      <c r="AW22" s="3">
        <v>8630.985999999999</v>
      </c>
      <c r="BA22" s="8" t="s">
        <v>19</v>
      </c>
      <c r="BB22" s="3">
        <v>0</v>
      </c>
      <c r="BC22" s="3">
        <v>0</v>
      </c>
      <c r="BD22" s="3">
        <v>0</v>
      </c>
      <c r="BE22" s="3">
        <v>3.2237084120305431E-5</v>
      </c>
      <c r="BF22" s="3">
        <v>1.2660368250096306E-4</v>
      </c>
      <c r="BG22" s="3">
        <v>3.9762924414742402E-5</v>
      </c>
      <c r="BH22" s="3">
        <v>6.6957623292490635E-5</v>
      </c>
      <c r="BI22" s="3">
        <v>3.0647823493220672E-4</v>
      </c>
      <c r="BJ22" s="3">
        <v>1.3889222801644665E-2</v>
      </c>
      <c r="BK22" s="3">
        <v>1.7882675153776703E-5</v>
      </c>
      <c r="BL22" s="3">
        <v>4.4245762961424437E-9</v>
      </c>
      <c r="BM22" s="3">
        <v>6.1476294031279225E-3</v>
      </c>
      <c r="BN22" s="3">
        <v>0</v>
      </c>
      <c r="BO22" s="3">
        <v>6.7284659559715423E-4</v>
      </c>
      <c r="BP22" s="3">
        <v>7.2307712725004148E-4</v>
      </c>
      <c r="BQ22" s="3">
        <v>0</v>
      </c>
      <c r="BR22" s="3">
        <v>1.9874059915268799E-3</v>
      </c>
      <c r="BS22" s="3">
        <v>1.3335738626287584E-4</v>
      </c>
      <c r="BT22" s="3">
        <v>0.92376339238093097</v>
      </c>
      <c r="BU22" s="3">
        <v>1.3573502838286157E-4</v>
      </c>
    </row>
    <row r="23" spans="1:73" ht="17" x14ac:dyDescent="0.2">
      <c r="A23" s="3" t="s">
        <v>20</v>
      </c>
      <c r="B23" s="19">
        <v>0</v>
      </c>
      <c r="C23" s="19">
        <v>79.493700000000004</v>
      </c>
      <c r="D23" s="19">
        <v>0</v>
      </c>
      <c r="E23" s="19">
        <v>0</v>
      </c>
      <c r="F23" s="19">
        <v>539.40200000000004</v>
      </c>
      <c r="G23" s="19">
        <v>251.35419999999999</v>
      </c>
      <c r="H23" s="19">
        <v>45.608499999999999</v>
      </c>
      <c r="I23" s="19">
        <v>29.816700000000001</v>
      </c>
      <c r="J23" s="19">
        <v>5.1420000000000003</v>
      </c>
      <c r="K23" s="19">
        <v>58.017200000000003</v>
      </c>
      <c r="L23" s="19">
        <v>10.5961</v>
      </c>
      <c r="M23" s="19">
        <v>0.15989999999999999</v>
      </c>
      <c r="N23" s="19">
        <v>0</v>
      </c>
      <c r="O23" s="19">
        <v>29.8108</v>
      </c>
      <c r="P23" s="19">
        <v>81.653700000000001</v>
      </c>
      <c r="Q23" s="19">
        <v>0</v>
      </c>
      <c r="R23" s="19">
        <v>27.267499999999998</v>
      </c>
      <c r="S23" s="19">
        <v>16.936399999999999</v>
      </c>
      <c r="T23" s="19">
        <v>1.4507000000000001</v>
      </c>
      <c r="U23" s="19">
        <v>9511.0254999999997</v>
      </c>
      <c r="V23" s="3">
        <v>310.07749999999999</v>
      </c>
      <c r="W23" s="3">
        <v>491.03570000000002</v>
      </c>
      <c r="X23" s="1">
        <v>11488.8483</v>
      </c>
      <c r="AB23" s="8" t="s">
        <v>20</v>
      </c>
      <c r="AC23" s="3">
        <v>0</v>
      </c>
      <c r="AD23" s="3">
        <v>0</v>
      </c>
      <c r="AE23" s="3">
        <v>0</v>
      </c>
      <c r="AF23" s="3">
        <v>1.722</v>
      </c>
      <c r="AG23" s="3">
        <v>82.884299999999996</v>
      </c>
      <c r="AH23" s="3">
        <v>7.2195</v>
      </c>
      <c r="AI23" s="3">
        <v>11.1335</v>
      </c>
      <c r="AJ23" s="3">
        <v>0</v>
      </c>
      <c r="AK23" s="3">
        <v>7.0753000000000004</v>
      </c>
      <c r="AL23" s="3">
        <v>14.303100000000001</v>
      </c>
      <c r="AM23" s="3">
        <v>0.26650000000000001</v>
      </c>
      <c r="AN23" s="3">
        <v>176.6266</v>
      </c>
      <c r="AO23" s="3">
        <v>0</v>
      </c>
      <c r="AP23" s="3">
        <v>46.611400000000003</v>
      </c>
      <c r="AQ23" s="3">
        <v>163.37719999999999</v>
      </c>
      <c r="AR23" s="3">
        <v>0</v>
      </c>
      <c r="AS23" s="3">
        <v>81.801000000000002</v>
      </c>
      <c r="AT23" s="3">
        <v>38.222999999999999</v>
      </c>
      <c r="AU23" s="3">
        <v>16.930399999999999</v>
      </c>
      <c r="AV23" s="3">
        <v>9511.0254999999997</v>
      </c>
      <c r="AW23" s="3">
        <v>10159.1993</v>
      </c>
      <c r="BA23" s="8" t="s">
        <v>20</v>
      </c>
      <c r="BB23" s="3">
        <v>0</v>
      </c>
      <c r="BC23" s="3">
        <v>0</v>
      </c>
      <c r="BD23" s="3">
        <v>0</v>
      </c>
      <c r="BE23" s="3">
        <v>2.356007930361003E-5</v>
      </c>
      <c r="BF23" s="3">
        <v>2.8047774027911763E-4</v>
      </c>
      <c r="BG23" s="3">
        <v>4.1950669708056817E-4</v>
      </c>
      <c r="BH23" s="3">
        <v>3.4081556376156411E-5</v>
      </c>
      <c r="BI23" s="3">
        <v>0</v>
      </c>
      <c r="BJ23" s="3">
        <v>4.2356167905254177E-4</v>
      </c>
      <c r="BK23" s="3">
        <v>7.944640192327492E-5</v>
      </c>
      <c r="BL23" s="3">
        <v>1.6844994041742303E-6</v>
      </c>
      <c r="BM23" s="3">
        <v>4.0947844633018498E-3</v>
      </c>
      <c r="BN23" s="3">
        <v>0</v>
      </c>
      <c r="BO23" s="3">
        <v>4.4882052809810919E-4</v>
      </c>
      <c r="BP23" s="3">
        <v>3.6410077340202941E-3</v>
      </c>
      <c r="BQ23" s="3">
        <v>0</v>
      </c>
      <c r="BR23" s="3">
        <v>3.9865277477823934E-3</v>
      </c>
      <c r="BS23" s="3">
        <v>1.3753492458922626E-3</v>
      </c>
      <c r="BT23" s="3">
        <v>1.9750556712226186E-3</v>
      </c>
      <c r="BU23" s="3">
        <v>0.88990095553361825</v>
      </c>
    </row>
    <row r="24" spans="1:73" ht="17" x14ac:dyDescent="0.2">
      <c r="A24" s="3" t="s">
        <v>49</v>
      </c>
      <c r="B24" s="3">
        <v>741.99860000000001</v>
      </c>
      <c r="C24" s="3">
        <v>476617.81009999994</v>
      </c>
      <c r="D24" s="3">
        <v>23877.101099999989</v>
      </c>
      <c r="E24" s="3">
        <v>71085.050099999993</v>
      </c>
      <c r="F24" s="3">
        <v>316027.35899999994</v>
      </c>
      <c r="G24" s="3">
        <v>16798.332000000002</v>
      </c>
      <c r="H24" s="3">
        <v>320144.7845999999</v>
      </c>
      <c r="I24" s="3">
        <v>6537.4171000000006</v>
      </c>
      <c r="J24" s="3">
        <v>14810.209199999999</v>
      </c>
      <c r="K24" s="3">
        <v>182675.80549999996</v>
      </c>
      <c r="L24" s="3">
        <v>169696.63769999999</v>
      </c>
      <c r="M24" s="3">
        <v>38956.709299999995</v>
      </c>
      <c r="N24" s="3">
        <v>24745.4</v>
      </c>
      <c r="O24" s="3">
        <v>77860.909500000023</v>
      </c>
      <c r="P24" s="3">
        <v>30222.0661</v>
      </c>
      <c r="Q24" s="3">
        <v>47288.989800000003</v>
      </c>
      <c r="R24" s="3">
        <v>21929.160500000005</v>
      </c>
      <c r="S24" s="3">
        <v>28406.133299999998</v>
      </c>
      <c r="T24" s="3">
        <v>8630.985999999999</v>
      </c>
      <c r="U24" s="3">
        <v>10159.1993</v>
      </c>
      <c r="V24" s="3">
        <f>SUM(V4:V23)</f>
        <v>1046141.4282999998</v>
      </c>
      <c r="W24" s="3">
        <f t="shared" ref="W24:X24" si="0">SUM(W4:W23)</f>
        <v>31804.699999999943</v>
      </c>
      <c r="X24" s="3">
        <f t="shared" si="0"/>
        <v>2965158.1882000002</v>
      </c>
      <c r="AB24" s="8" t="s">
        <v>49</v>
      </c>
      <c r="AC24" s="3">
        <v>674.30219999999997</v>
      </c>
      <c r="AD24" s="3">
        <v>462927.58429999999</v>
      </c>
      <c r="AE24" s="3">
        <v>24175.878099999998</v>
      </c>
      <c r="AF24" s="3">
        <v>73089.736999999994</v>
      </c>
      <c r="AG24" s="3">
        <v>295511.15150000004</v>
      </c>
      <c r="AH24" s="3">
        <v>17209.498799999998</v>
      </c>
      <c r="AI24" s="3">
        <v>326672.28799999988</v>
      </c>
      <c r="AJ24" s="3">
        <v>4537.3532000000005</v>
      </c>
      <c r="AK24" s="3">
        <v>16704.2968</v>
      </c>
      <c r="AL24" s="3">
        <v>180034.58499999999</v>
      </c>
      <c r="AM24" s="3">
        <v>158207.23910000001</v>
      </c>
      <c r="AN24" s="3">
        <v>43134.529200000004</v>
      </c>
      <c r="AO24" s="3">
        <v>24745.4</v>
      </c>
      <c r="AP24" s="3">
        <v>103853.09290000002</v>
      </c>
      <c r="AQ24" s="3">
        <v>44871.423500000004</v>
      </c>
      <c r="AR24" s="3">
        <v>43293.004500000003</v>
      </c>
      <c r="AS24" s="3">
        <v>20519.360499999999</v>
      </c>
      <c r="AT24" s="3">
        <v>27791.486500000003</v>
      </c>
      <c r="AU24" s="3">
        <v>8572.112799999999</v>
      </c>
      <c r="AV24" s="3">
        <v>10687.734899999999</v>
      </c>
      <c r="AW24" s="3">
        <v>1887212.0587999998</v>
      </c>
    </row>
    <row r="29" spans="1:73" ht="19" x14ac:dyDescent="0.2">
      <c r="A29" s="23" t="s">
        <v>58</v>
      </c>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spans="1:73" ht="102" x14ac:dyDescent="0.2">
      <c r="A30" s="8" t="s">
        <v>75</v>
      </c>
      <c r="B30" s="8" t="s">
        <v>1</v>
      </c>
      <c r="C30" s="8" t="s">
        <v>2</v>
      </c>
      <c r="D30" s="8" t="s">
        <v>3</v>
      </c>
      <c r="E30" s="8" t="s">
        <v>4</v>
      </c>
      <c r="F30" s="8" t="s">
        <v>5</v>
      </c>
      <c r="G30" s="8" t="s">
        <v>6</v>
      </c>
      <c r="H30" s="8" t="s">
        <v>7</v>
      </c>
      <c r="I30" s="8" t="s">
        <v>8</v>
      </c>
      <c r="J30" s="8" t="s">
        <v>9</v>
      </c>
      <c r="K30" s="8" t="s">
        <v>10</v>
      </c>
      <c r="L30" s="8" t="s">
        <v>11</v>
      </c>
      <c r="M30" s="8" t="s">
        <v>12</v>
      </c>
      <c r="N30" s="8" t="s">
        <v>13</v>
      </c>
      <c r="O30" s="8" t="s">
        <v>14</v>
      </c>
      <c r="P30" s="8" t="s">
        <v>15</v>
      </c>
      <c r="Q30" s="8" t="s">
        <v>16</v>
      </c>
      <c r="R30" s="8" t="s">
        <v>17</v>
      </c>
      <c r="S30" s="8" t="s">
        <v>18</v>
      </c>
      <c r="T30" s="8" t="s">
        <v>19</v>
      </c>
      <c r="U30" s="8" t="s">
        <v>20</v>
      </c>
      <c r="V30" s="8" t="s">
        <v>40</v>
      </c>
      <c r="W30" s="8" t="s">
        <v>41</v>
      </c>
      <c r="X30" s="8" t="s">
        <v>42</v>
      </c>
      <c r="Y30" s="8" t="s">
        <v>43</v>
      </c>
      <c r="Z30" s="8" t="s">
        <v>44</v>
      </c>
      <c r="AA30" s="8" t="s">
        <v>49</v>
      </c>
    </row>
    <row r="31" spans="1:73" x14ac:dyDescent="0.2">
      <c r="A31" s="3" t="s">
        <v>1</v>
      </c>
      <c r="B31" s="3">
        <v>150.35149999999999</v>
      </c>
      <c r="C31" s="3">
        <v>49.490900000000003</v>
      </c>
      <c r="D31" s="3">
        <v>1.3449</v>
      </c>
      <c r="E31" s="3">
        <v>5.4187000000000003</v>
      </c>
      <c r="F31" s="3">
        <v>1.9300000000000001E-2</v>
      </c>
      <c r="G31" s="3">
        <v>0.27600000000000002</v>
      </c>
      <c r="H31" s="3">
        <v>1.7574000000000001</v>
      </c>
      <c r="I31" s="3">
        <v>8.8824000000000005</v>
      </c>
      <c r="J31" s="3">
        <v>71.388400000000004</v>
      </c>
      <c r="K31" s="3">
        <v>3.5196000000000001</v>
      </c>
      <c r="L31" s="3">
        <v>0.79520000000000002</v>
      </c>
      <c r="M31" s="3">
        <v>0</v>
      </c>
      <c r="N31" s="3">
        <v>0</v>
      </c>
      <c r="O31" s="3">
        <v>0.43569999999999998</v>
      </c>
      <c r="P31" s="3">
        <v>4.4002999999999997</v>
      </c>
      <c r="Q31" s="3">
        <v>0.52890000000000004</v>
      </c>
      <c r="R31" s="3">
        <v>0.15559999999999999</v>
      </c>
      <c r="S31" s="3">
        <v>0.93459999999999999</v>
      </c>
      <c r="T31" s="3">
        <v>0.746</v>
      </c>
      <c r="U31" s="3">
        <v>1.1678999999999999</v>
      </c>
      <c r="V31" s="3">
        <v>188.59829999999999</v>
      </c>
      <c r="W31" s="3">
        <v>0</v>
      </c>
      <c r="X31" s="3">
        <v>1.0501</v>
      </c>
      <c r="Y31" s="3">
        <v>22.6813</v>
      </c>
      <c r="Z31" s="3">
        <v>160.3596</v>
      </c>
      <c r="AA31" s="3">
        <v>674.30219999999997</v>
      </c>
    </row>
    <row r="32" spans="1:73" x14ac:dyDescent="0.2">
      <c r="A32" s="3" t="s">
        <v>2</v>
      </c>
      <c r="B32" s="3">
        <v>37.040500000000002</v>
      </c>
      <c r="C32" s="3">
        <v>79155.146599999993</v>
      </c>
      <c r="D32" s="3">
        <v>266.72329999999999</v>
      </c>
      <c r="E32" s="3">
        <v>5259.0308999999997</v>
      </c>
      <c r="F32" s="3">
        <v>3693.9625999999998</v>
      </c>
      <c r="G32" s="3">
        <v>327.92680000000001</v>
      </c>
      <c r="H32" s="3">
        <v>15396.3609</v>
      </c>
      <c r="I32" s="3">
        <v>221.36949999999999</v>
      </c>
      <c r="J32" s="3">
        <v>1530.829</v>
      </c>
      <c r="K32" s="3">
        <v>7676.8588</v>
      </c>
      <c r="L32" s="3">
        <v>334.70729999999998</v>
      </c>
      <c r="M32" s="3">
        <v>1008.1712</v>
      </c>
      <c r="N32" s="3">
        <v>0</v>
      </c>
      <c r="O32" s="3">
        <v>7178.5114999999996</v>
      </c>
      <c r="P32" s="3">
        <v>1224.4672</v>
      </c>
      <c r="Q32" s="3">
        <v>2041.6733999999999</v>
      </c>
      <c r="R32" s="3">
        <v>604.1001</v>
      </c>
      <c r="S32" s="3">
        <v>1807.5165999999999</v>
      </c>
      <c r="T32" s="3">
        <v>183.3272</v>
      </c>
      <c r="U32" s="3">
        <v>462.16570000000002</v>
      </c>
      <c r="V32" s="3">
        <v>6141.7352000000001</v>
      </c>
      <c r="W32" s="3">
        <v>355.30799999999999</v>
      </c>
      <c r="X32" s="3">
        <v>10003.915800000001</v>
      </c>
      <c r="Y32" s="3">
        <v>2907.0589</v>
      </c>
      <c r="Z32" s="3">
        <v>315109.67709999997</v>
      </c>
      <c r="AA32" s="3">
        <v>462927.58419999998</v>
      </c>
    </row>
    <row r="33" spans="1:27" x14ac:dyDescent="0.2">
      <c r="A33" s="3" t="s">
        <v>3</v>
      </c>
      <c r="B33" s="3">
        <v>22.1038</v>
      </c>
      <c r="C33" s="3">
        <v>4512.1293999999998</v>
      </c>
      <c r="D33" s="3">
        <v>4143.4468999999999</v>
      </c>
      <c r="E33" s="3">
        <v>212.90469999999999</v>
      </c>
      <c r="F33" s="3">
        <v>530.16390000000001</v>
      </c>
      <c r="G33" s="3">
        <v>440.01909999999998</v>
      </c>
      <c r="H33" s="3">
        <v>1201.1617000000001</v>
      </c>
      <c r="I33" s="3">
        <v>333.58069999999998</v>
      </c>
      <c r="J33" s="3">
        <v>689.61609999999996</v>
      </c>
      <c r="K33" s="3">
        <v>2503.3334</v>
      </c>
      <c r="L33" s="3">
        <v>433.57440000000003</v>
      </c>
      <c r="M33" s="3">
        <v>1231.9911</v>
      </c>
      <c r="N33" s="3">
        <v>0</v>
      </c>
      <c r="O33" s="3">
        <v>342.3535</v>
      </c>
      <c r="P33" s="3">
        <v>87.034899999999993</v>
      </c>
      <c r="Q33" s="3">
        <v>1661.1612</v>
      </c>
      <c r="R33" s="3">
        <v>454.6182</v>
      </c>
      <c r="S33" s="3">
        <v>449.7869</v>
      </c>
      <c r="T33" s="3">
        <v>381.51429999999999</v>
      </c>
      <c r="U33" s="3">
        <v>142.99449999999999</v>
      </c>
      <c r="V33" s="3">
        <v>3105.2013000000002</v>
      </c>
      <c r="W33" s="3">
        <v>754.04499999999996</v>
      </c>
      <c r="X33" s="3">
        <v>0</v>
      </c>
      <c r="Y33" s="3">
        <v>-23.418099999999999</v>
      </c>
      <c r="Z33" s="3">
        <v>566.56110000000001</v>
      </c>
      <c r="AA33" s="3">
        <v>24175.878100000002</v>
      </c>
    </row>
    <row r="34" spans="1:27" x14ac:dyDescent="0.2">
      <c r="A34" s="3" t="s">
        <v>4</v>
      </c>
      <c r="B34" s="3">
        <v>0.28410000000000002</v>
      </c>
      <c r="C34" s="3">
        <v>434.33499999999998</v>
      </c>
      <c r="D34" s="3">
        <v>107.7312</v>
      </c>
      <c r="E34" s="3">
        <v>25215.6387</v>
      </c>
      <c r="F34" s="3">
        <v>94.7834</v>
      </c>
      <c r="G34" s="3">
        <v>17.3081</v>
      </c>
      <c r="H34" s="3">
        <v>216.6011</v>
      </c>
      <c r="I34" s="3">
        <v>95.192899999999995</v>
      </c>
      <c r="J34" s="3">
        <v>36.263199999999998</v>
      </c>
      <c r="K34" s="3">
        <v>101.599</v>
      </c>
      <c r="L34" s="3">
        <v>101.23260000000001</v>
      </c>
      <c r="M34" s="3">
        <v>2195.7921000000001</v>
      </c>
      <c r="N34" s="3">
        <v>2608.8888000000002</v>
      </c>
      <c r="O34" s="3">
        <v>508.30200000000002</v>
      </c>
      <c r="P34" s="3">
        <v>7.4771000000000001</v>
      </c>
      <c r="Q34" s="3">
        <v>204.4614</v>
      </c>
      <c r="R34" s="3">
        <v>141.59639999999999</v>
      </c>
      <c r="S34" s="3">
        <v>66.311400000000006</v>
      </c>
      <c r="T34" s="3">
        <v>85.188100000000006</v>
      </c>
      <c r="U34" s="3">
        <v>10.3279</v>
      </c>
      <c r="V34" s="3">
        <v>0</v>
      </c>
      <c r="W34" s="3">
        <v>0</v>
      </c>
      <c r="X34" s="3">
        <v>39551.167200000004</v>
      </c>
      <c r="Y34" s="3">
        <v>0</v>
      </c>
      <c r="Z34" s="3">
        <v>1289.2552000000001</v>
      </c>
      <c r="AA34" s="3">
        <v>73089.736999999994</v>
      </c>
    </row>
    <row r="35" spans="1:27" x14ac:dyDescent="0.2">
      <c r="A35" s="3" t="s">
        <v>5</v>
      </c>
      <c r="B35" s="3">
        <v>61.419400000000003</v>
      </c>
      <c r="C35" s="3">
        <v>16097.8995</v>
      </c>
      <c r="D35" s="3">
        <v>169.29130000000001</v>
      </c>
      <c r="E35" s="3">
        <v>2390.6206999999999</v>
      </c>
      <c r="F35" s="3">
        <v>4514.1030000000001</v>
      </c>
      <c r="G35" s="3">
        <v>295.76850000000002</v>
      </c>
      <c r="H35" s="3">
        <v>2181.4902999999999</v>
      </c>
      <c r="I35" s="3">
        <v>191.61429999999999</v>
      </c>
      <c r="J35" s="3">
        <v>905.15830000000005</v>
      </c>
      <c r="K35" s="3">
        <v>2688.0032999999999</v>
      </c>
      <c r="L35" s="3">
        <v>249.04949999999999</v>
      </c>
      <c r="M35" s="3">
        <v>123.0669</v>
      </c>
      <c r="N35" s="3">
        <v>0</v>
      </c>
      <c r="O35" s="3">
        <v>870.63189999999997</v>
      </c>
      <c r="P35" s="3">
        <v>383.1748</v>
      </c>
      <c r="Q35" s="3">
        <v>731.6499</v>
      </c>
      <c r="R35" s="3">
        <v>216.94800000000001</v>
      </c>
      <c r="S35" s="3">
        <v>541.80319999999995</v>
      </c>
      <c r="T35" s="3">
        <v>51.725999999999999</v>
      </c>
      <c r="U35" s="3">
        <v>247.62039999999999</v>
      </c>
      <c r="V35" s="3">
        <v>7043.2524000000003</v>
      </c>
      <c r="W35" s="3">
        <v>0</v>
      </c>
      <c r="X35" s="3">
        <v>6714.5846000000001</v>
      </c>
      <c r="Y35" s="3">
        <v>0</v>
      </c>
      <c r="Z35" s="3">
        <v>248842.2751</v>
      </c>
      <c r="AA35" s="3">
        <v>295511.15159999998</v>
      </c>
    </row>
    <row r="36" spans="1:27" x14ac:dyDescent="0.2">
      <c r="A36" s="3" t="s">
        <v>6</v>
      </c>
      <c r="B36" s="3">
        <v>0</v>
      </c>
      <c r="C36" s="3">
        <v>0.70279999999999998</v>
      </c>
      <c r="D36" s="3">
        <v>0</v>
      </c>
      <c r="E36" s="3">
        <v>260.53399999999999</v>
      </c>
      <c r="F36" s="3">
        <v>451.93650000000002</v>
      </c>
      <c r="G36" s="3">
        <v>225.15530000000001</v>
      </c>
      <c r="H36" s="3">
        <v>240.37970000000001</v>
      </c>
      <c r="I36" s="3">
        <v>14.549200000000001</v>
      </c>
      <c r="J36" s="3">
        <v>206.56200000000001</v>
      </c>
      <c r="K36" s="3">
        <v>224.2919</v>
      </c>
      <c r="L36" s="3">
        <v>29.042999999999999</v>
      </c>
      <c r="M36" s="3">
        <v>13.6942</v>
      </c>
      <c r="N36" s="3">
        <v>0</v>
      </c>
      <c r="O36" s="3">
        <v>93.260999999999996</v>
      </c>
      <c r="P36" s="3">
        <v>31.4344</v>
      </c>
      <c r="Q36" s="3">
        <v>84.162000000000006</v>
      </c>
      <c r="R36" s="3">
        <v>24.4772</v>
      </c>
      <c r="S36" s="3">
        <v>60.562399999999997</v>
      </c>
      <c r="T36" s="3">
        <v>7.1382000000000003</v>
      </c>
      <c r="U36" s="3">
        <v>28.156400000000001</v>
      </c>
      <c r="V36" s="3">
        <v>13522.9756</v>
      </c>
      <c r="W36" s="3">
        <v>0</v>
      </c>
      <c r="X36" s="3">
        <v>19.771000000000001</v>
      </c>
      <c r="Y36" s="3">
        <v>0</v>
      </c>
      <c r="Z36" s="3">
        <v>1670.7121999999999</v>
      </c>
      <c r="AA36" s="3">
        <v>17209.498899999999</v>
      </c>
    </row>
    <row r="37" spans="1:27" x14ac:dyDescent="0.2">
      <c r="A37" s="3" t="s">
        <v>7</v>
      </c>
      <c r="B37" s="3">
        <v>2.6080999999999999</v>
      </c>
      <c r="C37" s="3">
        <v>3182.58</v>
      </c>
      <c r="D37" s="3">
        <v>99.235100000000003</v>
      </c>
      <c r="E37" s="3">
        <v>220.672</v>
      </c>
      <c r="F37" s="3">
        <v>26296.932799999999</v>
      </c>
      <c r="G37" s="3">
        <v>776.55790000000002</v>
      </c>
      <c r="H37" s="3">
        <v>90184.174100000004</v>
      </c>
      <c r="I37" s="3">
        <v>11.903499999999999</v>
      </c>
      <c r="J37" s="3">
        <v>103.9867</v>
      </c>
      <c r="K37" s="3">
        <v>1403.3426999999999</v>
      </c>
      <c r="L37" s="3">
        <v>878.08969999999999</v>
      </c>
      <c r="M37" s="3">
        <v>188.58869999999999</v>
      </c>
      <c r="N37" s="3">
        <v>0</v>
      </c>
      <c r="O37" s="3">
        <v>327.47129999999999</v>
      </c>
      <c r="P37" s="3">
        <v>230.02269999999999</v>
      </c>
      <c r="Q37" s="3">
        <v>2609.6064000000001</v>
      </c>
      <c r="R37" s="3">
        <v>81.982299999999995</v>
      </c>
      <c r="S37" s="3">
        <v>57.794400000000003</v>
      </c>
      <c r="T37" s="3">
        <v>31.538</v>
      </c>
      <c r="U37" s="3">
        <v>41.387900000000002</v>
      </c>
      <c r="V37" s="3">
        <v>7845.7407999999996</v>
      </c>
      <c r="W37" s="3">
        <v>29.896000000000001</v>
      </c>
      <c r="X37" s="3">
        <v>0</v>
      </c>
      <c r="Y37" s="3">
        <v>0</v>
      </c>
      <c r="Z37" s="3">
        <v>192068.17689999999</v>
      </c>
      <c r="AA37" s="3">
        <v>326672.28810000001</v>
      </c>
    </row>
    <row r="38" spans="1:27" x14ac:dyDescent="0.2">
      <c r="A38" s="3" t="s">
        <v>8</v>
      </c>
      <c r="B38" s="3">
        <v>0</v>
      </c>
      <c r="C38" s="3">
        <v>34.0182</v>
      </c>
      <c r="D38" s="3">
        <v>6.9633000000000003</v>
      </c>
      <c r="E38" s="3">
        <v>37.916200000000003</v>
      </c>
      <c r="F38" s="3">
        <v>121.63290000000001</v>
      </c>
      <c r="G38" s="3">
        <v>19.744800000000001</v>
      </c>
      <c r="H38" s="3">
        <v>227.63419999999999</v>
      </c>
      <c r="I38" s="3">
        <v>4.9607999999999999</v>
      </c>
      <c r="J38" s="3">
        <v>19.622399999999999</v>
      </c>
      <c r="K38" s="3">
        <v>41.737499999999997</v>
      </c>
      <c r="L38" s="3">
        <v>103.0004</v>
      </c>
      <c r="M38" s="3">
        <v>3.2016</v>
      </c>
      <c r="N38" s="3">
        <v>0</v>
      </c>
      <c r="O38" s="3">
        <v>61.792999999999999</v>
      </c>
      <c r="P38" s="3">
        <v>27.3935</v>
      </c>
      <c r="Q38" s="3">
        <v>90.385099999999994</v>
      </c>
      <c r="R38" s="3">
        <v>9.5616000000000003</v>
      </c>
      <c r="S38" s="3">
        <v>3.9022000000000001</v>
      </c>
      <c r="T38" s="3">
        <v>5.1687000000000003</v>
      </c>
      <c r="U38" s="3">
        <v>12.1037</v>
      </c>
      <c r="V38" s="3">
        <v>339.29910000000001</v>
      </c>
      <c r="W38" s="3">
        <v>0</v>
      </c>
      <c r="X38" s="3">
        <v>0</v>
      </c>
      <c r="Y38" s="3">
        <v>0</v>
      </c>
      <c r="Z38" s="3">
        <v>3367.3139999999999</v>
      </c>
      <c r="AA38" s="3">
        <v>4537.3531000000003</v>
      </c>
    </row>
    <row r="39" spans="1:27" x14ac:dyDescent="0.2">
      <c r="A39" s="3" t="s">
        <v>9</v>
      </c>
      <c r="B39" s="3">
        <v>0.30099999999999999</v>
      </c>
      <c r="C39" s="3">
        <v>102.0136</v>
      </c>
      <c r="D39" s="3">
        <v>26.806799999999999</v>
      </c>
      <c r="E39" s="3">
        <v>65.464299999999994</v>
      </c>
      <c r="F39" s="3">
        <v>1010.8156</v>
      </c>
      <c r="G39" s="3">
        <v>84.210899999999995</v>
      </c>
      <c r="H39" s="3">
        <v>776.66759999999999</v>
      </c>
      <c r="I39" s="3">
        <v>14.7582</v>
      </c>
      <c r="J39" s="3">
        <v>125.3668</v>
      </c>
      <c r="K39" s="3">
        <v>246.59049999999999</v>
      </c>
      <c r="L39" s="3">
        <v>790.99749999999995</v>
      </c>
      <c r="M39" s="3">
        <v>78.482799999999997</v>
      </c>
      <c r="N39" s="3">
        <v>0</v>
      </c>
      <c r="O39" s="3">
        <v>215.07159999999999</v>
      </c>
      <c r="P39" s="3">
        <v>128.12780000000001</v>
      </c>
      <c r="Q39" s="3">
        <v>120.2341</v>
      </c>
      <c r="R39" s="3">
        <v>44.188099999999999</v>
      </c>
      <c r="S39" s="3">
        <v>36.454000000000001</v>
      </c>
      <c r="T39" s="3">
        <v>74.0291</v>
      </c>
      <c r="U39" s="3">
        <v>24.707899999999999</v>
      </c>
      <c r="V39" s="3">
        <v>10298.3446</v>
      </c>
      <c r="W39" s="3">
        <v>246.19900000000001</v>
      </c>
      <c r="X39" s="3">
        <v>0</v>
      </c>
      <c r="Y39" s="3">
        <v>0</v>
      </c>
      <c r="Z39" s="3">
        <v>2194.4652999999998</v>
      </c>
      <c r="AA39" s="3">
        <v>16704.296699999999</v>
      </c>
    </row>
    <row r="40" spans="1:27" x14ac:dyDescent="0.2">
      <c r="A40" s="3" t="s">
        <v>10</v>
      </c>
      <c r="B40" s="3">
        <v>0.16669999999999999</v>
      </c>
      <c r="C40" s="3">
        <v>867.76530000000002</v>
      </c>
      <c r="D40" s="3">
        <v>157.87559999999999</v>
      </c>
      <c r="E40" s="3">
        <v>68.895399999999995</v>
      </c>
      <c r="F40" s="3">
        <v>4343.3078999999998</v>
      </c>
      <c r="G40" s="3">
        <v>258.56180000000001</v>
      </c>
      <c r="H40" s="3">
        <v>1184.2357999999999</v>
      </c>
      <c r="I40" s="3">
        <v>54.68</v>
      </c>
      <c r="J40" s="3">
        <v>69.997799999999998</v>
      </c>
      <c r="K40" s="3">
        <v>43218.725200000001</v>
      </c>
      <c r="L40" s="3">
        <v>5884.2430999999997</v>
      </c>
      <c r="M40" s="3">
        <v>316.90660000000003</v>
      </c>
      <c r="N40" s="3">
        <v>0</v>
      </c>
      <c r="O40" s="3">
        <v>2931.9465</v>
      </c>
      <c r="P40" s="3">
        <v>305.31400000000002</v>
      </c>
      <c r="Q40" s="3">
        <v>3170.9571000000001</v>
      </c>
      <c r="R40" s="3">
        <v>492.40780000000001</v>
      </c>
      <c r="S40" s="3">
        <v>697.89449999999999</v>
      </c>
      <c r="T40" s="3">
        <v>223.3972</v>
      </c>
      <c r="U40" s="3">
        <v>157.46770000000001</v>
      </c>
      <c r="V40" s="3">
        <v>5095.1333999999997</v>
      </c>
      <c r="W40" s="3">
        <v>4.9340000000000002</v>
      </c>
      <c r="X40" s="3">
        <v>8081.1943000000001</v>
      </c>
      <c r="Y40" s="3">
        <v>0</v>
      </c>
      <c r="Z40" s="3">
        <v>102448.5772</v>
      </c>
      <c r="AA40" s="3">
        <v>180034.5852</v>
      </c>
    </row>
    <row r="41" spans="1:27" x14ac:dyDescent="0.2">
      <c r="A41" s="3" t="s">
        <v>11</v>
      </c>
      <c r="B41" s="3">
        <v>3.6999</v>
      </c>
      <c r="C41" s="3">
        <v>2579.3714</v>
      </c>
      <c r="D41" s="3">
        <v>329.02600000000001</v>
      </c>
      <c r="E41" s="3">
        <v>566.6703</v>
      </c>
      <c r="F41" s="3">
        <v>6995.4498000000003</v>
      </c>
      <c r="G41" s="3">
        <v>561.45119999999997</v>
      </c>
      <c r="H41" s="3">
        <v>1694.7491</v>
      </c>
      <c r="I41" s="3">
        <v>155.34530000000001</v>
      </c>
      <c r="J41" s="3">
        <v>161.83320000000001</v>
      </c>
      <c r="K41" s="3">
        <v>1782.4471000000001</v>
      </c>
      <c r="L41" s="3">
        <v>26382.1446</v>
      </c>
      <c r="M41" s="3">
        <v>4941.4210999999996</v>
      </c>
      <c r="N41" s="3">
        <v>638.41650000000004</v>
      </c>
      <c r="O41" s="3">
        <v>1087.8007</v>
      </c>
      <c r="P41" s="3">
        <v>520.86879999999996</v>
      </c>
      <c r="Q41" s="3">
        <v>6314.6881999999996</v>
      </c>
      <c r="R41" s="3">
        <v>156.8443</v>
      </c>
      <c r="S41" s="3">
        <v>288.69540000000001</v>
      </c>
      <c r="T41" s="3">
        <v>129.8047</v>
      </c>
      <c r="U41" s="3">
        <v>100.1872</v>
      </c>
      <c r="V41" s="3">
        <v>27856.7749</v>
      </c>
      <c r="W41" s="3">
        <v>484.90899999999999</v>
      </c>
      <c r="X41" s="3">
        <v>0</v>
      </c>
      <c r="Y41" s="3">
        <v>0</v>
      </c>
      <c r="Z41" s="3">
        <v>74474.640599999999</v>
      </c>
      <c r="AA41" s="3">
        <v>158207.23920000001</v>
      </c>
    </row>
    <row r="42" spans="1:27" x14ac:dyDescent="0.2">
      <c r="A42" s="3" t="s">
        <v>12</v>
      </c>
      <c r="B42" s="3">
        <v>0.17030000000000001</v>
      </c>
      <c r="C42" s="3">
        <v>1492.41</v>
      </c>
      <c r="D42" s="3">
        <v>203.88919999999999</v>
      </c>
      <c r="E42" s="3">
        <v>421.44049999999999</v>
      </c>
      <c r="F42" s="3">
        <v>4980.7816999999995</v>
      </c>
      <c r="G42" s="3">
        <v>3192.232</v>
      </c>
      <c r="H42" s="3">
        <v>1097.0569</v>
      </c>
      <c r="I42" s="3">
        <v>410.56630000000001</v>
      </c>
      <c r="J42" s="3">
        <v>1867.8315</v>
      </c>
      <c r="K42" s="3">
        <v>3231.2831000000001</v>
      </c>
      <c r="L42" s="3">
        <v>3155.5898999999999</v>
      </c>
      <c r="M42" s="3">
        <v>1899.5958000000001</v>
      </c>
      <c r="N42" s="3">
        <v>0</v>
      </c>
      <c r="O42" s="3">
        <v>2099.4047999999998</v>
      </c>
      <c r="P42" s="3">
        <v>668.72720000000004</v>
      </c>
      <c r="Q42" s="3">
        <v>827.83199999999999</v>
      </c>
      <c r="R42" s="3">
        <v>560.3066</v>
      </c>
      <c r="S42" s="3">
        <v>945.68119999999999</v>
      </c>
      <c r="T42" s="3">
        <v>350.1</v>
      </c>
      <c r="U42" s="3">
        <v>746.06579999999997</v>
      </c>
      <c r="V42" s="3">
        <v>2723.6889000000001</v>
      </c>
      <c r="W42" s="3">
        <v>101.745</v>
      </c>
      <c r="X42" s="3">
        <v>11911.5859</v>
      </c>
      <c r="Y42" s="3">
        <v>0</v>
      </c>
      <c r="Z42" s="3">
        <v>246.5445</v>
      </c>
      <c r="AA42" s="3">
        <v>43134.529199999997</v>
      </c>
    </row>
    <row r="43" spans="1:27" x14ac:dyDescent="0.2">
      <c r="A43" s="3" t="s">
        <v>13</v>
      </c>
      <c r="B43" s="3">
        <v>0</v>
      </c>
      <c r="C43" s="3">
        <v>0</v>
      </c>
      <c r="D43" s="3">
        <v>0</v>
      </c>
      <c r="E43" s="3">
        <v>0</v>
      </c>
      <c r="F43" s="3">
        <v>0</v>
      </c>
      <c r="G43" s="3">
        <v>0</v>
      </c>
      <c r="H43" s="3">
        <v>0</v>
      </c>
      <c r="I43" s="3">
        <v>0</v>
      </c>
      <c r="J43" s="3">
        <v>0</v>
      </c>
      <c r="K43" s="3">
        <v>0</v>
      </c>
      <c r="L43" s="3">
        <v>0</v>
      </c>
      <c r="M43" s="3">
        <v>0</v>
      </c>
      <c r="N43" s="3">
        <v>0</v>
      </c>
      <c r="O43" s="3">
        <v>0</v>
      </c>
      <c r="P43" s="3">
        <v>0</v>
      </c>
      <c r="Q43" s="3">
        <v>0</v>
      </c>
      <c r="R43" s="3">
        <v>0</v>
      </c>
      <c r="S43" s="3">
        <v>0</v>
      </c>
      <c r="T43" s="3">
        <v>0</v>
      </c>
      <c r="U43" s="3">
        <v>0</v>
      </c>
      <c r="V43" s="3">
        <v>24241.766800000001</v>
      </c>
      <c r="W43" s="3">
        <v>0</v>
      </c>
      <c r="X43" s="3">
        <v>0</v>
      </c>
      <c r="Y43" s="3">
        <v>0</v>
      </c>
      <c r="Z43" s="3">
        <v>503.63319999999999</v>
      </c>
      <c r="AA43" s="3">
        <v>24745.4</v>
      </c>
    </row>
    <row r="44" spans="1:27" x14ac:dyDescent="0.2">
      <c r="A44" s="3" t="s">
        <v>14</v>
      </c>
      <c r="B44" s="3">
        <v>7.1245000000000003</v>
      </c>
      <c r="C44" s="3">
        <v>4872.1374999999998</v>
      </c>
      <c r="D44" s="3">
        <v>273.6585</v>
      </c>
      <c r="E44" s="3">
        <v>925.44730000000004</v>
      </c>
      <c r="F44" s="3">
        <v>13151.8714</v>
      </c>
      <c r="G44" s="3">
        <v>773.38440000000003</v>
      </c>
      <c r="H44" s="3">
        <v>2717.2613999999999</v>
      </c>
      <c r="I44" s="3">
        <v>453.00670000000002</v>
      </c>
      <c r="J44" s="3">
        <v>333.57569999999998</v>
      </c>
      <c r="K44" s="3">
        <v>10381.8676</v>
      </c>
      <c r="L44" s="3">
        <v>6410.2983000000004</v>
      </c>
      <c r="M44" s="3">
        <v>3729.6653999999999</v>
      </c>
      <c r="N44" s="3">
        <v>426.70569999999998</v>
      </c>
      <c r="O44" s="3">
        <v>6435.4883</v>
      </c>
      <c r="P44" s="3">
        <v>1355.3090999999999</v>
      </c>
      <c r="Q44" s="3">
        <v>2234.9160000000002</v>
      </c>
      <c r="R44" s="3">
        <v>659.25930000000005</v>
      </c>
      <c r="S44" s="3">
        <v>640.0444</v>
      </c>
      <c r="T44" s="3">
        <v>428.54520000000002</v>
      </c>
      <c r="U44" s="3">
        <v>398.32749999999999</v>
      </c>
      <c r="V44" s="3">
        <v>927.82719999999995</v>
      </c>
      <c r="W44" s="3">
        <v>1673.6189999999999</v>
      </c>
      <c r="X44" s="3">
        <v>9338.9935999999998</v>
      </c>
      <c r="Y44" s="3">
        <v>0</v>
      </c>
      <c r="Z44" s="3">
        <v>35304.759100000003</v>
      </c>
      <c r="AA44" s="3">
        <v>103853.0932</v>
      </c>
    </row>
    <row r="45" spans="1:27" x14ac:dyDescent="0.2">
      <c r="A45" s="3" t="s">
        <v>15</v>
      </c>
      <c r="B45" s="3">
        <v>0.1915</v>
      </c>
      <c r="C45" s="3">
        <v>3071.6887999999999</v>
      </c>
      <c r="D45" s="3">
        <v>397.64960000000002</v>
      </c>
      <c r="E45" s="3">
        <v>837.35860000000002</v>
      </c>
      <c r="F45" s="3">
        <v>5727.0550000000003</v>
      </c>
      <c r="G45" s="3">
        <v>424.0829</v>
      </c>
      <c r="H45" s="3">
        <v>4354.2043999999996</v>
      </c>
      <c r="I45" s="3">
        <v>144.96719999999999</v>
      </c>
      <c r="J45" s="3">
        <v>214.5265</v>
      </c>
      <c r="K45" s="3">
        <v>4434.6124</v>
      </c>
      <c r="L45" s="3">
        <v>1926.3139000000001</v>
      </c>
      <c r="M45" s="3">
        <v>2800.3445999999999</v>
      </c>
      <c r="N45" s="3">
        <v>495.62189999999998</v>
      </c>
      <c r="O45" s="3">
        <v>1150.0630000000001</v>
      </c>
      <c r="P45" s="3">
        <v>2857.7392</v>
      </c>
      <c r="Q45" s="3">
        <v>1470.5654</v>
      </c>
      <c r="R45" s="3">
        <v>409.57690000000002</v>
      </c>
      <c r="S45" s="3">
        <v>968.42290000000003</v>
      </c>
      <c r="T45" s="3">
        <v>284.2337</v>
      </c>
      <c r="U45" s="3">
        <v>184.16149999999999</v>
      </c>
      <c r="V45" s="3">
        <v>652.04129999999998</v>
      </c>
      <c r="W45" s="3">
        <v>29.896000000000001</v>
      </c>
      <c r="X45" s="3">
        <v>0</v>
      </c>
      <c r="Y45" s="3">
        <v>0</v>
      </c>
      <c r="Z45" s="3">
        <v>12036.1065</v>
      </c>
      <c r="AA45" s="3">
        <v>44871.423600000002</v>
      </c>
    </row>
    <row r="46" spans="1:27" x14ac:dyDescent="0.2">
      <c r="A46" s="3" t="s">
        <v>16</v>
      </c>
      <c r="B46" s="3">
        <v>1.2999999999999999E-3</v>
      </c>
      <c r="C46" s="3">
        <v>13.471299999999999</v>
      </c>
      <c r="D46" s="3">
        <v>7.3670999999999998</v>
      </c>
      <c r="E46" s="3">
        <v>83.344099999999997</v>
      </c>
      <c r="F46" s="3">
        <v>469.69970000000001</v>
      </c>
      <c r="G46" s="3">
        <v>51.353700000000003</v>
      </c>
      <c r="H46" s="3">
        <v>79.375600000000006</v>
      </c>
      <c r="I46" s="3">
        <v>11.0792</v>
      </c>
      <c r="J46" s="3">
        <v>7.4748000000000001</v>
      </c>
      <c r="K46" s="3">
        <v>268.82389999999998</v>
      </c>
      <c r="L46" s="3">
        <v>239.2765</v>
      </c>
      <c r="M46" s="3">
        <v>318.81169999999997</v>
      </c>
      <c r="N46" s="3">
        <v>0</v>
      </c>
      <c r="O46" s="3">
        <v>217.17920000000001</v>
      </c>
      <c r="P46" s="3">
        <v>19.6248</v>
      </c>
      <c r="Q46" s="3">
        <v>804.66060000000004</v>
      </c>
      <c r="R46" s="3">
        <v>2.0061</v>
      </c>
      <c r="S46" s="3">
        <v>6.2061000000000002</v>
      </c>
      <c r="T46" s="3">
        <v>69.405600000000007</v>
      </c>
      <c r="U46" s="3">
        <v>8.6630000000000003</v>
      </c>
      <c r="V46" s="3">
        <v>366.57839999999999</v>
      </c>
      <c r="W46" s="3">
        <v>40244.519</v>
      </c>
      <c r="X46" s="3">
        <v>0</v>
      </c>
      <c r="Y46" s="3">
        <v>0</v>
      </c>
      <c r="Z46" s="3">
        <v>4.0830000000000002</v>
      </c>
      <c r="AA46" s="3">
        <v>43293.004500000003</v>
      </c>
    </row>
    <row r="47" spans="1:27" x14ac:dyDescent="0.2">
      <c r="A47" s="3" t="s">
        <v>17</v>
      </c>
      <c r="B47" s="3">
        <v>1.0800000000000001E-2</v>
      </c>
      <c r="C47" s="3">
        <v>29.482099999999999</v>
      </c>
      <c r="D47" s="3">
        <v>2.4420999999999999</v>
      </c>
      <c r="E47" s="3">
        <v>2.4704000000000002</v>
      </c>
      <c r="F47" s="3">
        <v>46.277900000000002</v>
      </c>
      <c r="G47" s="3">
        <v>4.7831000000000001</v>
      </c>
      <c r="H47" s="3">
        <v>48.771999999999998</v>
      </c>
      <c r="I47" s="3">
        <v>9.3573000000000004</v>
      </c>
      <c r="J47" s="3">
        <v>6.7991999999999999</v>
      </c>
      <c r="K47" s="3">
        <v>105.319</v>
      </c>
      <c r="L47" s="3">
        <v>49.026299999999999</v>
      </c>
      <c r="M47" s="3">
        <v>9.6379000000000001</v>
      </c>
      <c r="N47" s="3">
        <v>0</v>
      </c>
      <c r="O47" s="3">
        <v>37.460999999999999</v>
      </c>
      <c r="P47" s="3">
        <v>14.531000000000001</v>
      </c>
      <c r="Q47" s="3">
        <v>259.50799999999998</v>
      </c>
      <c r="R47" s="3">
        <v>455.03100000000001</v>
      </c>
      <c r="S47" s="3">
        <v>19.322800000000001</v>
      </c>
      <c r="T47" s="3">
        <v>6.2839</v>
      </c>
      <c r="U47" s="3">
        <v>7.0831999999999997</v>
      </c>
      <c r="V47" s="3">
        <v>7035.1688999999997</v>
      </c>
      <c r="W47" s="3">
        <v>9864.8708999999999</v>
      </c>
      <c r="X47" s="3">
        <v>0</v>
      </c>
      <c r="Y47" s="3">
        <v>0</v>
      </c>
      <c r="Z47" s="3">
        <v>2505.7217000000001</v>
      </c>
      <c r="AA47" s="3">
        <v>20519.360499999999</v>
      </c>
    </row>
    <row r="48" spans="1:27" x14ac:dyDescent="0.2">
      <c r="A48" s="3" t="s">
        <v>18</v>
      </c>
      <c r="B48" s="3">
        <v>1.61E-2</v>
      </c>
      <c r="C48" s="3">
        <v>0</v>
      </c>
      <c r="D48" s="3">
        <v>3.6522000000000001</v>
      </c>
      <c r="E48" s="3">
        <v>6.3693999999999997</v>
      </c>
      <c r="F48" s="3">
        <v>37.0396</v>
      </c>
      <c r="G48" s="3">
        <v>0</v>
      </c>
      <c r="H48" s="3">
        <v>53.029000000000003</v>
      </c>
      <c r="I48" s="3">
        <v>1.4432</v>
      </c>
      <c r="J48" s="3">
        <v>3.3483000000000001</v>
      </c>
      <c r="K48" s="3">
        <v>28.774999999999999</v>
      </c>
      <c r="L48" s="3">
        <v>53.022100000000002</v>
      </c>
      <c r="M48" s="3">
        <v>8.0048999999999992</v>
      </c>
      <c r="N48" s="3">
        <v>0</v>
      </c>
      <c r="O48" s="3">
        <v>391.80849999999998</v>
      </c>
      <c r="P48" s="3">
        <v>52.8322</v>
      </c>
      <c r="Q48" s="3">
        <v>400.68689999999998</v>
      </c>
      <c r="R48" s="3">
        <v>18.253900000000002</v>
      </c>
      <c r="S48" s="3">
        <v>3070.3881000000001</v>
      </c>
      <c r="T48" s="3">
        <v>275.1506</v>
      </c>
      <c r="U48" s="3">
        <v>54.090699999999998</v>
      </c>
      <c r="V48" s="3">
        <v>12899.014499999999</v>
      </c>
      <c r="W48" s="3">
        <v>9823.6280000000006</v>
      </c>
      <c r="X48" s="3">
        <v>0</v>
      </c>
      <c r="Y48" s="3">
        <v>0</v>
      </c>
      <c r="Z48" s="3">
        <v>610.93349999999998</v>
      </c>
      <c r="AA48" s="3">
        <v>27791.4866</v>
      </c>
    </row>
    <row r="49" spans="1:27" x14ac:dyDescent="0.2">
      <c r="A49" s="3" t="s">
        <v>19</v>
      </c>
      <c r="B49" s="3">
        <v>0</v>
      </c>
      <c r="C49" s="3">
        <v>8.8142999999999994</v>
      </c>
      <c r="D49" s="3">
        <v>1.6968000000000001</v>
      </c>
      <c r="E49" s="3">
        <v>61.872199999999999</v>
      </c>
      <c r="F49" s="3">
        <v>89.253100000000003</v>
      </c>
      <c r="G49" s="3">
        <v>37.925699999999999</v>
      </c>
      <c r="H49" s="3">
        <v>46.399299999999997</v>
      </c>
      <c r="I49" s="3">
        <v>6.2027000000000001</v>
      </c>
      <c r="J49" s="3">
        <v>3.6623000000000001</v>
      </c>
      <c r="K49" s="3">
        <v>191.70650000000001</v>
      </c>
      <c r="L49" s="3">
        <v>317.94119999999998</v>
      </c>
      <c r="M49" s="3">
        <v>11.5433</v>
      </c>
      <c r="N49" s="3">
        <v>0</v>
      </c>
      <c r="O49" s="3">
        <v>65.656400000000005</v>
      </c>
      <c r="P49" s="3">
        <v>54.461799999999997</v>
      </c>
      <c r="Q49" s="3">
        <v>18.861599999999999</v>
      </c>
      <c r="R49" s="3">
        <v>213.47370000000001</v>
      </c>
      <c r="S49" s="3">
        <v>17.105799999999999</v>
      </c>
      <c r="T49" s="3">
        <v>312.87959999999998</v>
      </c>
      <c r="U49" s="3">
        <v>18.4373</v>
      </c>
      <c r="V49" s="3">
        <v>3489.0297</v>
      </c>
      <c r="W49" s="3">
        <v>1227.942</v>
      </c>
      <c r="X49" s="3">
        <v>0</v>
      </c>
      <c r="Y49" s="3">
        <v>0</v>
      </c>
      <c r="Z49" s="3">
        <v>2377.2473</v>
      </c>
      <c r="AA49" s="3">
        <v>8572.1128000000008</v>
      </c>
    </row>
    <row r="50" spans="1:27" x14ac:dyDescent="0.2">
      <c r="A50" s="3" t="s">
        <v>20</v>
      </c>
      <c r="B50" s="3">
        <v>6.9400000000000003E-2</v>
      </c>
      <c r="C50" s="3">
        <v>98.421099999999996</v>
      </c>
      <c r="D50" s="3">
        <v>25.689900000000002</v>
      </c>
      <c r="E50" s="3">
        <v>61.040300000000002</v>
      </c>
      <c r="F50" s="3">
        <v>148.47479999999999</v>
      </c>
      <c r="G50" s="3">
        <v>30.1204</v>
      </c>
      <c r="H50" s="3">
        <v>303.69990000000001</v>
      </c>
      <c r="I50" s="3">
        <v>70.9846</v>
      </c>
      <c r="J50" s="3">
        <v>10.2621</v>
      </c>
      <c r="K50" s="3">
        <v>301.56479999999999</v>
      </c>
      <c r="L50" s="3">
        <v>213.17099999999999</v>
      </c>
      <c r="M50" s="3">
        <v>59.069099999999999</v>
      </c>
      <c r="N50" s="3">
        <v>76.467100000000002</v>
      </c>
      <c r="O50" s="3">
        <v>129.68289999999999</v>
      </c>
      <c r="P50" s="3">
        <v>115.8844</v>
      </c>
      <c r="Q50" s="3">
        <v>329.09179999999998</v>
      </c>
      <c r="R50" s="3">
        <v>164.16540000000001</v>
      </c>
      <c r="S50" s="3">
        <v>179.31549999999999</v>
      </c>
      <c r="T50" s="3">
        <v>159.7715</v>
      </c>
      <c r="U50" s="3">
        <v>105.9037</v>
      </c>
      <c r="V50" s="3">
        <v>7941.1172999999999</v>
      </c>
      <c r="W50" s="3">
        <v>24.094999999999999</v>
      </c>
      <c r="X50" s="3">
        <v>0</v>
      </c>
      <c r="Y50" s="3">
        <v>0</v>
      </c>
      <c r="Z50" s="3">
        <v>139.673</v>
      </c>
      <c r="AA50" s="3">
        <v>10687.7351</v>
      </c>
    </row>
    <row r="51" spans="1:27" x14ac:dyDescent="0.2">
      <c r="A51" s="15" t="s">
        <v>21</v>
      </c>
      <c r="B51" s="15">
        <v>270.0788</v>
      </c>
      <c r="C51" s="15">
        <v>221440.52179999999</v>
      </c>
      <c r="D51" s="15">
        <v>9260.5838000000003</v>
      </c>
      <c r="E51" s="15">
        <v>13127.0746</v>
      </c>
      <c r="F51" s="15">
        <v>101411.4317</v>
      </c>
      <c r="G51" s="15">
        <v>1299.8157000000001</v>
      </c>
      <c r="H51" s="15">
        <v>116756.60890000001</v>
      </c>
      <c r="I51" s="15">
        <v>643.04909999999995</v>
      </c>
      <c r="J51" s="15">
        <v>3208.2932999999998</v>
      </c>
      <c r="K51" s="15">
        <v>69020.604900000006</v>
      </c>
      <c r="L51" s="15">
        <v>39786.058599999997</v>
      </c>
      <c r="M51" s="15">
        <v>919.5181</v>
      </c>
      <c r="N51" s="15">
        <v>0</v>
      </c>
      <c r="O51" s="15">
        <v>19896.1577</v>
      </c>
      <c r="P51" s="15">
        <v>3656.8607000000002</v>
      </c>
      <c r="Q51" s="15">
        <v>8479.5817999999999</v>
      </c>
      <c r="R51" s="15">
        <v>1459.4719</v>
      </c>
      <c r="S51" s="15">
        <v>2790.0219000000002</v>
      </c>
      <c r="T51" s="15">
        <v>682.12099999999998</v>
      </c>
      <c r="U51" s="15">
        <v>1122.1242999999999</v>
      </c>
      <c r="V51" s="15">
        <v>38879.940399999999</v>
      </c>
      <c r="W51" s="15">
        <v>0</v>
      </c>
      <c r="X51" s="15">
        <v>51819.945299999999</v>
      </c>
      <c r="Y51" s="15">
        <v>7334.8778000000002</v>
      </c>
      <c r="Z51" s="15">
        <v>332876.68609999999</v>
      </c>
      <c r="AA51" s="15">
        <v>1046141.4282</v>
      </c>
    </row>
    <row r="52" spans="1:27" x14ac:dyDescent="0.2">
      <c r="A52" s="16" t="s">
        <v>22</v>
      </c>
      <c r="B52" s="16">
        <v>2.7355</v>
      </c>
      <c r="C52" s="16">
        <v>182.24189999999999</v>
      </c>
      <c r="D52" s="16">
        <v>215.0515</v>
      </c>
      <c r="E52" s="16">
        <v>34.3005</v>
      </c>
      <c r="F52" s="16">
        <v>112.8329</v>
      </c>
      <c r="G52" s="16">
        <v>22.488199999999999</v>
      </c>
      <c r="H52" s="16">
        <v>503.91750000000002</v>
      </c>
      <c r="I52" s="16">
        <v>24.4313</v>
      </c>
      <c r="J52" s="16">
        <v>402.78149999999999</v>
      </c>
      <c r="K52" s="16">
        <v>817.32119999999998</v>
      </c>
      <c r="L52" s="16">
        <v>1617.6438000000001</v>
      </c>
      <c r="M52" s="16">
        <v>396.04160000000002</v>
      </c>
      <c r="N52" s="16">
        <v>0</v>
      </c>
      <c r="O52" s="16">
        <v>164.0402</v>
      </c>
      <c r="P52" s="16">
        <v>30.628900000000002</v>
      </c>
      <c r="Q52" s="16">
        <v>212.4314</v>
      </c>
      <c r="R52" s="16">
        <v>144.44630000000001</v>
      </c>
      <c r="S52" s="16">
        <v>810.92460000000005</v>
      </c>
      <c r="T52" s="16">
        <v>109.37860000000001</v>
      </c>
      <c r="U52" s="16">
        <v>33.206800000000001</v>
      </c>
      <c r="V52" s="16">
        <v>17704.1129</v>
      </c>
      <c r="W52" s="16">
        <v>0</v>
      </c>
      <c r="X52" s="16">
        <v>8263.7428999999993</v>
      </c>
      <c r="Y52" s="16">
        <v>0</v>
      </c>
      <c r="Z52" s="16">
        <v>0</v>
      </c>
      <c r="AA52" s="16">
        <v>31804.7</v>
      </c>
    </row>
    <row r="53" spans="1:27" x14ac:dyDescent="0.2">
      <c r="A53" s="7" t="s">
        <v>23</v>
      </c>
      <c r="B53" s="7">
        <v>86.7</v>
      </c>
      <c r="C53" s="7">
        <v>28875.404900000001</v>
      </c>
      <c r="D53" s="7">
        <v>1862.0463999999999</v>
      </c>
      <c r="E53" s="7">
        <v>14884.0851</v>
      </c>
      <c r="F53" s="7">
        <v>26128.797699999999</v>
      </c>
      <c r="G53" s="7">
        <v>5168.4458999999997</v>
      </c>
      <c r="H53" s="7">
        <v>15083.0191</v>
      </c>
      <c r="I53" s="7">
        <v>1620.6025999999999</v>
      </c>
      <c r="J53" s="7">
        <v>3824.9321</v>
      </c>
      <c r="K53" s="7">
        <v>23450.095000000001</v>
      </c>
      <c r="L53" s="7">
        <v>34374.253900000003</v>
      </c>
      <c r="M53" s="7">
        <v>3492.3346000000001</v>
      </c>
      <c r="N53" s="7">
        <v>0</v>
      </c>
      <c r="O53" s="7">
        <v>26688.5085</v>
      </c>
      <c r="P53" s="7">
        <v>9623.9709999999995</v>
      </c>
      <c r="Q53" s="7">
        <v>14524.275100000001</v>
      </c>
      <c r="R53" s="7">
        <v>12878.346799999999</v>
      </c>
      <c r="S53" s="7">
        <v>13655.9414</v>
      </c>
      <c r="T53" s="7">
        <v>2367.5585999999998</v>
      </c>
      <c r="U53" s="7">
        <v>5624.6018000000004</v>
      </c>
      <c r="V53" s="7">
        <v>0</v>
      </c>
      <c r="W53" s="7">
        <v>0</v>
      </c>
      <c r="X53" s="7">
        <v>0</v>
      </c>
      <c r="Y53" s="7">
        <v>0</v>
      </c>
      <c r="Z53" s="7">
        <v>0</v>
      </c>
      <c r="AA53" s="7">
        <v>244213.9203</v>
      </c>
    </row>
    <row r="54" spans="1:27" x14ac:dyDescent="0.2">
      <c r="A54" s="7" t="s">
        <v>24</v>
      </c>
      <c r="B54" s="7">
        <v>6.4</v>
      </c>
      <c r="C54" s="7">
        <v>859.5</v>
      </c>
      <c r="D54" s="7">
        <v>270.7</v>
      </c>
      <c r="E54" s="7">
        <v>1728.8</v>
      </c>
      <c r="F54" s="7">
        <v>-91.1</v>
      </c>
      <c r="G54" s="7">
        <v>-64.099999999999994</v>
      </c>
      <c r="H54" s="7">
        <v>412.4</v>
      </c>
      <c r="I54" s="7">
        <v>81.900000000000006</v>
      </c>
      <c r="J54" s="7">
        <v>-221.3</v>
      </c>
      <c r="K54" s="7">
        <v>-57.3</v>
      </c>
      <c r="L54" s="7">
        <v>-99</v>
      </c>
      <c r="M54" s="7">
        <v>1781.9</v>
      </c>
      <c r="N54" s="7">
        <v>1128.9000000000001</v>
      </c>
      <c r="O54" s="7">
        <v>-394.6</v>
      </c>
      <c r="P54" s="7">
        <v>-145.4</v>
      </c>
      <c r="Q54" s="7">
        <v>24.3</v>
      </c>
      <c r="R54" s="7">
        <v>-119.7</v>
      </c>
      <c r="S54" s="7">
        <v>-66.099999999999994</v>
      </c>
      <c r="T54" s="7">
        <v>165.7</v>
      </c>
      <c r="U54" s="7">
        <v>331.4</v>
      </c>
      <c r="V54" s="7">
        <v>0</v>
      </c>
      <c r="W54" s="7">
        <v>0</v>
      </c>
      <c r="X54" s="7">
        <v>0</v>
      </c>
      <c r="Y54" s="7">
        <v>0</v>
      </c>
      <c r="Z54" s="7">
        <v>0</v>
      </c>
      <c r="AA54" s="7">
        <v>5533.3</v>
      </c>
    </row>
    <row r="55" spans="1:27" x14ac:dyDescent="0.2">
      <c r="A55" s="7" t="s">
        <v>25</v>
      </c>
      <c r="B55" s="7">
        <v>90.525199999999998</v>
      </c>
      <c r="C55" s="7">
        <v>108658.2637</v>
      </c>
      <c r="D55" s="7">
        <v>6044.2293</v>
      </c>
      <c r="E55" s="7">
        <v>4607.6813000000002</v>
      </c>
      <c r="F55" s="7">
        <v>115761.836</v>
      </c>
      <c r="G55" s="7">
        <v>2850.8198000000002</v>
      </c>
      <c r="H55" s="7">
        <v>65383.8289</v>
      </c>
      <c r="I55" s="7">
        <v>1952.9903999999999</v>
      </c>
      <c r="J55" s="7">
        <v>1227.3981000000001</v>
      </c>
      <c r="K55" s="7">
        <v>10610.683300000001</v>
      </c>
      <c r="L55" s="7">
        <v>46466.165000000001</v>
      </c>
      <c r="M55" s="7">
        <v>13428.9259</v>
      </c>
      <c r="N55" s="7">
        <v>19370.400000000001</v>
      </c>
      <c r="O55" s="7">
        <v>7362.4804999999997</v>
      </c>
      <c r="P55" s="7">
        <v>8967.1802000000007</v>
      </c>
      <c r="Q55" s="7">
        <v>672.77160000000003</v>
      </c>
      <c r="R55" s="7">
        <v>2857.6432</v>
      </c>
      <c r="S55" s="7">
        <v>1357.2032999999999</v>
      </c>
      <c r="T55" s="7">
        <v>2246.2802000000001</v>
      </c>
      <c r="U55" s="7">
        <v>296.84640000000002</v>
      </c>
      <c r="V55" s="7">
        <v>0</v>
      </c>
      <c r="W55" s="7">
        <v>0</v>
      </c>
      <c r="X55" s="7">
        <v>0</v>
      </c>
      <c r="Y55" s="7">
        <v>0</v>
      </c>
      <c r="Z55" s="7">
        <v>0</v>
      </c>
      <c r="AA55" s="7">
        <v>420214.15240000002</v>
      </c>
    </row>
    <row r="56" spans="1:27" x14ac:dyDescent="0.2">
      <c r="A56" s="7" t="s">
        <v>49</v>
      </c>
      <c r="B56" s="7">
        <v>741.99860000000001</v>
      </c>
      <c r="C56" s="7">
        <v>476617.81</v>
      </c>
      <c r="D56" s="7">
        <v>23877.1011</v>
      </c>
      <c r="E56" s="7">
        <v>71085.050199999998</v>
      </c>
      <c r="F56" s="7">
        <v>316027.3591</v>
      </c>
      <c r="G56" s="7">
        <v>16798.331999999999</v>
      </c>
      <c r="H56" s="7">
        <v>320144.78480000002</v>
      </c>
      <c r="I56" s="7">
        <v>6537.4173000000001</v>
      </c>
      <c r="J56" s="7">
        <v>14810.2091</v>
      </c>
      <c r="K56" s="7">
        <v>182675.8057</v>
      </c>
      <c r="L56" s="7">
        <v>169696.6379</v>
      </c>
      <c r="M56" s="7">
        <v>38956.7094</v>
      </c>
      <c r="N56" s="7">
        <v>24745.4</v>
      </c>
      <c r="O56" s="7">
        <v>77860.909499999994</v>
      </c>
      <c r="P56" s="7">
        <v>30222.066200000001</v>
      </c>
      <c r="Q56" s="7">
        <v>47288.989800000003</v>
      </c>
      <c r="R56" s="7">
        <v>21929.160500000002</v>
      </c>
      <c r="S56" s="7">
        <v>28406.133399999999</v>
      </c>
      <c r="T56" s="7">
        <v>8630.9861000000001</v>
      </c>
      <c r="U56" s="7">
        <v>10159.1993</v>
      </c>
      <c r="V56" s="7">
        <v>198297.34210000001</v>
      </c>
      <c r="W56" s="7">
        <v>64865.605900000002</v>
      </c>
      <c r="X56" s="7">
        <v>145705.95060000001</v>
      </c>
      <c r="Y56" s="7">
        <v>10241.200000000001</v>
      </c>
      <c r="Z56" s="7">
        <v>1328797.4021999999</v>
      </c>
      <c r="AA56" s="7">
        <v>3635119.5606999998</v>
      </c>
    </row>
    <row r="58" spans="1:27" ht="17" thickBot="1" x14ac:dyDescent="0.25"/>
    <row r="59" spans="1:27" x14ac:dyDescent="0.2">
      <c r="J59" s="35" t="s">
        <v>72</v>
      </c>
      <c r="K59" s="36"/>
      <c r="L59" s="36"/>
      <c r="M59" s="36"/>
      <c r="N59" s="36"/>
      <c r="O59" s="36"/>
      <c r="P59" s="36"/>
      <c r="Q59" s="36"/>
      <c r="R59" s="36"/>
      <c r="S59" s="37"/>
    </row>
    <row r="60" spans="1:27" x14ac:dyDescent="0.2">
      <c r="J60" s="38"/>
      <c r="K60" s="39"/>
      <c r="L60" s="39"/>
      <c r="M60" s="39"/>
      <c r="N60" s="39"/>
      <c r="O60" s="39"/>
      <c r="P60" s="39"/>
      <c r="Q60" s="39"/>
      <c r="R60" s="39"/>
      <c r="S60" s="40"/>
    </row>
    <row r="61" spans="1:27" x14ac:dyDescent="0.2">
      <c r="J61" s="38"/>
      <c r="K61" s="39"/>
      <c r="L61" s="39"/>
      <c r="M61" s="39"/>
      <c r="N61" s="39"/>
      <c r="O61" s="39"/>
      <c r="P61" s="39"/>
      <c r="Q61" s="39"/>
      <c r="R61" s="39"/>
      <c r="S61" s="40"/>
    </row>
    <row r="62" spans="1:27" x14ac:dyDescent="0.2">
      <c r="J62" s="38"/>
      <c r="K62" s="39"/>
      <c r="L62" s="39"/>
      <c r="M62" s="39"/>
      <c r="N62" s="39"/>
      <c r="O62" s="39"/>
      <c r="P62" s="39"/>
      <c r="Q62" s="39"/>
      <c r="R62" s="39"/>
      <c r="S62" s="40"/>
    </row>
    <row r="63" spans="1:27" x14ac:dyDescent="0.2">
      <c r="J63" s="38"/>
      <c r="K63" s="39"/>
      <c r="L63" s="39"/>
      <c r="M63" s="39"/>
      <c r="N63" s="39"/>
      <c r="O63" s="39"/>
      <c r="P63" s="39"/>
      <c r="Q63" s="39"/>
      <c r="R63" s="39"/>
      <c r="S63" s="40"/>
    </row>
    <row r="64" spans="1:27" x14ac:dyDescent="0.2">
      <c r="J64" s="38"/>
      <c r="K64" s="39"/>
      <c r="L64" s="39"/>
      <c r="M64" s="39"/>
      <c r="N64" s="39"/>
      <c r="O64" s="39"/>
      <c r="P64" s="39"/>
      <c r="Q64" s="39"/>
      <c r="R64" s="39"/>
      <c r="S64" s="40"/>
    </row>
    <row r="65" spans="1:55" x14ac:dyDescent="0.2">
      <c r="J65" s="38"/>
      <c r="K65" s="39"/>
      <c r="L65" s="39"/>
      <c r="M65" s="39"/>
      <c r="N65" s="39"/>
      <c r="O65" s="39"/>
      <c r="P65" s="39"/>
      <c r="Q65" s="39"/>
      <c r="R65" s="39"/>
      <c r="S65" s="40"/>
    </row>
    <row r="66" spans="1:55" x14ac:dyDescent="0.2">
      <c r="J66" s="38"/>
      <c r="K66" s="39"/>
      <c r="L66" s="39"/>
      <c r="M66" s="39"/>
      <c r="N66" s="39"/>
      <c r="O66" s="39"/>
      <c r="P66" s="39"/>
      <c r="Q66" s="39"/>
      <c r="R66" s="39"/>
      <c r="S66" s="40"/>
    </row>
    <row r="67" spans="1:55" ht="17" thickBot="1" x14ac:dyDescent="0.25">
      <c r="J67" s="41"/>
      <c r="K67" s="42"/>
      <c r="L67" s="42"/>
      <c r="M67" s="42"/>
      <c r="N67" s="42"/>
      <c r="O67" s="42"/>
      <c r="P67" s="42"/>
      <c r="Q67" s="42"/>
      <c r="R67" s="42"/>
      <c r="S67" s="43"/>
    </row>
    <row r="71" spans="1:55" ht="19" x14ac:dyDescent="0.2">
      <c r="A71" s="23" t="s">
        <v>29</v>
      </c>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C71" s="23" t="s">
        <v>81</v>
      </c>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row>
    <row r="72" spans="1:55" ht="102" x14ac:dyDescent="0.2">
      <c r="A72" s="8" t="s">
        <v>76</v>
      </c>
      <c r="B72" s="8" t="s">
        <v>1</v>
      </c>
      <c r="C72" s="8" t="s">
        <v>2</v>
      </c>
      <c r="D72" s="8" t="s">
        <v>3</v>
      </c>
      <c r="E72" s="8" t="s">
        <v>4</v>
      </c>
      <c r="F72" s="8" t="s">
        <v>5</v>
      </c>
      <c r="G72" s="8" t="s">
        <v>6</v>
      </c>
      <c r="H72" s="8" t="s">
        <v>7</v>
      </c>
      <c r="I72" s="8" t="s">
        <v>8</v>
      </c>
      <c r="J72" s="8" t="s">
        <v>9</v>
      </c>
      <c r="K72" s="8" t="s">
        <v>10</v>
      </c>
      <c r="L72" s="8" t="s">
        <v>11</v>
      </c>
      <c r="M72" s="8" t="s">
        <v>12</v>
      </c>
      <c r="N72" s="8" t="s">
        <v>13</v>
      </c>
      <c r="O72" s="8" t="s">
        <v>14</v>
      </c>
      <c r="P72" s="8" t="s">
        <v>15</v>
      </c>
      <c r="Q72" s="8" t="s">
        <v>16</v>
      </c>
      <c r="R72" s="8" t="s">
        <v>17</v>
      </c>
      <c r="S72" s="8" t="s">
        <v>18</v>
      </c>
      <c r="T72" s="8" t="s">
        <v>19</v>
      </c>
      <c r="U72" s="8" t="s">
        <v>20</v>
      </c>
      <c r="V72" s="8" t="s">
        <v>40</v>
      </c>
      <c r="W72" s="8" t="s">
        <v>41</v>
      </c>
      <c r="X72" s="8" t="s">
        <v>42</v>
      </c>
      <c r="Y72" s="8" t="s">
        <v>43</v>
      </c>
      <c r="Z72" s="8" t="s">
        <v>44</v>
      </c>
      <c r="AA72" s="8" t="s">
        <v>49</v>
      </c>
      <c r="AC72" s="8" t="s">
        <v>76</v>
      </c>
      <c r="AD72" s="8" t="s">
        <v>1</v>
      </c>
      <c r="AE72" s="8" t="s">
        <v>2</v>
      </c>
      <c r="AF72" s="8" t="s">
        <v>3</v>
      </c>
      <c r="AG72" s="8" t="s">
        <v>4</v>
      </c>
      <c r="AH72" s="8" t="s">
        <v>5</v>
      </c>
      <c r="AI72" s="8" t="s">
        <v>6</v>
      </c>
      <c r="AJ72" s="8" t="s">
        <v>7</v>
      </c>
      <c r="AK72" s="8" t="s">
        <v>8</v>
      </c>
      <c r="AL72" s="8" t="s">
        <v>9</v>
      </c>
      <c r="AM72" s="8" t="s">
        <v>10</v>
      </c>
      <c r="AN72" s="8" t="s">
        <v>11</v>
      </c>
      <c r="AO72" s="8" t="s">
        <v>12</v>
      </c>
      <c r="AP72" s="8" t="s">
        <v>13</v>
      </c>
      <c r="AQ72" s="8" t="s">
        <v>14</v>
      </c>
      <c r="AR72" s="8" t="s">
        <v>15</v>
      </c>
      <c r="AS72" s="8" t="s">
        <v>16</v>
      </c>
      <c r="AT72" s="8" t="s">
        <v>17</v>
      </c>
      <c r="AU72" s="8" t="s">
        <v>18</v>
      </c>
      <c r="AV72" s="8" t="s">
        <v>19</v>
      </c>
      <c r="AW72" s="8" t="s">
        <v>20</v>
      </c>
      <c r="AX72" s="8" t="s">
        <v>40</v>
      </c>
      <c r="AY72" s="8" t="s">
        <v>41</v>
      </c>
      <c r="AZ72" s="8" t="s">
        <v>42</v>
      </c>
      <c r="BA72" s="8" t="s">
        <v>43</v>
      </c>
      <c r="BB72" s="8" t="s">
        <v>44</v>
      </c>
      <c r="BC72" s="8" t="s">
        <v>49</v>
      </c>
    </row>
    <row r="73" spans="1:55" x14ac:dyDescent="0.2">
      <c r="A73" s="3" t="s">
        <v>1</v>
      </c>
      <c r="B73" s="3">
        <v>150.3579</v>
      </c>
      <c r="C73" s="3">
        <v>53.059199999999997</v>
      </c>
      <c r="D73" s="3">
        <v>1.5652999999999999</v>
      </c>
      <c r="E73" s="3">
        <v>6.1299000000000001</v>
      </c>
      <c r="F73" s="3">
        <v>6.3800999999999997</v>
      </c>
      <c r="G73" s="3">
        <v>0.82489999999999997</v>
      </c>
      <c r="H73" s="3">
        <v>4.0452000000000004</v>
      </c>
      <c r="I73" s="3">
        <v>9.1014999999999997</v>
      </c>
      <c r="J73" s="3">
        <v>71.711100000000002</v>
      </c>
      <c r="K73" s="3">
        <v>8.4222000000000001</v>
      </c>
      <c r="L73" s="3">
        <v>3.5604</v>
      </c>
      <c r="M73" s="3">
        <v>2.0802999999999998</v>
      </c>
      <c r="N73" s="3">
        <v>0.27489999999999998</v>
      </c>
      <c r="O73" s="3">
        <v>2.9794</v>
      </c>
      <c r="P73" s="3">
        <v>5.6923000000000004</v>
      </c>
      <c r="Q73" s="3">
        <v>1.7456</v>
      </c>
      <c r="R73" s="3">
        <v>0.52390000000000003</v>
      </c>
      <c r="S73" s="3">
        <v>1.4944999999999999</v>
      </c>
      <c r="T73" s="3">
        <v>0.98380000000000001</v>
      </c>
      <c r="U73" s="3">
        <v>1.4014</v>
      </c>
      <c r="V73" s="3">
        <v>189.6874</v>
      </c>
      <c r="W73" s="3">
        <v>0.5484</v>
      </c>
      <c r="X73" s="3">
        <v>5.0930999999999997</v>
      </c>
      <c r="Y73" s="3">
        <v>22.6813</v>
      </c>
      <c r="Z73" s="3">
        <v>191.65450000000001</v>
      </c>
      <c r="AA73" s="3">
        <v>741.99860000000001</v>
      </c>
      <c r="AC73" s="3" t="s">
        <v>1</v>
      </c>
      <c r="AD73" s="3" cm="1">
        <f t="array" ref="AD73:BB92">MMULT(BB4:BU23,B31:Z50)</f>
        <v>150.35794483233647</v>
      </c>
      <c r="AE73" s="3">
        <v>53.059229234700531</v>
      </c>
      <c r="AF73" s="3">
        <v>1.5652898803042319</v>
      </c>
      <c r="AG73" s="3">
        <v>6.1299513940583337</v>
      </c>
      <c r="AH73" s="3">
        <v>6.3801147431991421</v>
      </c>
      <c r="AI73" s="3">
        <v>0.82493487889161055</v>
      </c>
      <c r="AJ73" s="3">
        <v>4.0451705771834758</v>
      </c>
      <c r="AK73" s="3">
        <v>9.1015241505596531</v>
      </c>
      <c r="AL73" s="3">
        <v>71.711125592024302</v>
      </c>
      <c r="AM73" s="3">
        <v>8.4222272827645881</v>
      </c>
      <c r="AN73" s="3">
        <v>3.5604513331299743</v>
      </c>
      <c r="AO73" s="3">
        <v>2.0803030464206014</v>
      </c>
      <c r="AP73" s="3">
        <v>0.27493304323485529</v>
      </c>
      <c r="AQ73" s="3">
        <v>2.979430495224364</v>
      </c>
      <c r="AR73" s="3">
        <v>5.6922867445391736</v>
      </c>
      <c r="AS73" s="3">
        <v>1.7455471791054675</v>
      </c>
      <c r="AT73" s="3">
        <v>0.5239794672875584</v>
      </c>
      <c r="AU73" s="3">
        <v>1.4945447229459126</v>
      </c>
      <c r="AV73" s="3">
        <v>0.98379948401894957</v>
      </c>
      <c r="AW73" s="3">
        <v>1.401432769096119</v>
      </c>
      <c r="AX73" s="3">
        <v>189.68740850202013</v>
      </c>
      <c r="AY73" s="3">
        <v>0.54837597127540938</v>
      </c>
      <c r="AZ73" s="3">
        <v>5.0931665842454397</v>
      </c>
      <c r="BA73" s="3">
        <v>22.6813</v>
      </c>
      <c r="BB73" s="3">
        <v>191.65452819277465</v>
      </c>
      <c r="BC73" s="3">
        <f>SUM(AD73:BB73)</f>
        <v>741.99900010134093</v>
      </c>
    </row>
    <row r="74" spans="1:55" x14ac:dyDescent="0.2">
      <c r="A74" s="3" t="s">
        <v>2</v>
      </c>
      <c r="B74" s="3">
        <v>39.583300000000001</v>
      </c>
      <c r="C74" s="3">
        <v>79298.270699999994</v>
      </c>
      <c r="D74" s="3">
        <v>384.05020000000002</v>
      </c>
      <c r="E74" s="3">
        <v>5452.2282999999998</v>
      </c>
      <c r="F74" s="3">
        <v>4662.0334999999995</v>
      </c>
      <c r="G74" s="3">
        <v>416.15559999999999</v>
      </c>
      <c r="H74" s="3">
        <v>15722.867899999999</v>
      </c>
      <c r="I74" s="3">
        <v>260.3811</v>
      </c>
      <c r="J74" s="3">
        <v>1596.1310000000001</v>
      </c>
      <c r="K74" s="3">
        <v>8518.1929999999993</v>
      </c>
      <c r="L74" s="3">
        <v>736.14020000000005</v>
      </c>
      <c r="M74" s="3">
        <v>1314.6909000000001</v>
      </c>
      <c r="N74" s="3">
        <v>47.219299999999997</v>
      </c>
      <c r="O74" s="3">
        <v>7466.9215999999997</v>
      </c>
      <c r="P74" s="3">
        <v>1407.4277</v>
      </c>
      <c r="Q74" s="3">
        <v>2254.4866000000002</v>
      </c>
      <c r="R74" s="3">
        <v>666.05269999999996</v>
      </c>
      <c r="S74" s="3">
        <v>1893.0707</v>
      </c>
      <c r="T74" s="3">
        <v>224.46090000000001</v>
      </c>
      <c r="U74" s="3">
        <v>498.87189999999998</v>
      </c>
      <c r="V74" s="3">
        <v>6583.4234999999999</v>
      </c>
      <c r="W74" s="3">
        <v>456.07679999999999</v>
      </c>
      <c r="X74" s="3">
        <v>10745.3809</v>
      </c>
      <c r="Y74" s="3">
        <v>2874.7545</v>
      </c>
      <c r="Z74" s="3">
        <v>323098.93709999998</v>
      </c>
      <c r="AA74" s="3">
        <v>476617.81</v>
      </c>
      <c r="AC74" s="3" t="s">
        <v>2</v>
      </c>
      <c r="AD74" s="3">
        <v>39.583303025287236</v>
      </c>
      <c r="AE74" s="3">
        <v>79298.27067501175</v>
      </c>
      <c r="AF74" s="3">
        <v>384.05021558977234</v>
      </c>
      <c r="AG74" s="3">
        <v>5452.2282509070392</v>
      </c>
      <c r="AH74" s="3">
        <v>4662.0335439175606</v>
      </c>
      <c r="AI74" s="3">
        <v>416.15557644327447</v>
      </c>
      <c r="AJ74" s="3">
        <v>15722.8678971349</v>
      </c>
      <c r="AK74" s="3">
        <v>260.38107070618702</v>
      </c>
      <c r="AL74" s="3">
        <v>1596.1309814135859</v>
      </c>
      <c r="AM74" s="3">
        <v>8518.1930268294473</v>
      </c>
      <c r="AN74" s="3">
        <v>736.14025355592253</v>
      </c>
      <c r="AO74" s="3">
        <v>1314.6908700187466</v>
      </c>
      <c r="AP74" s="3">
        <v>47.219302756159912</v>
      </c>
      <c r="AQ74" s="3">
        <v>7466.9216196174948</v>
      </c>
      <c r="AR74" s="3">
        <v>1407.4277117977479</v>
      </c>
      <c r="AS74" s="3">
        <v>2254.4865558797242</v>
      </c>
      <c r="AT74" s="3">
        <v>666.05274263609363</v>
      </c>
      <c r="AU74" s="3">
        <v>1893.0707104054238</v>
      </c>
      <c r="AV74" s="3">
        <v>224.46095140696343</v>
      </c>
      <c r="AW74" s="3">
        <v>498.87186801977577</v>
      </c>
      <c r="AX74" s="3">
        <v>6583.4234932378049</v>
      </c>
      <c r="AY74" s="3">
        <v>456.07681683781828</v>
      </c>
      <c r="AZ74" s="3">
        <v>10745.380874287866</v>
      </c>
      <c r="BA74" s="3">
        <v>2874.7544773262475</v>
      </c>
      <c r="BB74" s="3">
        <v>323098.93711991445</v>
      </c>
      <c r="BC74" s="3">
        <f t="shared" ref="BC74:BC98" si="1">SUM(AD74:BB74)</f>
        <v>476617.80990867701</v>
      </c>
    </row>
    <row r="75" spans="1:55" x14ac:dyDescent="0.2">
      <c r="A75" s="3" t="s">
        <v>3</v>
      </c>
      <c r="B75" s="3">
        <v>21.463999999999999</v>
      </c>
      <c r="C75" s="3">
        <v>4394.0855000000001</v>
      </c>
      <c r="D75" s="3">
        <v>4021.1460999999999</v>
      </c>
      <c r="E75" s="3">
        <v>221.28469999999999</v>
      </c>
      <c r="F75" s="3">
        <v>557.27329999999995</v>
      </c>
      <c r="G75" s="3">
        <v>431.64139999999998</v>
      </c>
      <c r="H75" s="3">
        <v>1187.8379</v>
      </c>
      <c r="I75" s="3">
        <v>325.18939999999998</v>
      </c>
      <c r="J75" s="3">
        <v>671.50930000000005</v>
      </c>
      <c r="K75" s="3">
        <v>2465.9137999999998</v>
      </c>
      <c r="L75" s="3">
        <v>440.6884</v>
      </c>
      <c r="M75" s="3">
        <v>1208.2669000000001</v>
      </c>
      <c r="N75" s="3">
        <v>2.4765000000000001</v>
      </c>
      <c r="O75" s="3">
        <v>350.77339999999998</v>
      </c>
      <c r="P75" s="3">
        <v>89.736000000000004</v>
      </c>
      <c r="Q75" s="3">
        <v>1619.4481000000001</v>
      </c>
      <c r="R75" s="3">
        <v>443.47379999999998</v>
      </c>
      <c r="S75" s="3">
        <v>439.32499999999999</v>
      </c>
      <c r="T75" s="3">
        <v>371.6816</v>
      </c>
      <c r="U75" s="3">
        <v>140.41309999999999</v>
      </c>
      <c r="V75" s="3">
        <v>3019.4005000000002</v>
      </c>
      <c r="W75" s="3">
        <v>735.73779999999999</v>
      </c>
      <c r="X75" s="3">
        <v>51.5715</v>
      </c>
      <c r="Y75" s="3">
        <v>-22.680099999999999</v>
      </c>
      <c r="Z75" s="3">
        <v>689.44330000000002</v>
      </c>
      <c r="AA75" s="3">
        <v>23877.1011</v>
      </c>
      <c r="AC75" s="3" t="s">
        <v>3</v>
      </c>
      <c r="AD75" s="3">
        <v>21.46403471516814</v>
      </c>
      <c r="AE75" s="3">
        <v>4394.0855327407589</v>
      </c>
      <c r="AF75" s="3">
        <v>4021.1460156615431</v>
      </c>
      <c r="AG75" s="3">
        <v>221.28466111304027</v>
      </c>
      <c r="AH75" s="3">
        <v>557.27321138693787</v>
      </c>
      <c r="AI75" s="3">
        <v>431.64141041965598</v>
      </c>
      <c r="AJ75" s="3">
        <v>1187.8378949627654</v>
      </c>
      <c r="AK75" s="3">
        <v>325.18942440136556</v>
      </c>
      <c r="AL75" s="3">
        <v>671.50928035584377</v>
      </c>
      <c r="AM75" s="3">
        <v>2465.913810798741</v>
      </c>
      <c r="AN75" s="3">
        <v>440.68836092865649</v>
      </c>
      <c r="AO75" s="3">
        <v>1208.2668993104805</v>
      </c>
      <c r="AP75" s="3">
        <v>2.4764943143007767</v>
      </c>
      <c r="AQ75" s="3">
        <v>350.77344498266865</v>
      </c>
      <c r="AR75" s="3">
        <v>89.73597207219737</v>
      </c>
      <c r="AS75" s="3">
        <v>1619.4481758770646</v>
      </c>
      <c r="AT75" s="3">
        <v>443.47372309747317</v>
      </c>
      <c r="AU75" s="3">
        <v>439.32502925914696</v>
      </c>
      <c r="AV75" s="3">
        <v>371.68159438142402</v>
      </c>
      <c r="AW75" s="3">
        <v>140.41310923862289</v>
      </c>
      <c r="AX75" s="3">
        <v>3019.400517150083</v>
      </c>
      <c r="AY75" s="3">
        <v>735.73783490086475</v>
      </c>
      <c r="AZ75" s="3">
        <v>51.571478186819235</v>
      </c>
      <c r="BA75" s="3">
        <v>-22.680156676132633</v>
      </c>
      <c r="BB75" s="3">
        <v>689.44324983665547</v>
      </c>
      <c r="BC75" s="3">
        <f t="shared" si="1"/>
        <v>23877.101003416145</v>
      </c>
    </row>
    <row r="76" spans="1:55" x14ac:dyDescent="0.2">
      <c r="A76" s="3" t="s">
        <v>4</v>
      </c>
      <c r="B76" s="3">
        <v>0.33760000000000001</v>
      </c>
      <c r="C76" s="3">
        <v>479.7595</v>
      </c>
      <c r="D76" s="3">
        <v>109.17870000000001</v>
      </c>
      <c r="E76" s="3">
        <v>24118.940699999999</v>
      </c>
      <c r="F76" s="3">
        <v>209.59309999999999</v>
      </c>
      <c r="G76" s="3">
        <v>36.648499999999999</v>
      </c>
      <c r="H76" s="3">
        <v>290.6164</v>
      </c>
      <c r="I76" s="3">
        <v>95.286000000000001</v>
      </c>
      <c r="J76" s="3">
        <v>46.382399999999997</v>
      </c>
      <c r="K76" s="3">
        <v>186.97210000000001</v>
      </c>
      <c r="L76" s="3">
        <v>143.5444</v>
      </c>
      <c r="M76" s="3">
        <v>2146.0448999999999</v>
      </c>
      <c r="N76" s="3">
        <v>2500.3917999999999</v>
      </c>
      <c r="O76" s="3">
        <v>518.98289999999997</v>
      </c>
      <c r="P76" s="3">
        <v>46.524700000000003</v>
      </c>
      <c r="Q76" s="3">
        <v>221.38939999999999</v>
      </c>
      <c r="R76" s="3">
        <v>143.83179999999999</v>
      </c>
      <c r="S76" s="3">
        <v>80.443600000000004</v>
      </c>
      <c r="T76" s="3">
        <v>87.005899999999997</v>
      </c>
      <c r="U76" s="3">
        <v>16.034199999999998</v>
      </c>
      <c r="V76" s="3">
        <v>29.068899999999999</v>
      </c>
      <c r="W76" s="3">
        <v>3.2124999999999999</v>
      </c>
      <c r="X76" s="3">
        <v>37877.527999999998</v>
      </c>
      <c r="Y76" s="3">
        <v>0</v>
      </c>
      <c r="Z76" s="3">
        <v>1697.3321000000001</v>
      </c>
      <c r="AA76" s="3">
        <v>71085.050199999998</v>
      </c>
      <c r="AC76" s="3" t="s">
        <v>4</v>
      </c>
      <c r="AD76" s="3">
        <v>0.33760210154894793</v>
      </c>
      <c r="AE76" s="3">
        <v>479.75944534926202</v>
      </c>
      <c r="AF76" s="3">
        <v>109.17873114127239</v>
      </c>
      <c r="AG76" s="3">
        <v>24118.940680979904</v>
      </c>
      <c r="AH76" s="3">
        <v>209.59316529663784</v>
      </c>
      <c r="AI76" s="3">
        <v>36.64852964573312</v>
      </c>
      <c r="AJ76" s="3">
        <v>290.61643047065968</v>
      </c>
      <c r="AK76" s="3">
        <v>95.286033234215026</v>
      </c>
      <c r="AL76" s="3">
        <v>46.382355305654826</v>
      </c>
      <c r="AM76" s="3">
        <v>186.97215421073369</v>
      </c>
      <c r="AN76" s="3">
        <v>143.54436240457187</v>
      </c>
      <c r="AO76" s="3">
        <v>2146.0448701770033</v>
      </c>
      <c r="AP76" s="3">
        <v>2500.3917432548938</v>
      </c>
      <c r="AQ76" s="3">
        <v>518.98289898252483</v>
      </c>
      <c r="AR76" s="3">
        <v>46.52477079912866</v>
      </c>
      <c r="AS76" s="3">
        <v>221.38942231702978</v>
      </c>
      <c r="AT76" s="3">
        <v>143.83174421668971</v>
      </c>
      <c r="AU76" s="3">
        <v>80.443601624458495</v>
      </c>
      <c r="AV76" s="3">
        <v>87.005887914738707</v>
      </c>
      <c r="AW76" s="3">
        <v>16.034148013546201</v>
      </c>
      <c r="AX76" s="3">
        <v>29.068913752612882</v>
      </c>
      <c r="AY76" s="3">
        <v>3.2124643428065496</v>
      </c>
      <c r="AZ76" s="3">
        <v>37877.52800316066</v>
      </c>
      <c r="BA76" s="3">
        <v>0</v>
      </c>
      <c r="BB76" s="3">
        <v>1697.3320477908685</v>
      </c>
      <c r="BC76" s="3">
        <f t="shared" si="1"/>
        <v>71085.050006487159</v>
      </c>
    </row>
    <row r="77" spans="1:55" x14ac:dyDescent="0.2">
      <c r="A77" s="3" t="s">
        <v>5</v>
      </c>
      <c r="B77" s="3">
        <v>58.186599999999999</v>
      </c>
      <c r="C77" s="3">
        <v>15825.8256</v>
      </c>
      <c r="D77" s="3">
        <v>210.72200000000001</v>
      </c>
      <c r="E77" s="3">
        <v>2394.2422000000001</v>
      </c>
      <c r="F77" s="3">
        <v>6520.6557000000003</v>
      </c>
      <c r="G77" s="3">
        <v>434.77050000000003</v>
      </c>
      <c r="H77" s="3">
        <v>5905.8334999999997</v>
      </c>
      <c r="I77" s="3">
        <v>220.12100000000001</v>
      </c>
      <c r="J77" s="3">
        <v>921.92840000000001</v>
      </c>
      <c r="K77" s="3">
        <v>7279.2354999999998</v>
      </c>
      <c r="L77" s="3">
        <v>1255.229</v>
      </c>
      <c r="M77" s="3">
        <v>463.38670000000002</v>
      </c>
      <c r="N77" s="3">
        <v>46.413800000000002</v>
      </c>
      <c r="O77" s="3">
        <v>1463.7242000000001</v>
      </c>
      <c r="P77" s="3">
        <v>595.73810000000003</v>
      </c>
      <c r="Q77" s="3">
        <v>1280.066</v>
      </c>
      <c r="R77" s="3">
        <v>315.4889</v>
      </c>
      <c r="S77" s="3">
        <v>671.81089999999995</v>
      </c>
      <c r="T77" s="3">
        <v>114.5311</v>
      </c>
      <c r="U77" s="3">
        <v>289.69940000000003</v>
      </c>
      <c r="V77" s="3">
        <v>8823.9313000000002</v>
      </c>
      <c r="W77" s="3">
        <v>78.777000000000001</v>
      </c>
      <c r="X77" s="3">
        <v>7627.8284000000003</v>
      </c>
      <c r="Y77" s="3">
        <v>5.3761999999999999</v>
      </c>
      <c r="Z77" s="3">
        <v>253223.83679999999</v>
      </c>
      <c r="AA77" s="3">
        <v>316027.3591</v>
      </c>
      <c r="AC77" s="3" t="s">
        <v>5</v>
      </c>
      <c r="AD77" s="3">
        <v>58.186570988536047</v>
      </c>
      <c r="AE77" s="3">
        <v>15825.825600609751</v>
      </c>
      <c r="AF77" s="3">
        <v>210.72202296422944</v>
      </c>
      <c r="AG77" s="3">
        <v>2394.2422079241214</v>
      </c>
      <c r="AH77" s="3">
        <v>6520.6557076295057</v>
      </c>
      <c r="AI77" s="3">
        <v>434.77050217083575</v>
      </c>
      <c r="AJ77" s="3">
        <v>5905.8335384866941</v>
      </c>
      <c r="AK77" s="3">
        <v>220.12098336674441</v>
      </c>
      <c r="AL77" s="3">
        <v>921.92840836042456</v>
      </c>
      <c r="AM77" s="3">
        <v>7279.2355077192087</v>
      </c>
      <c r="AN77" s="3">
        <v>1255.2290261515732</v>
      </c>
      <c r="AO77" s="3">
        <v>463.38665365599991</v>
      </c>
      <c r="AP77" s="3">
        <v>46.413835831696325</v>
      </c>
      <c r="AQ77" s="3">
        <v>1463.724268127449</v>
      </c>
      <c r="AR77" s="3">
        <v>595.7380594343083</v>
      </c>
      <c r="AS77" s="3">
        <v>1280.0660057363214</v>
      </c>
      <c r="AT77" s="3">
        <v>315.48885233631876</v>
      </c>
      <c r="AU77" s="3">
        <v>671.81081675877147</v>
      </c>
      <c r="AV77" s="3">
        <v>114.53106404802676</v>
      </c>
      <c r="AW77" s="3">
        <v>289.69938794217853</v>
      </c>
      <c r="AX77" s="3">
        <v>8823.9312277147073</v>
      </c>
      <c r="AY77" s="3">
        <v>78.777023584992023</v>
      </c>
      <c r="AZ77" s="3">
        <v>7627.8284506657837</v>
      </c>
      <c r="BA77" s="3">
        <v>5.3762389056952555</v>
      </c>
      <c r="BB77" s="3">
        <v>253223.83687519573</v>
      </c>
      <c r="BC77" s="3">
        <f t="shared" si="1"/>
        <v>316027.35883630964</v>
      </c>
    </row>
    <row r="78" spans="1:55" x14ac:dyDescent="0.2">
      <c r="A78" s="3" t="s">
        <v>6</v>
      </c>
      <c r="B78" s="3">
        <v>0.14430000000000001</v>
      </c>
      <c r="C78" s="3">
        <v>61.697299999999998</v>
      </c>
      <c r="D78" s="3">
        <v>3.456</v>
      </c>
      <c r="E78" s="3">
        <v>242.27350000000001</v>
      </c>
      <c r="F78" s="3">
        <v>492.6422</v>
      </c>
      <c r="G78" s="3">
        <v>221.11949999999999</v>
      </c>
      <c r="H78" s="3">
        <v>251.0164</v>
      </c>
      <c r="I78" s="3">
        <v>18.8261</v>
      </c>
      <c r="J78" s="3">
        <v>196.2114</v>
      </c>
      <c r="K78" s="3">
        <v>297.19470000000001</v>
      </c>
      <c r="L78" s="3">
        <v>76.433400000000006</v>
      </c>
      <c r="M78" s="3">
        <v>39.299199999999999</v>
      </c>
      <c r="N78" s="3">
        <v>3.6360999999999999</v>
      </c>
      <c r="O78" s="3">
        <v>122.9074</v>
      </c>
      <c r="P78" s="3">
        <v>42.2395</v>
      </c>
      <c r="Q78" s="3">
        <v>99.2958</v>
      </c>
      <c r="R78" s="3">
        <v>31.9115</v>
      </c>
      <c r="S78" s="3">
        <v>67.4953</v>
      </c>
      <c r="T78" s="3">
        <v>13.9665</v>
      </c>
      <c r="U78" s="3">
        <v>33.585999999999999</v>
      </c>
      <c r="V78" s="3">
        <v>12169.2497</v>
      </c>
      <c r="W78" s="3">
        <v>6.7215999999999996</v>
      </c>
      <c r="X78" s="3">
        <v>132.97</v>
      </c>
      <c r="Y78" s="3">
        <v>0</v>
      </c>
      <c r="Z78" s="3">
        <v>2174.0387000000001</v>
      </c>
      <c r="AA78" s="3">
        <v>16798.331999999999</v>
      </c>
      <c r="AC78" s="3" t="s">
        <v>6</v>
      </c>
      <c r="AD78" s="3">
        <v>0.14427749480920959</v>
      </c>
      <c r="AE78" s="3">
        <v>61.697287489903175</v>
      </c>
      <c r="AF78" s="3">
        <v>3.4560213244955071</v>
      </c>
      <c r="AG78" s="3">
        <v>242.27349403371633</v>
      </c>
      <c r="AH78" s="3">
        <v>492.64217417680254</v>
      </c>
      <c r="AI78" s="3">
        <v>221.11951538864614</v>
      </c>
      <c r="AJ78" s="3">
        <v>251.0163429834061</v>
      </c>
      <c r="AK78" s="3">
        <v>18.826130180835651</v>
      </c>
      <c r="AL78" s="3">
        <v>196.21144977499679</v>
      </c>
      <c r="AM78" s="3">
        <v>297.19465824550082</v>
      </c>
      <c r="AN78" s="3">
        <v>76.433360826065808</v>
      </c>
      <c r="AO78" s="3">
        <v>39.299260601567013</v>
      </c>
      <c r="AP78" s="3">
        <v>3.6360810909500403</v>
      </c>
      <c r="AQ78" s="3">
        <v>122.90735759041894</v>
      </c>
      <c r="AR78" s="3">
        <v>42.239455543715479</v>
      </c>
      <c r="AS78" s="3">
        <v>99.295859164240511</v>
      </c>
      <c r="AT78" s="3">
        <v>31.911559403683807</v>
      </c>
      <c r="AU78" s="3">
        <v>67.495315350830992</v>
      </c>
      <c r="AV78" s="3">
        <v>13.966512051798018</v>
      </c>
      <c r="AW78" s="3">
        <v>33.585981545663728</v>
      </c>
      <c r="AX78" s="3">
        <v>12169.249711829596</v>
      </c>
      <c r="AY78" s="3">
        <v>6.7215959563576222</v>
      </c>
      <c r="AZ78" s="3">
        <v>132.97003225181112</v>
      </c>
      <c r="BA78" s="3">
        <v>0</v>
      </c>
      <c r="BB78" s="3">
        <v>2174.0387446178665</v>
      </c>
      <c r="BC78" s="3">
        <f t="shared" si="1"/>
        <v>16798.332178917677</v>
      </c>
    </row>
    <row r="79" spans="1:55" x14ac:dyDescent="0.2">
      <c r="A79" s="3" t="s">
        <v>7</v>
      </c>
      <c r="B79" s="3">
        <v>2.8565999999999998</v>
      </c>
      <c r="C79" s="3">
        <v>3581.2449999999999</v>
      </c>
      <c r="D79" s="3">
        <v>139.67169999999999</v>
      </c>
      <c r="E79" s="3">
        <v>322.7944</v>
      </c>
      <c r="F79" s="3">
        <v>25877.245999999999</v>
      </c>
      <c r="G79" s="3">
        <v>857.77800000000002</v>
      </c>
      <c r="H79" s="3">
        <v>86667.435700000002</v>
      </c>
      <c r="I79" s="3">
        <v>37.796399999999998</v>
      </c>
      <c r="J79" s="3">
        <v>168.45910000000001</v>
      </c>
      <c r="K79" s="3">
        <v>1960.5673999999999</v>
      </c>
      <c r="L79" s="3">
        <v>1132.4567</v>
      </c>
      <c r="M79" s="3">
        <v>507.86180000000002</v>
      </c>
      <c r="N79" s="3">
        <v>49.366500000000002</v>
      </c>
      <c r="O79" s="3">
        <v>519.09310000000005</v>
      </c>
      <c r="P79" s="3">
        <v>516.01559999999995</v>
      </c>
      <c r="Q79" s="3">
        <v>2674.1997000000001</v>
      </c>
      <c r="R79" s="3">
        <v>136.46299999999999</v>
      </c>
      <c r="S79" s="3">
        <v>177.37780000000001</v>
      </c>
      <c r="T79" s="3">
        <v>68.326499999999996</v>
      </c>
      <c r="U79" s="3">
        <v>77.570599999999999</v>
      </c>
      <c r="V79" s="3">
        <v>7749.1687000000002</v>
      </c>
      <c r="W79" s="3">
        <v>58.236600000000003</v>
      </c>
      <c r="X79" s="3">
        <v>357.28969999999998</v>
      </c>
      <c r="Y79" s="3">
        <v>4.6371000000000002</v>
      </c>
      <c r="Z79" s="3">
        <v>186500.87100000001</v>
      </c>
      <c r="AA79" s="3">
        <v>320144.78480000002</v>
      </c>
      <c r="AC79" s="3" t="s">
        <v>7</v>
      </c>
      <c r="AD79" s="3">
        <v>2.856605976908106</v>
      </c>
      <c r="AE79" s="3">
        <v>3581.2450003949907</v>
      </c>
      <c r="AF79" s="3">
        <v>139.67171483937398</v>
      </c>
      <c r="AG79" s="3">
        <v>322.79437669610019</v>
      </c>
      <c r="AH79" s="3">
        <v>25877.246029109014</v>
      </c>
      <c r="AI79" s="3">
        <v>857.7779831344817</v>
      </c>
      <c r="AJ79" s="3">
        <v>86667.435675734625</v>
      </c>
      <c r="AK79" s="3">
        <v>37.796368621560141</v>
      </c>
      <c r="AL79" s="3">
        <v>168.45909163665502</v>
      </c>
      <c r="AM79" s="3">
        <v>1960.5673942200312</v>
      </c>
      <c r="AN79" s="3">
        <v>1132.4567002869376</v>
      </c>
      <c r="AO79" s="3">
        <v>507.86183608734098</v>
      </c>
      <c r="AP79" s="3">
        <v>49.366471832631916</v>
      </c>
      <c r="AQ79" s="3">
        <v>519.09316842756505</v>
      </c>
      <c r="AR79" s="3">
        <v>516.01560970146659</v>
      </c>
      <c r="AS79" s="3">
        <v>2674.1997156443117</v>
      </c>
      <c r="AT79" s="3">
        <v>136.46301656294156</v>
      </c>
      <c r="AU79" s="3">
        <v>177.37772727331796</v>
      </c>
      <c r="AV79" s="3">
        <v>68.326488982265417</v>
      </c>
      <c r="AW79" s="3">
        <v>77.570526982767063</v>
      </c>
      <c r="AX79" s="3">
        <v>7749.1686631485018</v>
      </c>
      <c r="AY79" s="3">
        <v>58.236599146563243</v>
      </c>
      <c r="AZ79" s="3">
        <v>357.289713346604</v>
      </c>
      <c r="BA79" s="3">
        <v>4.637136376198959</v>
      </c>
      <c r="BB79" s="3">
        <v>186500.87100347065</v>
      </c>
      <c r="BC79" s="3">
        <f t="shared" si="1"/>
        <v>320144.78461763379</v>
      </c>
    </row>
    <row r="80" spans="1:55" x14ac:dyDescent="0.2">
      <c r="A80" s="3" t="s">
        <v>8</v>
      </c>
      <c r="B80" s="3">
        <v>3.5799999999999998E-2</v>
      </c>
      <c r="C80" s="3">
        <v>51.682699999999997</v>
      </c>
      <c r="D80" s="3">
        <v>10.66</v>
      </c>
      <c r="E80" s="3">
        <v>46.460099999999997</v>
      </c>
      <c r="F80" s="3">
        <v>255.0248</v>
      </c>
      <c r="G80" s="3">
        <v>43.013100000000001</v>
      </c>
      <c r="H80" s="3">
        <v>316.40940000000001</v>
      </c>
      <c r="I80" s="3">
        <v>8.4842999999999993</v>
      </c>
      <c r="J80" s="3">
        <v>41.190100000000001</v>
      </c>
      <c r="K80" s="3">
        <v>86.341399999999993</v>
      </c>
      <c r="L80" s="3">
        <v>204.00810000000001</v>
      </c>
      <c r="M80" s="3">
        <v>20.8689</v>
      </c>
      <c r="N80" s="3">
        <v>0.28079999999999999</v>
      </c>
      <c r="O80" s="3">
        <v>93.674199999999999</v>
      </c>
      <c r="P80" s="3">
        <v>44.463700000000003</v>
      </c>
      <c r="Q80" s="3">
        <v>104.9036</v>
      </c>
      <c r="R80" s="3">
        <v>18.9099</v>
      </c>
      <c r="S80" s="3">
        <v>13.0146</v>
      </c>
      <c r="T80" s="3">
        <v>17.918600000000001</v>
      </c>
      <c r="U80" s="3">
        <v>18.100999999999999</v>
      </c>
      <c r="V80" s="3">
        <v>1548.6393</v>
      </c>
      <c r="W80" s="3">
        <v>39.282800000000002</v>
      </c>
      <c r="X80" s="3">
        <v>53.182699999999997</v>
      </c>
      <c r="Y80" s="3">
        <v>0</v>
      </c>
      <c r="Z80" s="3">
        <v>3500.8672999999999</v>
      </c>
      <c r="AA80" s="3">
        <v>6537.4173000000001</v>
      </c>
      <c r="AC80" s="3" t="s">
        <v>8</v>
      </c>
      <c r="AD80" s="3">
        <v>3.5840907722736841E-2</v>
      </c>
      <c r="AE80" s="3">
        <v>51.682743386695535</v>
      </c>
      <c r="AF80" s="3">
        <v>10.660028212740245</v>
      </c>
      <c r="AG80" s="3">
        <v>46.460117290874699</v>
      </c>
      <c r="AH80" s="3">
        <v>255.02483760301445</v>
      </c>
      <c r="AI80" s="3">
        <v>43.013127368428393</v>
      </c>
      <c r="AJ80" s="3">
        <v>316.40945868969385</v>
      </c>
      <c r="AK80" s="3">
        <v>8.48431364759068</v>
      </c>
      <c r="AL80" s="3">
        <v>41.190116627315106</v>
      </c>
      <c r="AM80" s="3">
        <v>86.341398242504354</v>
      </c>
      <c r="AN80" s="3">
        <v>204.00806358629839</v>
      </c>
      <c r="AO80" s="3">
        <v>20.868875682020054</v>
      </c>
      <c r="AP80" s="3">
        <v>0.28075489099433643</v>
      </c>
      <c r="AQ80" s="3">
        <v>93.674214350354589</v>
      </c>
      <c r="AR80" s="3">
        <v>44.463649295167514</v>
      </c>
      <c r="AS80" s="3">
        <v>104.90360577956355</v>
      </c>
      <c r="AT80" s="3">
        <v>18.909888301877405</v>
      </c>
      <c r="AU80" s="3">
        <v>13.01457969875525</v>
      </c>
      <c r="AV80" s="3">
        <v>17.918537941638569</v>
      </c>
      <c r="AW80" s="3">
        <v>18.101079759090723</v>
      </c>
      <c r="AX80" s="3">
        <v>1548.6393046233366</v>
      </c>
      <c r="AY80" s="3">
        <v>39.282743611494389</v>
      </c>
      <c r="AZ80" s="3">
        <v>53.18272079248068</v>
      </c>
      <c r="BA80" s="3">
        <v>0</v>
      </c>
      <c r="BB80" s="3">
        <v>3500.8671313952791</v>
      </c>
      <c r="BC80" s="3">
        <f t="shared" si="1"/>
        <v>6537.4171316849315</v>
      </c>
    </row>
    <row r="81" spans="1:55" x14ac:dyDescent="0.2">
      <c r="A81" s="3" t="s">
        <v>9</v>
      </c>
      <c r="B81" s="3">
        <v>0.26960000000000001</v>
      </c>
      <c r="C81" s="3">
        <v>105.5557</v>
      </c>
      <c r="D81" s="3">
        <v>25.067399999999999</v>
      </c>
      <c r="E81" s="3">
        <v>62.0244</v>
      </c>
      <c r="F81" s="3">
        <v>911.19320000000005</v>
      </c>
      <c r="G81" s="3">
        <v>90.4238</v>
      </c>
      <c r="H81" s="3">
        <v>684.93880000000001</v>
      </c>
      <c r="I81" s="3">
        <v>15.26</v>
      </c>
      <c r="J81" s="3">
        <v>118.55759999999999</v>
      </c>
      <c r="K81" s="3">
        <v>243.09520000000001</v>
      </c>
      <c r="L81" s="3">
        <v>700.69500000000005</v>
      </c>
      <c r="M81" s="3">
        <v>84.263999999999996</v>
      </c>
      <c r="N81" s="3">
        <v>1.2981</v>
      </c>
      <c r="O81" s="3">
        <v>199.49789999999999</v>
      </c>
      <c r="P81" s="3">
        <v>120.67700000000001</v>
      </c>
      <c r="Q81" s="3">
        <v>111.9744</v>
      </c>
      <c r="R81" s="3">
        <v>42.055799999999998</v>
      </c>
      <c r="S81" s="3">
        <v>38.902900000000002</v>
      </c>
      <c r="T81" s="3">
        <v>66.172499999999999</v>
      </c>
      <c r="U81" s="3">
        <v>25.6494</v>
      </c>
      <c r="V81" s="3">
        <v>8921.1826999999994</v>
      </c>
      <c r="W81" s="3">
        <v>212.2054</v>
      </c>
      <c r="X81" s="3">
        <v>62.069000000000003</v>
      </c>
      <c r="Y81" s="3">
        <v>0</v>
      </c>
      <c r="Z81" s="3">
        <v>1967.1793</v>
      </c>
      <c r="AA81" s="3">
        <v>14810.2091</v>
      </c>
      <c r="AC81" s="3" t="s">
        <v>9</v>
      </c>
      <c r="AD81" s="3">
        <v>0.26962428558628865</v>
      </c>
      <c r="AE81" s="3">
        <v>105.55568996519492</v>
      </c>
      <c r="AF81" s="3">
        <v>25.06739519324837</v>
      </c>
      <c r="AG81" s="3">
        <v>62.024400738320203</v>
      </c>
      <c r="AH81" s="3">
        <v>911.19327772782685</v>
      </c>
      <c r="AI81" s="3">
        <v>90.423822626368064</v>
      </c>
      <c r="AJ81" s="3">
        <v>684.93886719233228</v>
      </c>
      <c r="AK81" s="3">
        <v>15.259986421748929</v>
      </c>
      <c r="AL81" s="3">
        <v>118.55755191423079</v>
      </c>
      <c r="AM81" s="3">
        <v>243.09525166548153</v>
      </c>
      <c r="AN81" s="3">
        <v>700.69501414595697</v>
      </c>
      <c r="AO81" s="3">
        <v>84.264050895559222</v>
      </c>
      <c r="AP81" s="3">
        <v>1.2980624599529027</v>
      </c>
      <c r="AQ81" s="3">
        <v>199.49786543519332</v>
      </c>
      <c r="AR81" s="3">
        <v>120.67703973089411</v>
      </c>
      <c r="AS81" s="3">
        <v>111.97437984331459</v>
      </c>
      <c r="AT81" s="3">
        <v>42.055814762304017</v>
      </c>
      <c r="AU81" s="3">
        <v>38.902872377868299</v>
      </c>
      <c r="AV81" s="3">
        <v>66.172520001724308</v>
      </c>
      <c r="AW81" s="3">
        <v>25.649411706905287</v>
      </c>
      <c r="AX81" s="3">
        <v>8921.1827879981229</v>
      </c>
      <c r="AY81" s="3">
        <v>212.20543180754072</v>
      </c>
      <c r="AZ81" s="3">
        <v>62.069025128319637</v>
      </c>
      <c r="BA81" s="3">
        <v>0</v>
      </c>
      <c r="BB81" s="3">
        <v>1967.1793143880138</v>
      </c>
      <c r="BC81" s="3">
        <f t="shared" si="1"/>
        <v>14810.209458412008</v>
      </c>
    </row>
    <row r="82" spans="1:55" x14ac:dyDescent="0.2">
      <c r="A82" s="3" t="s">
        <v>10</v>
      </c>
      <c r="B82" s="3">
        <v>2.0649999999999999</v>
      </c>
      <c r="C82" s="3">
        <v>2021.991</v>
      </c>
      <c r="D82" s="3">
        <v>222.16149999999999</v>
      </c>
      <c r="E82" s="3">
        <v>323.82510000000002</v>
      </c>
      <c r="F82" s="3">
        <v>6441.0324000000001</v>
      </c>
      <c r="G82" s="3">
        <v>416.4153</v>
      </c>
      <c r="H82" s="3">
        <v>1952.9204</v>
      </c>
      <c r="I82" s="3">
        <v>136.03100000000001</v>
      </c>
      <c r="J82" s="3">
        <v>161.2295</v>
      </c>
      <c r="K82" s="3">
        <v>39910.883399999999</v>
      </c>
      <c r="L82" s="3">
        <v>6346.6041999999998</v>
      </c>
      <c r="M82" s="3">
        <v>1124.7718</v>
      </c>
      <c r="N82" s="3">
        <v>112.7133</v>
      </c>
      <c r="O82" s="3">
        <v>3669.6423</v>
      </c>
      <c r="P82" s="3">
        <v>762.3021</v>
      </c>
      <c r="Q82" s="3">
        <v>3276.6259</v>
      </c>
      <c r="R82" s="3">
        <v>586.62289999999996</v>
      </c>
      <c r="S82" s="3">
        <v>818.45330000000001</v>
      </c>
      <c r="T82" s="3">
        <v>304.24470000000002</v>
      </c>
      <c r="U82" s="3">
        <v>226.04060000000001</v>
      </c>
      <c r="V82" s="3">
        <v>5099.7148999999999</v>
      </c>
      <c r="W82" s="3">
        <v>308.19729999999998</v>
      </c>
      <c r="X82" s="3">
        <v>8656.4940000000006</v>
      </c>
      <c r="Y82" s="3">
        <v>0.1381</v>
      </c>
      <c r="Z82" s="3">
        <v>99794.685700000002</v>
      </c>
      <c r="AA82" s="3">
        <v>182675.8057</v>
      </c>
      <c r="AC82" s="3" t="s">
        <v>10</v>
      </c>
      <c r="AD82" s="3">
        <v>2.0649494033115712</v>
      </c>
      <c r="AE82" s="3">
        <v>2021.9910070293051</v>
      </c>
      <c r="AF82" s="3">
        <v>222.16146648308612</v>
      </c>
      <c r="AG82" s="3">
        <v>323.82509689279004</v>
      </c>
      <c r="AH82" s="3">
        <v>6441.0324638271986</v>
      </c>
      <c r="AI82" s="3">
        <v>416.41525997216314</v>
      </c>
      <c r="AJ82" s="3">
        <v>1952.9204196213764</v>
      </c>
      <c r="AK82" s="3">
        <v>136.03099343073191</v>
      </c>
      <c r="AL82" s="3">
        <v>161.22951693589337</v>
      </c>
      <c r="AM82" s="3">
        <v>39910.883488337378</v>
      </c>
      <c r="AN82" s="3">
        <v>6346.6041664817149</v>
      </c>
      <c r="AO82" s="3">
        <v>1124.7717847502938</v>
      </c>
      <c r="AP82" s="3">
        <v>112.71330246796391</v>
      </c>
      <c r="AQ82" s="3">
        <v>3669.6422999341744</v>
      </c>
      <c r="AR82" s="3">
        <v>762.30208939055046</v>
      </c>
      <c r="AS82" s="3">
        <v>3276.6258662770074</v>
      </c>
      <c r="AT82" s="3">
        <v>586.62294023093989</v>
      </c>
      <c r="AU82" s="3">
        <v>818.45322800339079</v>
      </c>
      <c r="AV82" s="3">
        <v>304.24470899577301</v>
      </c>
      <c r="AW82" s="3">
        <v>226.04054223409332</v>
      </c>
      <c r="AX82" s="3">
        <v>5099.7148492366068</v>
      </c>
      <c r="AY82" s="3">
        <v>308.19729569177565</v>
      </c>
      <c r="AZ82" s="3">
        <v>8656.4939766451516</v>
      </c>
      <c r="BA82" s="3">
        <v>0.1380679641065623</v>
      </c>
      <c r="BB82" s="3">
        <v>99794.685672321037</v>
      </c>
      <c r="BC82" s="3">
        <f t="shared" si="1"/>
        <v>182675.8054525578</v>
      </c>
    </row>
    <row r="83" spans="1:55" x14ac:dyDescent="0.2">
      <c r="A83" s="3" t="s">
        <v>11</v>
      </c>
      <c r="B83" s="3">
        <v>4.1203000000000003</v>
      </c>
      <c r="C83" s="3">
        <v>3063.8852999999999</v>
      </c>
      <c r="D83" s="3">
        <v>372.9794</v>
      </c>
      <c r="E83" s="3">
        <v>677.28800000000001</v>
      </c>
      <c r="F83" s="3">
        <v>8228.9701999999997</v>
      </c>
      <c r="G83" s="3">
        <v>792.75009999999997</v>
      </c>
      <c r="H83" s="3">
        <v>2104.1257999999998</v>
      </c>
      <c r="I83" s="3">
        <v>207.59979999999999</v>
      </c>
      <c r="J83" s="3">
        <v>289.45400000000001</v>
      </c>
      <c r="K83" s="3">
        <v>3159.0598</v>
      </c>
      <c r="L83" s="3">
        <v>26941.611700000001</v>
      </c>
      <c r="M83" s="3">
        <v>5349.2798000000003</v>
      </c>
      <c r="N83" s="3">
        <v>680.94259999999997</v>
      </c>
      <c r="O83" s="3">
        <v>1613.9057</v>
      </c>
      <c r="P83" s="3">
        <v>760.85889999999995</v>
      </c>
      <c r="Q83" s="3">
        <v>6553.7587999999996</v>
      </c>
      <c r="R83" s="3">
        <v>248.86959999999999</v>
      </c>
      <c r="S83" s="3">
        <v>424.08659999999998</v>
      </c>
      <c r="T83" s="3">
        <v>192.02099999999999</v>
      </c>
      <c r="U83" s="3">
        <v>170.9468</v>
      </c>
      <c r="V83" s="3">
        <v>28121.017599999999</v>
      </c>
      <c r="W83" s="3">
        <v>600.78859999999997</v>
      </c>
      <c r="X83" s="3">
        <v>1208.0136</v>
      </c>
      <c r="Y83" s="3">
        <v>0</v>
      </c>
      <c r="Z83" s="3">
        <v>77930.303899999999</v>
      </c>
      <c r="AA83" s="3">
        <v>169696.6379</v>
      </c>
      <c r="AC83" s="3" t="s">
        <v>11</v>
      </c>
      <c r="AD83" s="3">
        <v>4.1202643870700806</v>
      </c>
      <c r="AE83" s="3">
        <v>3063.8852126307056</v>
      </c>
      <c r="AF83" s="3">
        <v>372.97939197297586</v>
      </c>
      <c r="AG83" s="3">
        <v>677.28795652545955</v>
      </c>
      <c r="AH83" s="3">
        <v>8228.9702130961359</v>
      </c>
      <c r="AI83" s="3">
        <v>792.75011048579017</v>
      </c>
      <c r="AJ83" s="3">
        <v>2104.1257966702028</v>
      </c>
      <c r="AK83" s="3">
        <v>207.59976060918737</v>
      </c>
      <c r="AL83" s="3">
        <v>289.4540029891287</v>
      </c>
      <c r="AM83" s="3">
        <v>3159.0598635243646</v>
      </c>
      <c r="AN83" s="3">
        <v>26941.611678825469</v>
      </c>
      <c r="AO83" s="3">
        <v>5349.2797145134691</v>
      </c>
      <c r="AP83" s="3">
        <v>680.94263211969769</v>
      </c>
      <c r="AQ83" s="3">
        <v>1613.9056757080082</v>
      </c>
      <c r="AR83" s="3">
        <v>760.85892337237851</v>
      </c>
      <c r="AS83" s="3">
        <v>6553.7588736454745</v>
      </c>
      <c r="AT83" s="3">
        <v>248.86961386099074</v>
      </c>
      <c r="AU83" s="3">
        <v>424.08663741003011</v>
      </c>
      <c r="AV83" s="3">
        <v>192.02103317536756</v>
      </c>
      <c r="AW83" s="3">
        <v>170.94685630319185</v>
      </c>
      <c r="AX83" s="3">
        <v>28121.017573397148</v>
      </c>
      <c r="AY83" s="3">
        <v>600.78860331271062</v>
      </c>
      <c r="AZ83" s="3">
        <v>1208.0136540397975</v>
      </c>
      <c r="BA83" s="3">
        <v>0</v>
      </c>
      <c r="BB83" s="3">
        <v>77930.303865835114</v>
      </c>
      <c r="BC83" s="3">
        <f t="shared" si="1"/>
        <v>169696.63790840987</v>
      </c>
    </row>
    <row r="84" spans="1:55" x14ac:dyDescent="0.2">
      <c r="A84" s="3" t="s">
        <v>12</v>
      </c>
      <c r="B84" s="3">
        <v>0.2858</v>
      </c>
      <c r="C84" s="3">
        <v>1354.5088000000001</v>
      </c>
      <c r="D84" s="3">
        <v>177.05590000000001</v>
      </c>
      <c r="E84" s="3">
        <v>376.07409999999999</v>
      </c>
      <c r="F84" s="3">
        <v>4466.1472999999996</v>
      </c>
      <c r="G84" s="3">
        <v>2658.3710000000001</v>
      </c>
      <c r="H84" s="3">
        <v>1156.4606000000001</v>
      </c>
      <c r="I84" s="3">
        <v>349.19869999999997</v>
      </c>
      <c r="J84" s="3">
        <v>1554.0011</v>
      </c>
      <c r="K84" s="3">
        <v>2906.9016999999999</v>
      </c>
      <c r="L84" s="3">
        <v>2756.0155</v>
      </c>
      <c r="M84" s="3">
        <v>1660.4422999999999</v>
      </c>
      <c r="N84" s="3">
        <v>11.5441</v>
      </c>
      <c r="O84" s="3">
        <v>1871.0331000000001</v>
      </c>
      <c r="P84" s="3">
        <v>600.70740000000001</v>
      </c>
      <c r="Q84" s="3">
        <v>746.76649999999995</v>
      </c>
      <c r="R84" s="3">
        <v>479.3793</v>
      </c>
      <c r="S84" s="3">
        <v>800.8374</v>
      </c>
      <c r="T84" s="3">
        <v>300.42309999999998</v>
      </c>
      <c r="U84" s="3">
        <v>626.03869999999995</v>
      </c>
      <c r="V84" s="3">
        <v>2497.3265999999999</v>
      </c>
      <c r="W84" s="3">
        <v>119.34399999999999</v>
      </c>
      <c r="X84" s="3">
        <v>10015.571599999999</v>
      </c>
      <c r="Y84" s="3">
        <v>1.2999999999999999E-3</v>
      </c>
      <c r="Z84" s="3">
        <v>1472.2736</v>
      </c>
      <c r="AA84" s="3">
        <v>38956.7094</v>
      </c>
      <c r="AC84" s="3" t="s">
        <v>12</v>
      </c>
      <c r="AD84" s="3">
        <v>0.28575870973591661</v>
      </c>
      <c r="AE84" s="3">
        <v>1354.5088296430747</v>
      </c>
      <c r="AF84" s="3">
        <v>177.05586542244279</v>
      </c>
      <c r="AG84" s="3">
        <v>376.07418071571016</v>
      </c>
      <c r="AH84" s="3">
        <v>4466.1473088893927</v>
      </c>
      <c r="AI84" s="3">
        <v>2658.3709948262167</v>
      </c>
      <c r="AJ84" s="3">
        <v>1156.4605815999601</v>
      </c>
      <c r="AK84" s="3">
        <v>349.19872929377595</v>
      </c>
      <c r="AL84" s="3">
        <v>1554.0010479290816</v>
      </c>
      <c r="AM84" s="3">
        <v>2906.9016955898451</v>
      </c>
      <c r="AN84" s="3">
        <v>2756.0154733633476</v>
      </c>
      <c r="AO84" s="3">
        <v>1660.4423284986472</v>
      </c>
      <c r="AP84" s="3">
        <v>11.544051690140803</v>
      </c>
      <c r="AQ84" s="3">
        <v>1871.0331149068181</v>
      </c>
      <c r="AR84" s="3">
        <v>600.7073766185772</v>
      </c>
      <c r="AS84" s="3">
        <v>746.76652836799497</v>
      </c>
      <c r="AT84" s="3">
        <v>479.37936893222161</v>
      </c>
      <c r="AU84" s="3">
        <v>800.83740958500402</v>
      </c>
      <c r="AV84" s="3">
        <v>300.42305482671173</v>
      </c>
      <c r="AW84" s="3">
        <v>626.0386530443493</v>
      </c>
      <c r="AX84" s="3">
        <v>2497.326567222799</v>
      </c>
      <c r="AY84" s="3">
        <v>119.3439636533958</v>
      </c>
      <c r="AZ84" s="3">
        <v>10015.571572783609</v>
      </c>
      <c r="BA84" s="3">
        <v>1.250293667129829E-3</v>
      </c>
      <c r="BB84" s="3">
        <v>1472.2735204376891</v>
      </c>
      <c r="BC84" s="3">
        <f t="shared" si="1"/>
        <v>38956.709226844207</v>
      </c>
    </row>
    <row r="85" spans="1:55" x14ac:dyDescent="0.2">
      <c r="A85" s="3" t="s">
        <v>13</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24241.766800000001</v>
      </c>
      <c r="W85" s="3">
        <v>0</v>
      </c>
      <c r="X85" s="3">
        <v>0</v>
      </c>
      <c r="Y85" s="3">
        <v>0</v>
      </c>
      <c r="Z85" s="3">
        <v>503.63319999999999</v>
      </c>
      <c r="AA85" s="3">
        <v>24745.4</v>
      </c>
      <c r="AC85" s="3" t="s">
        <v>13</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24241.766800000001</v>
      </c>
      <c r="AY85" s="3">
        <v>0</v>
      </c>
      <c r="AZ85" s="3">
        <v>0</v>
      </c>
      <c r="BA85" s="3">
        <v>0</v>
      </c>
      <c r="BB85" s="3">
        <v>503.63319999999999</v>
      </c>
      <c r="BC85" s="3">
        <f t="shared" si="1"/>
        <v>24745.4</v>
      </c>
    </row>
    <row r="86" spans="1:55" x14ac:dyDescent="0.2">
      <c r="A86" s="3" t="s">
        <v>14</v>
      </c>
      <c r="B86" s="3">
        <v>5.1268000000000002</v>
      </c>
      <c r="C86" s="3">
        <v>3905.6788000000001</v>
      </c>
      <c r="D86" s="3">
        <v>197.2362</v>
      </c>
      <c r="E86" s="3">
        <v>1622.8725999999999</v>
      </c>
      <c r="F86" s="3">
        <v>8870.7577999999994</v>
      </c>
      <c r="G86" s="3">
        <v>535.60419999999999</v>
      </c>
      <c r="H86" s="3">
        <v>2031.3254999999999</v>
      </c>
      <c r="I86" s="3">
        <v>308.73899999999998</v>
      </c>
      <c r="J86" s="3">
        <v>246.4496</v>
      </c>
      <c r="K86" s="3">
        <v>7326.5348999999997</v>
      </c>
      <c r="L86" s="3">
        <v>4336.1288999999997</v>
      </c>
      <c r="M86" s="3">
        <v>2615.5068999999999</v>
      </c>
      <c r="N86" s="3">
        <v>390.20650000000001</v>
      </c>
      <c r="O86" s="3">
        <v>4357.8149999999996</v>
      </c>
      <c r="P86" s="3">
        <v>969.4126</v>
      </c>
      <c r="Q86" s="3">
        <v>1558.6089999999999</v>
      </c>
      <c r="R86" s="3">
        <v>459.6816</v>
      </c>
      <c r="S86" s="3">
        <v>469.26690000000002</v>
      </c>
      <c r="T86" s="3">
        <v>296.15129999999999</v>
      </c>
      <c r="U86" s="3">
        <v>274.3886</v>
      </c>
      <c r="V86" s="3">
        <v>849.68430000000001</v>
      </c>
      <c r="W86" s="3">
        <v>1125.7217000000001</v>
      </c>
      <c r="X86" s="3">
        <v>7815.3175000000001</v>
      </c>
      <c r="Y86" s="3">
        <v>20.684200000000001</v>
      </c>
      <c r="Z86" s="3">
        <v>27272.008999999998</v>
      </c>
      <c r="AA86" s="3">
        <v>77860.909499999994</v>
      </c>
      <c r="AC86" s="3" t="s">
        <v>14</v>
      </c>
      <c r="AD86" s="3">
        <v>5.1268468887529997</v>
      </c>
      <c r="AE86" s="3">
        <v>3905.6787533236088</v>
      </c>
      <c r="AF86" s="3">
        <v>197.23623129029824</v>
      </c>
      <c r="AG86" s="3">
        <v>1622.8726467257152</v>
      </c>
      <c r="AH86" s="3">
        <v>8870.7578086880749</v>
      </c>
      <c r="AI86" s="3">
        <v>535.6042593994282</v>
      </c>
      <c r="AJ86" s="3">
        <v>2031.3255238101699</v>
      </c>
      <c r="AK86" s="3">
        <v>308.73903015821219</v>
      </c>
      <c r="AL86" s="3">
        <v>246.44961144051007</v>
      </c>
      <c r="AM86" s="3">
        <v>7326.5348882719509</v>
      </c>
      <c r="AN86" s="3">
        <v>4336.1289400268261</v>
      </c>
      <c r="AO86" s="3">
        <v>2615.5068897047991</v>
      </c>
      <c r="AP86" s="3">
        <v>390.20650292600652</v>
      </c>
      <c r="AQ86" s="3">
        <v>4357.8149535377333</v>
      </c>
      <c r="AR86" s="3">
        <v>969.41261399683231</v>
      </c>
      <c r="AS86" s="3">
        <v>1558.6090049058796</v>
      </c>
      <c r="AT86" s="3">
        <v>459.6816165590518</v>
      </c>
      <c r="AU86" s="3">
        <v>469.26685850678649</v>
      </c>
      <c r="AV86" s="3">
        <v>296.15125590223602</v>
      </c>
      <c r="AW86" s="3">
        <v>274.38865330570849</v>
      </c>
      <c r="AX86" s="3">
        <v>849.68421753077052</v>
      </c>
      <c r="AY86" s="3">
        <v>1125.721729723188</v>
      </c>
      <c r="AZ86" s="3">
        <v>7815.3175076826365</v>
      </c>
      <c r="BA86" s="3">
        <v>20.684189638058925</v>
      </c>
      <c r="BB86" s="3">
        <v>27272.009096373011</v>
      </c>
      <c r="BC86" s="3">
        <f t="shared" si="1"/>
        <v>77860.909630316251</v>
      </c>
    </row>
    <row r="87" spans="1:55" x14ac:dyDescent="0.2">
      <c r="A87" s="3" t="s">
        <v>15</v>
      </c>
      <c r="B87" s="3">
        <v>0.2198</v>
      </c>
      <c r="C87" s="3">
        <v>1999.4712999999999</v>
      </c>
      <c r="D87" s="3">
        <v>251.50649999999999</v>
      </c>
      <c r="E87" s="3">
        <v>550.51179999999999</v>
      </c>
      <c r="F87" s="3">
        <v>3754.4231</v>
      </c>
      <c r="G87" s="3">
        <v>284.53059999999999</v>
      </c>
      <c r="H87" s="3">
        <v>2810.5752000000002</v>
      </c>
      <c r="I87" s="3">
        <v>97.102199999999996</v>
      </c>
      <c r="J87" s="3">
        <v>146.089</v>
      </c>
      <c r="K87" s="3">
        <v>2915.3108000000002</v>
      </c>
      <c r="L87" s="3">
        <v>1295.8615</v>
      </c>
      <c r="M87" s="3">
        <v>1792.2797</v>
      </c>
      <c r="N87" s="3">
        <v>315.07339999999999</v>
      </c>
      <c r="O87" s="3">
        <v>799.23590000000002</v>
      </c>
      <c r="P87" s="3">
        <v>1797.2317</v>
      </c>
      <c r="Q87" s="3">
        <v>953.32259999999997</v>
      </c>
      <c r="R87" s="3">
        <v>265.96769999999998</v>
      </c>
      <c r="S87" s="3">
        <v>615.37099999999998</v>
      </c>
      <c r="T87" s="3">
        <v>184.1396</v>
      </c>
      <c r="U87" s="3">
        <v>122.13809999999999</v>
      </c>
      <c r="V87" s="3">
        <v>827.2749</v>
      </c>
      <c r="W87" s="3">
        <v>42.6526</v>
      </c>
      <c r="X87" s="3">
        <v>148.01650000000001</v>
      </c>
      <c r="Y87" s="3">
        <v>0.92530000000000001</v>
      </c>
      <c r="Z87" s="3">
        <v>8252.8353999999999</v>
      </c>
      <c r="AA87" s="3">
        <v>30222.066200000001</v>
      </c>
      <c r="AC87" s="3" t="s">
        <v>15</v>
      </c>
      <c r="AD87" s="3">
        <v>0.21979249813543048</v>
      </c>
      <c r="AE87" s="3">
        <v>1999.4712788491624</v>
      </c>
      <c r="AF87" s="3">
        <v>251.50649759683608</v>
      </c>
      <c r="AG87" s="3">
        <v>550.51179687920489</v>
      </c>
      <c r="AH87" s="3">
        <v>3754.4231142870221</v>
      </c>
      <c r="AI87" s="3">
        <v>284.53064590945041</v>
      </c>
      <c r="AJ87" s="3">
        <v>2810.5752054175746</v>
      </c>
      <c r="AK87" s="3">
        <v>97.102231361260152</v>
      </c>
      <c r="AL87" s="3">
        <v>146.08895361820367</v>
      </c>
      <c r="AM87" s="3">
        <v>2915.3108037952634</v>
      </c>
      <c r="AN87" s="3">
        <v>1295.8615024946055</v>
      </c>
      <c r="AO87" s="3">
        <v>1792.2796904631905</v>
      </c>
      <c r="AP87" s="3">
        <v>315.07343911476499</v>
      </c>
      <c r="AQ87" s="3">
        <v>799.23585854808539</v>
      </c>
      <c r="AR87" s="3">
        <v>1797.2316580295001</v>
      </c>
      <c r="AS87" s="3">
        <v>953.32255110598703</v>
      </c>
      <c r="AT87" s="3">
        <v>265.96774245274332</v>
      </c>
      <c r="AU87" s="3">
        <v>615.37104836634103</v>
      </c>
      <c r="AV87" s="3">
        <v>184.1396525937445</v>
      </c>
      <c r="AW87" s="3">
        <v>122.13815442316937</v>
      </c>
      <c r="AX87" s="3">
        <v>827.27481138343853</v>
      </c>
      <c r="AY87" s="3">
        <v>42.652587697301762</v>
      </c>
      <c r="AZ87" s="3">
        <v>148.01646529967124</v>
      </c>
      <c r="BA87" s="3">
        <v>0.92530460188286967</v>
      </c>
      <c r="BB87" s="3">
        <v>8252.8354450628467</v>
      </c>
      <c r="BC87" s="3">
        <f t="shared" si="1"/>
        <v>30222.066231849389</v>
      </c>
    </row>
    <row r="88" spans="1:55" x14ac:dyDescent="0.2">
      <c r="A88" s="3" t="s">
        <v>16</v>
      </c>
      <c r="B88" s="3">
        <v>0.2324</v>
      </c>
      <c r="C88" s="3">
        <v>125.34650000000001</v>
      </c>
      <c r="D88" s="3">
        <v>55.1496</v>
      </c>
      <c r="E88" s="3">
        <v>130.29509999999999</v>
      </c>
      <c r="F88" s="3">
        <v>736.88649999999996</v>
      </c>
      <c r="G88" s="3">
        <v>153.35390000000001</v>
      </c>
      <c r="H88" s="3">
        <v>376.62450000000001</v>
      </c>
      <c r="I88" s="3">
        <v>27.4312</v>
      </c>
      <c r="J88" s="3">
        <v>70.180700000000002</v>
      </c>
      <c r="K88" s="3">
        <v>639.07360000000006</v>
      </c>
      <c r="L88" s="3">
        <v>378.75450000000001</v>
      </c>
      <c r="M88" s="3">
        <v>399.83600000000001</v>
      </c>
      <c r="N88" s="3">
        <v>4.4215999999999998</v>
      </c>
      <c r="O88" s="3">
        <v>308.38420000000002</v>
      </c>
      <c r="P88" s="3">
        <v>50.219299999999997</v>
      </c>
      <c r="Q88" s="3">
        <v>878.68340000000001</v>
      </c>
      <c r="R88" s="3">
        <v>33.581099999999999</v>
      </c>
      <c r="S88" s="3">
        <v>54.331000000000003</v>
      </c>
      <c r="T88" s="3">
        <v>86.466200000000001</v>
      </c>
      <c r="U88" s="3">
        <v>33.5871</v>
      </c>
      <c r="V88" s="3">
        <v>720.82560000000001</v>
      </c>
      <c r="W88" s="3">
        <v>40426.674700000003</v>
      </c>
      <c r="X88" s="3">
        <v>437.25400000000002</v>
      </c>
      <c r="Y88" s="3">
        <v>-0.1973</v>
      </c>
      <c r="Z88" s="3">
        <v>1161.5942</v>
      </c>
      <c r="AA88" s="3">
        <v>47288.989800000003</v>
      </c>
      <c r="AC88" s="3" t="s">
        <v>16</v>
      </c>
      <c r="AD88" s="3">
        <v>0.23243039934069676</v>
      </c>
      <c r="AE88" s="3">
        <v>125.34653924260307</v>
      </c>
      <c r="AF88" s="3">
        <v>55.149607030360997</v>
      </c>
      <c r="AG88" s="3">
        <v>130.29510632264646</v>
      </c>
      <c r="AH88" s="3">
        <v>736.88652937857114</v>
      </c>
      <c r="AI88" s="3">
        <v>153.3538251345079</v>
      </c>
      <c r="AJ88" s="3">
        <v>376.62453173134867</v>
      </c>
      <c r="AK88" s="3">
        <v>27.43125116757534</v>
      </c>
      <c r="AL88" s="3">
        <v>70.180744035007763</v>
      </c>
      <c r="AM88" s="3">
        <v>639.0736679149411</v>
      </c>
      <c r="AN88" s="3">
        <v>378.75452308252227</v>
      </c>
      <c r="AO88" s="3">
        <v>399.83594844778054</v>
      </c>
      <c r="AP88" s="3">
        <v>4.4215962477598367</v>
      </c>
      <c r="AQ88" s="3">
        <v>308.38428903529291</v>
      </c>
      <c r="AR88" s="3">
        <v>50.219319537508632</v>
      </c>
      <c r="AS88" s="3">
        <v>878.68338449869111</v>
      </c>
      <c r="AT88" s="3">
        <v>33.581102482023375</v>
      </c>
      <c r="AU88" s="3">
        <v>54.331075147581274</v>
      </c>
      <c r="AV88" s="3">
        <v>86.466187765422987</v>
      </c>
      <c r="AW88" s="3">
        <v>33.587126655722074</v>
      </c>
      <c r="AX88" s="3">
        <v>720.82560157506919</v>
      </c>
      <c r="AY88" s="3">
        <v>40426.674711923006</v>
      </c>
      <c r="AZ88" s="3">
        <v>437.2540625498217</v>
      </c>
      <c r="BA88" s="3">
        <v>-0.19733173918178823</v>
      </c>
      <c r="BB88" s="3">
        <v>1161.5941680763965</v>
      </c>
      <c r="BC88" s="3">
        <f t="shared" si="1"/>
        <v>47288.989997642318</v>
      </c>
    </row>
    <row r="89" spans="1:55" x14ac:dyDescent="0.2">
      <c r="A89" s="3" t="s">
        <v>17</v>
      </c>
      <c r="B89" s="3">
        <v>0.12770000000000001</v>
      </c>
      <c r="C89" s="3">
        <v>113.79470000000001</v>
      </c>
      <c r="D89" s="3">
        <v>7.7994000000000003</v>
      </c>
      <c r="E89" s="3">
        <v>19.250299999999999</v>
      </c>
      <c r="F89" s="3">
        <v>274.71839999999997</v>
      </c>
      <c r="G89" s="3">
        <v>29.138999999999999</v>
      </c>
      <c r="H89" s="3">
        <v>99.433599999999998</v>
      </c>
      <c r="I89" s="3">
        <v>17.940799999999999</v>
      </c>
      <c r="J89" s="3">
        <v>19.046199999999999</v>
      </c>
      <c r="K89" s="3">
        <v>314.18700000000001</v>
      </c>
      <c r="L89" s="3">
        <v>165.19139999999999</v>
      </c>
      <c r="M89" s="3">
        <v>76.034300000000002</v>
      </c>
      <c r="N89" s="3">
        <v>7.0587999999999997</v>
      </c>
      <c r="O89" s="3">
        <v>147.18029999999999</v>
      </c>
      <c r="P89" s="3">
        <v>39.795400000000001</v>
      </c>
      <c r="Q89" s="3">
        <v>293.95510000000002</v>
      </c>
      <c r="R89" s="3">
        <v>455.11270000000002</v>
      </c>
      <c r="S89" s="3">
        <v>34.628599999999999</v>
      </c>
      <c r="T89" s="3">
        <v>15.1508</v>
      </c>
      <c r="U89" s="3">
        <v>16.375399999999999</v>
      </c>
      <c r="V89" s="3">
        <v>6884.1547</v>
      </c>
      <c r="W89" s="3">
        <v>9602.6761000000006</v>
      </c>
      <c r="X89" s="3">
        <v>196.0626</v>
      </c>
      <c r="Y89" s="3">
        <v>1.6000000000000001E-3</v>
      </c>
      <c r="Z89" s="3">
        <v>3100.3456000000001</v>
      </c>
      <c r="AA89" s="3">
        <v>21929.160500000002</v>
      </c>
      <c r="AC89" s="3" t="s">
        <v>17</v>
      </c>
      <c r="AD89" s="3">
        <v>0.12768309372645195</v>
      </c>
      <c r="AE89" s="3">
        <v>113.79470534466537</v>
      </c>
      <c r="AF89" s="3">
        <v>7.7993856903443035</v>
      </c>
      <c r="AG89" s="3">
        <v>19.250368372754046</v>
      </c>
      <c r="AH89" s="3">
        <v>274.7184558796672</v>
      </c>
      <c r="AI89" s="3">
        <v>29.139025688270717</v>
      </c>
      <c r="AJ89" s="3">
        <v>99.433622945045144</v>
      </c>
      <c r="AK89" s="3">
        <v>17.94070885707692</v>
      </c>
      <c r="AL89" s="3">
        <v>19.046240274431394</v>
      </c>
      <c r="AM89" s="3">
        <v>314.18700604844526</v>
      </c>
      <c r="AN89" s="3">
        <v>165.19143562790572</v>
      </c>
      <c r="AO89" s="3">
        <v>76.034304814466239</v>
      </c>
      <c r="AP89" s="3">
        <v>7.0587691231179708</v>
      </c>
      <c r="AQ89" s="3">
        <v>147.18033085471708</v>
      </c>
      <c r="AR89" s="3">
        <v>39.795387234844043</v>
      </c>
      <c r="AS89" s="3">
        <v>293.95508999425391</v>
      </c>
      <c r="AT89" s="3">
        <v>455.11266083763485</v>
      </c>
      <c r="AU89" s="3">
        <v>34.628662079838115</v>
      </c>
      <c r="AV89" s="3">
        <v>15.150721481266832</v>
      </c>
      <c r="AW89" s="3">
        <v>16.375345798746828</v>
      </c>
      <c r="AX89" s="3">
        <v>6884.1546910041243</v>
      </c>
      <c r="AY89" s="3">
        <v>9602.6760368929627</v>
      </c>
      <c r="AZ89" s="3">
        <v>196.06262742015889</v>
      </c>
      <c r="BA89" s="3">
        <v>1.6233094573232586E-3</v>
      </c>
      <c r="BB89" s="3">
        <v>3100.3456141837137</v>
      </c>
      <c r="BC89" s="3">
        <f t="shared" si="1"/>
        <v>21929.160502851635</v>
      </c>
    </row>
    <row r="90" spans="1:55" x14ac:dyDescent="0.2">
      <c r="A90" s="3" t="s">
        <v>18</v>
      </c>
      <c r="B90" s="3">
        <v>4.3299999999999998E-2</v>
      </c>
      <c r="C90" s="3">
        <v>27.471499999999999</v>
      </c>
      <c r="D90" s="3">
        <v>6.0107999999999997</v>
      </c>
      <c r="E90" s="3">
        <v>12.4962</v>
      </c>
      <c r="F90" s="3">
        <v>113.0701</v>
      </c>
      <c r="G90" s="3">
        <v>19.421900000000001</v>
      </c>
      <c r="H90" s="3">
        <v>74.201099999999997</v>
      </c>
      <c r="I90" s="3">
        <v>5.3209</v>
      </c>
      <c r="J90" s="3">
        <v>14.279299999999999</v>
      </c>
      <c r="K90" s="3">
        <v>96.777600000000007</v>
      </c>
      <c r="L90" s="3">
        <v>94.062899999999999</v>
      </c>
      <c r="M90" s="3">
        <v>32.523099999999999</v>
      </c>
      <c r="N90" s="3">
        <v>1.9353</v>
      </c>
      <c r="O90" s="3">
        <v>423.97030000000001</v>
      </c>
      <c r="P90" s="3">
        <v>63.150100000000002</v>
      </c>
      <c r="Q90" s="3">
        <v>413.79700000000003</v>
      </c>
      <c r="R90" s="3">
        <v>25.481100000000001</v>
      </c>
      <c r="S90" s="3">
        <v>3062.5720999999999</v>
      </c>
      <c r="T90" s="3">
        <v>277.58150000000001</v>
      </c>
      <c r="U90" s="3">
        <v>59.344000000000001</v>
      </c>
      <c r="V90" s="3">
        <v>12888.7693</v>
      </c>
      <c r="W90" s="3">
        <v>9810.2224999999999</v>
      </c>
      <c r="X90" s="3">
        <v>94.404700000000005</v>
      </c>
      <c r="Y90" s="3">
        <v>0</v>
      </c>
      <c r="Z90" s="3">
        <v>789.22680000000003</v>
      </c>
      <c r="AA90" s="3">
        <v>28406.133399999999</v>
      </c>
      <c r="AC90" s="3" t="s">
        <v>18</v>
      </c>
      <c r="AD90" s="3">
        <v>4.3328923549729559E-2</v>
      </c>
      <c r="AE90" s="3">
        <v>27.47149298183319</v>
      </c>
      <c r="AF90" s="3">
        <v>6.010737468898192</v>
      </c>
      <c r="AG90" s="3">
        <v>12.496192341644697</v>
      </c>
      <c r="AH90" s="3">
        <v>113.07006618281849</v>
      </c>
      <c r="AI90" s="3">
        <v>19.421892859657287</v>
      </c>
      <c r="AJ90" s="3">
        <v>74.201087344735541</v>
      </c>
      <c r="AK90" s="3">
        <v>5.3209104752615417</v>
      </c>
      <c r="AL90" s="3">
        <v>14.279379913180993</v>
      </c>
      <c r="AM90" s="3">
        <v>96.777552363684876</v>
      </c>
      <c r="AN90" s="3">
        <v>94.06293040224061</v>
      </c>
      <c r="AO90" s="3">
        <v>32.523052374295297</v>
      </c>
      <c r="AP90" s="3">
        <v>1.9352975973082123</v>
      </c>
      <c r="AQ90" s="3">
        <v>423.97037007331397</v>
      </c>
      <c r="AR90" s="3">
        <v>63.150072868631632</v>
      </c>
      <c r="AS90" s="3">
        <v>413.7969922009695</v>
      </c>
      <c r="AT90" s="3">
        <v>25.481121151033381</v>
      </c>
      <c r="AU90" s="3">
        <v>3062.5721305954153</v>
      </c>
      <c r="AV90" s="3">
        <v>277.58143752726676</v>
      </c>
      <c r="AW90" s="3">
        <v>59.344067693299593</v>
      </c>
      <c r="AX90" s="3">
        <v>12888.769349111508</v>
      </c>
      <c r="AY90" s="3">
        <v>9810.2225321104052</v>
      </c>
      <c r="AZ90" s="3">
        <v>94.404693496922164</v>
      </c>
      <c r="BA90" s="3">
        <v>0</v>
      </c>
      <c r="BB90" s="3">
        <v>789.2268113109327</v>
      </c>
      <c r="BC90" s="3">
        <f t="shared" si="1"/>
        <v>28406.133499368807</v>
      </c>
    </row>
    <row r="91" spans="1:55" x14ac:dyDescent="0.2">
      <c r="A91" s="3" t="s">
        <v>19</v>
      </c>
      <c r="B91" s="3">
        <v>1.8200000000000001E-2</v>
      </c>
      <c r="C91" s="3">
        <v>26.596399999999999</v>
      </c>
      <c r="D91" s="3">
        <v>3.7101999999999999</v>
      </c>
      <c r="E91" s="3">
        <v>63.051099999999998</v>
      </c>
      <c r="F91" s="3">
        <v>142.68389999999999</v>
      </c>
      <c r="G91" s="3">
        <v>56.7789</v>
      </c>
      <c r="H91" s="3">
        <v>71.937799999999996</v>
      </c>
      <c r="I91" s="3">
        <v>8.9281000000000006</v>
      </c>
      <c r="J91" s="3">
        <v>17.1402</v>
      </c>
      <c r="K91" s="3">
        <v>212.05940000000001</v>
      </c>
      <c r="L91" s="3">
        <v>330.15929999999997</v>
      </c>
      <c r="M91" s="3">
        <v>28.100200000000001</v>
      </c>
      <c r="N91" s="3">
        <v>0.74</v>
      </c>
      <c r="O91" s="3">
        <v>82.074100000000001</v>
      </c>
      <c r="P91" s="3">
        <v>59.309699999999999</v>
      </c>
      <c r="Q91" s="3">
        <v>27.7255</v>
      </c>
      <c r="R91" s="3">
        <v>202.97649999999999</v>
      </c>
      <c r="S91" s="3">
        <v>23.8155</v>
      </c>
      <c r="T91" s="3">
        <v>292.78919999999999</v>
      </c>
      <c r="U91" s="3">
        <v>22.4404</v>
      </c>
      <c r="V91" s="3">
        <v>3402.8438000000001</v>
      </c>
      <c r="W91" s="3">
        <v>1160.4414999999999</v>
      </c>
      <c r="X91" s="3">
        <v>81.7821</v>
      </c>
      <c r="Y91" s="3">
        <v>0</v>
      </c>
      <c r="Z91" s="3">
        <v>2312.8843000000002</v>
      </c>
      <c r="AA91" s="3">
        <v>8630.9861000000001</v>
      </c>
      <c r="AC91" s="3" t="s">
        <v>19</v>
      </c>
      <c r="AD91" s="3">
        <v>1.8155503602790481E-2</v>
      </c>
      <c r="AE91" s="3">
        <v>26.596358227404405</v>
      </c>
      <c r="AF91" s="3">
        <v>3.7102007966751445</v>
      </c>
      <c r="AG91" s="3">
        <v>63.051115288904228</v>
      </c>
      <c r="AH91" s="3">
        <v>142.68383642432963</v>
      </c>
      <c r="AI91" s="3">
        <v>56.778894869042404</v>
      </c>
      <c r="AJ91" s="3">
        <v>71.937726526279121</v>
      </c>
      <c r="AK91" s="3">
        <v>8.9280696298211204</v>
      </c>
      <c r="AL91" s="3">
        <v>17.140206543594694</v>
      </c>
      <c r="AM91" s="3">
        <v>212.05931642529598</v>
      </c>
      <c r="AN91" s="3">
        <v>330.15929476795492</v>
      </c>
      <c r="AO91" s="3">
        <v>28.100160383340011</v>
      </c>
      <c r="AP91" s="3">
        <v>0.73996539363859881</v>
      </c>
      <c r="AQ91" s="3">
        <v>82.074123251536562</v>
      </c>
      <c r="AR91" s="3">
        <v>59.309696504643007</v>
      </c>
      <c r="AS91" s="3">
        <v>27.725492154492848</v>
      </c>
      <c r="AT91" s="3">
        <v>202.97650005910393</v>
      </c>
      <c r="AU91" s="3">
        <v>23.815511153022275</v>
      </c>
      <c r="AV91" s="3">
        <v>292.7892191723131</v>
      </c>
      <c r="AW91" s="3">
        <v>22.440353391779173</v>
      </c>
      <c r="AX91" s="3">
        <v>3402.8436819446529</v>
      </c>
      <c r="AY91" s="3">
        <v>1160.4414964107102</v>
      </c>
      <c r="AZ91" s="3">
        <v>81.782130732994574</v>
      </c>
      <c r="BA91" s="3">
        <v>0</v>
      </c>
      <c r="BB91" s="3">
        <v>2312.8843135412453</v>
      </c>
      <c r="BC91" s="3">
        <f t="shared" si="1"/>
        <v>8630.9858190963787</v>
      </c>
    </row>
    <row r="92" spans="1:55" x14ac:dyDescent="0.2">
      <c r="A92" s="3" t="s">
        <v>20</v>
      </c>
      <c r="B92" s="3">
        <v>8.3900000000000002E-2</v>
      </c>
      <c r="C92" s="3">
        <v>111.9524</v>
      </c>
      <c r="D92" s="3">
        <v>25.363</v>
      </c>
      <c r="E92" s="3">
        <v>61.066099999999999</v>
      </c>
      <c r="F92" s="3">
        <v>182.82900000000001</v>
      </c>
      <c r="G92" s="3">
        <v>42.122300000000003</v>
      </c>
      <c r="H92" s="3">
        <v>296.40469999999999</v>
      </c>
      <c r="I92" s="3">
        <v>65.706500000000005</v>
      </c>
      <c r="J92" s="3">
        <v>18.154199999999999</v>
      </c>
      <c r="K92" s="3">
        <v>307.67759999999998</v>
      </c>
      <c r="L92" s="3">
        <v>214.37100000000001</v>
      </c>
      <c r="M92" s="3">
        <v>72.451499999999996</v>
      </c>
      <c r="N92" s="3">
        <v>70.106800000000007</v>
      </c>
      <c r="O92" s="3">
        <v>132.5275</v>
      </c>
      <c r="P92" s="3">
        <v>117.3235</v>
      </c>
      <c r="Q92" s="3">
        <v>304.87700000000001</v>
      </c>
      <c r="R92" s="3">
        <v>152.5685</v>
      </c>
      <c r="S92" s="3">
        <v>171.84460000000001</v>
      </c>
      <c r="T92" s="3">
        <v>145.93289999999999</v>
      </c>
      <c r="U92" s="3">
        <v>98.393199999999993</v>
      </c>
      <c r="V92" s="3">
        <v>7146.1581999999999</v>
      </c>
      <c r="W92" s="3">
        <v>78.088099999999997</v>
      </c>
      <c r="X92" s="3">
        <v>56.432299999999998</v>
      </c>
      <c r="Y92" s="3">
        <v>0</v>
      </c>
      <c r="Z92" s="3">
        <v>286.76440000000002</v>
      </c>
      <c r="AA92" s="3">
        <v>10159.1993</v>
      </c>
      <c r="AC92" s="3" t="s">
        <v>20</v>
      </c>
      <c r="AD92" s="3">
        <v>8.3885864871123178E-2</v>
      </c>
      <c r="AE92" s="3">
        <v>111.95241854461248</v>
      </c>
      <c r="AF92" s="3">
        <v>25.362981441102388</v>
      </c>
      <c r="AG92" s="3">
        <v>61.066098857999449</v>
      </c>
      <c r="AH92" s="3">
        <v>182.82904175628818</v>
      </c>
      <c r="AI92" s="3">
        <v>42.122288779157813</v>
      </c>
      <c r="AJ92" s="3">
        <v>296.40462810106334</v>
      </c>
      <c r="AK92" s="3">
        <v>65.706480286290187</v>
      </c>
      <c r="AL92" s="3">
        <v>18.154235340236227</v>
      </c>
      <c r="AM92" s="3">
        <v>307.67758851441488</v>
      </c>
      <c r="AN92" s="3">
        <v>214.37096170830111</v>
      </c>
      <c r="AO92" s="3">
        <v>72.451506574578644</v>
      </c>
      <c r="AP92" s="3">
        <v>70.10676384478721</v>
      </c>
      <c r="AQ92" s="3">
        <v>132.5275161414248</v>
      </c>
      <c r="AR92" s="3">
        <v>117.32350732736815</v>
      </c>
      <c r="AS92" s="3">
        <v>304.87694942857451</v>
      </c>
      <c r="AT92" s="3">
        <v>152.56851264958769</v>
      </c>
      <c r="AU92" s="3">
        <v>171.84464168107132</v>
      </c>
      <c r="AV92" s="3">
        <v>145.93297234729934</v>
      </c>
      <c r="AW92" s="3">
        <v>98.393201172293772</v>
      </c>
      <c r="AX92" s="3">
        <v>7146.1584296371066</v>
      </c>
      <c r="AY92" s="3">
        <v>78.088056424831251</v>
      </c>
      <c r="AZ92" s="3">
        <v>56.432344944651398</v>
      </c>
      <c r="BA92" s="3">
        <v>0</v>
      </c>
      <c r="BB92" s="3">
        <v>286.76437805563995</v>
      </c>
      <c r="BC92" s="3">
        <f t="shared" si="1"/>
        <v>10159.199389423549</v>
      </c>
    </row>
    <row r="93" spans="1:55" x14ac:dyDescent="0.2">
      <c r="A93" s="15" t="s">
        <v>21</v>
      </c>
      <c r="B93" s="15">
        <v>270.0788</v>
      </c>
      <c r="C93" s="15">
        <v>221440.52179999999</v>
      </c>
      <c r="D93" s="15">
        <v>9260.5838000000003</v>
      </c>
      <c r="E93" s="15">
        <v>13127.0746</v>
      </c>
      <c r="F93" s="15">
        <v>101411.4317</v>
      </c>
      <c r="G93" s="15">
        <v>1299.8157000000001</v>
      </c>
      <c r="H93" s="15">
        <v>116756.60890000001</v>
      </c>
      <c r="I93" s="15">
        <v>643.04909999999995</v>
      </c>
      <c r="J93" s="15">
        <v>3208.2932999999998</v>
      </c>
      <c r="K93" s="15">
        <v>69020.604900000006</v>
      </c>
      <c r="L93" s="15">
        <v>39786.058599999997</v>
      </c>
      <c r="M93" s="15">
        <v>919.5181</v>
      </c>
      <c r="N93" s="15">
        <v>0</v>
      </c>
      <c r="O93" s="15">
        <v>19896.1577</v>
      </c>
      <c r="P93" s="15">
        <v>3656.8607000000002</v>
      </c>
      <c r="Q93" s="15">
        <v>8479.5817999999999</v>
      </c>
      <c r="R93" s="15">
        <v>1459.4719</v>
      </c>
      <c r="S93" s="15">
        <v>2790.0219000000002</v>
      </c>
      <c r="T93" s="15">
        <v>682.12099999999998</v>
      </c>
      <c r="U93" s="15">
        <v>1122.1242999999999</v>
      </c>
      <c r="V93" s="15">
        <v>38879.940399999999</v>
      </c>
      <c r="W93" s="15">
        <v>0</v>
      </c>
      <c r="X93" s="15">
        <v>51819.945299999999</v>
      </c>
      <c r="Y93" s="15">
        <v>7334.8778000000002</v>
      </c>
      <c r="Z93" s="15">
        <v>332876.68609999999</v>
      </c>
      <c r="AA93" s="15">
        <v>1046141.4282</v>
      </c>
      <c r="AC93" s="15" t="s">
        <v>21</v>
      </c>
      <c r="AD93" s="15">
        <v>270.0788</v>
      </c>
      <c r="AE93" s="15">
        <v>221440.52179999999</v>
      </c>
      <c r="AF93" s="15">
        <v>9260.5838000000003</v>
      </c>
      <c r="AG93" s="15">
        <v>13127.0746</v>
      </c>
      <c r="AH93" s="15">
        <v>101411.4317</v>
      </c>
      <c r="AI93" s="15">
        <v>1299.8157000000001</v>
      </c>
      <c r="AJ93" s="15">
        <v>116756.60890000001</v>
      </c>
      <c r="AK93" s="15">
        <v>643.04909999999995</v>
      </c>
      <c r="AL93" s="15">
        <v>3208.2932999999998</v>
      </c>
      <c r="AM93" s="15">
        <v>69020.604900000006</v>
      </c>
      <c r="AN93" s="15">
        <v>39786.058599999997</v>
      </c>
      <c r="AO93" s="15">
        <v>919.5181</v>
      </c>
      <c r="AP93" s="15">
        <v>0</v>
      </c>
      <c r="AQ93" s="15">
        <v>19896.1577</v>
      </c>
      <c r="AR93" s="15">
        <v>3656.8607000000002</v>
      </c>
      <c r="AS93" s="15">
        <v>8479.5817999999999</v>
      </c>
      <c r="AT93" s="15">
        <v>1459.4719</v>
      </c>
      <c r="AU93" s="15">
        <v>2790.0219000000002</v>
      </c>
      <c r="AV93" s="15">
        <v>682.12099999999998</v>
      </c>
      <c r="AW93" s="15">
        <v>1122.1242999999999</v>
      </c>
      <c r="AX93" s="15">
        <v>38879.940399999999</v>
      </c>
      <c r="AY93" s="15">
        <v>0</v>
      </c>
      <c r="AZ93" s="15">
        <v>51819.945299999999</v>
      </c>
      <c r="BA93" s="15">
        <v>7334.8778000000002</v>
      </c>
      <c r="BB93" s="15">
        <v>332876.68609999999</v>
      </c>
      <c r="BC93" s="15">
        <f t="shared" si="1"/>
        <v>1046141.4282</v>
      </c>
    </row>
    <row r="94" spans="1:55" x14ac:dyDescent="0.2">
      <c r="A94" s="16" t="s">
        <v>22</v>
      </c>
      <c r="B94" s="16">
        <v>2.7355</v>
      </c>
      <c r="C94" s="16">
        <v>182.24189999999999</v>
      </c>
      <c r="D94" s="16">
        <v>215.0515</v>
      </c>
      <c r="E94" s="16">
        <v>34.3005</v>
      </c>
      <c r="F94" s="16">
        <v>112.8329</v>
      </c>
      <c r="G94" s="16">
        <v>22.488199999999999</v>
      </c>
      <c r="H94" s="16">
        <v>503.91750000000002</v>
      </c>
      <c r="I94" s="16">
        <v>24.4313</v>
      </c>
      <c r="J94" s="16">
        <v>402.78149999999999</v>
      </c>
      <c r="K94" s="16">
        <v>817.32119999999998</v>
      </c>
      <c r="L94" s="16">
        <v>1617.6438000000001</v>
      </c>
      <c r="M94" s="16">
        <v>396.04160000000002</v>
      </c>
      <c r="N94" s="16">
        <v>0</v>
      </c>
      <c r="O94" s="16">
        <v>164.0402</v>
      </c>
      <c r="P94" s="16">
        <v>30.628900000000002</v>
      </c>
      <c r="Q94" s="16">
        <v>212.4314</v>
      </c>
      <c r="R94" s="16">
        <v>144.44630000000001</v>
      </c>
      <c r="S94" s="16">
        <v>810.92460000000005</v>
      </c>
      <c r="T94" s="16">
        <v>109.37860000000001</v>
      </c>
      <c r="U94" s="16">
        <v>33.206800000000001</v>
      </c>
      <c r="V94" s="16">
        <v>17704.1129</v>
      </c>
      <c r="W94" s="16">
        <v>0</v>
      </c>
      <c r="X94" s="16">
        <v>8263.7428999999993</v>
      </c>
      <c r="Y94" s="16">
        <v>0</v>
      </c>
      <c r="Z94" s="16">
        <v>0</v>
      </c>
      <c r="AA94" s="16">
        <v>31804.7</v>
      </c>
      <c r="AC94" s="16" t="s">
        <v>22</v>
      </c>
      <c r="AD94" s="16">
        <v>2.7355</v>
      </c>
      <c r="AE94" s="16">
        <v>182.24189999999999</v>
      </c>
      <c r="AF94" s="16">
        <v>215.0515</v>
      </c>
      <c r="AG94" s="16">
        <v>34.3005</v>
      </c>
      <c r="AH94" s="16">
        <v>112.8329</v>
      </c>
      <c r="AI94" s="16">
        <v>22.488199999999999</v>
      </c>
      <c r="AJ94" s="16">
        <v>503.91750000000002</v>
      </c>
      <c r="AK94" s="16">
        <v>24.4313</v>
      </c>
      <c r="AL94" s="16">
        <v>402.78149999999999</v>
      </c>
      <c r="AM94" s="16">
        <v>817.32119999999998</v>
      </c>
      <c r="AN94" s="16">
        <v>1617.6438000000001</v>
      </c>
      <c r="AO94" s="16">
        <v>396.04160000000002</v>
      </c>
      <c r="AP94" s="16">
        <v>0</v>
      </c>
      <c r="AQ94" s="16">
        <v>164.0402</v>
      </c>
      <c r="AR94" s="16">
        <v>30.628900000000002</v>
      </c>
      <c r="AS94" s="16">
        <v>212.4314</v>
      </c>
      <c r="AT94" s="16">
        <v>144.44630000000001</v>
      </c>
      <c r="AU94" s="16">
        <v>810.92460000000005</v>
      </c>
      <c r="AV94" s="16">
        <v>109.37860000000001</v>
      </c>
      <c r="AW94" s="16">
        <v>33.206800000000001</v>
      </c>
      <c r="AX94" s="16">
        <v>17704.1129</v>
      </c>
      <c r="AY94" s="16">
        <v>0</v>
      </c>
      <c r="AZ94" s="16">
        <v>8263.7428999999993</v>
      </c>
      <c r="BA94" s="16">
        <v>0</v>
      </c>
      <c r="BB94" s="16">
        <v>0</v>
      </c>
      <c r="BC94" s="16">
        <f t="shared" si="1"/>
        <v>31804.699999999997</v>
      </c>
    </row>
    <row r="95" spans="1:55" x14ac:dyDescent="0.2">
      <c r="A95" s="7" t="s">
        <v>23</v>
      </c>
      <c r="B95" s="7">
        <v>86.7</v>
      </c>
      <c r="C95" s="7">
        <v>28875.404900000001</v>
      </c>
      <c r="D95" s="7">
        <v>1862.0463999999999</v>
      </c>
      <c r="E95" s="7">
        <v>14884.0851</v>
      </c>
      <c r="F95" s="7">
        <v>26128.797699999999</v>
      </c>
      <c r="G95" s="7">
        <v>5168.4458999999997</v>
      </c>
      <c r="H95" s="7">
        <v>15083.0191</v>
      </c>
      <c r="I95" s="7">
        <v>1620.6025999999999</v>
      </c>
      <c r="J95" s="7">
        <v>3824.9321</v>
      </c>
      <c r="K95" s="7">
        <v>23450.095000000001</v>
      </c>
      <c r="L95" s="7">
        <v>34374.253900000003</v>
      </c>
      <c r="M95" s="7">
        <v>3492.3346000000001</v>
      </c>
      <c r="N95" s="7">
        <v>0</v>
      </c>
      <c r="O95" s="7">
        <v>26688.5085</v>
      </c>
      <c r="P95" s="7">
        <v>9623.9709999999995</v>
      </c>
      <c r="Q95" s="7">
        <v>14524.275100000001</v>
      </c>
      <c r="R95" s="7">
        <v>12878.346799999999</v>
      </c>
      <c r="S95" s="7">
        <v>13655.9414</v>
      </c>
      <c r="T95" s="7">
        <v>2367.5585999999998</v>
      </c>
      <c r="U95" s="7">
        <v>5624.6018000000004</v>
      </c>
      <c r="V95" s="7">
        <v>0</v>
      </c>
      <c r="W95" s="7">
        <v>0</v>
      </c>
      <c r="X95" s="7">
        <v>0</v>
      </c>
      <c r="Y95" s="7">
        <v>0</v>
      </c>
      <c r="Z95" s="7">
        <v>0</v>
      </c>
      <c r="AA95" s="7">
        <v>244213.9203</v>
      </c>
      <c r="AC95" s="7" t="s">
        <v>23</v>
      </c>
      <c r="AD95" s="7">
        <v>86.7</v>
      </c>
      <c r="AE95" s="7">
        <v>28875.404900000001</v>
      </c>
      <c r="AF95" s="7">
        <v>1862.0463999999999</v>
      </c>
      <c r="AG95" s="7">
        <v>14884.0851</v>
      </c>
      <c r="AH95" s="7">
        <v>26128.797699999999</v>
      </c>
      <c r="AI95" s="7">
        <v>5168.4458999999997</v>
      </c>
      <c r="AJ95" s="7">
        <v>15083.0191</v>
      </c>
      <c r="AK95" s="7">
        <v>1620.6025999999999</v>
      </c>
      <c r="AL95" s="7">
        <v>3824.9321</v>
      </c>
      <c r="AM95" s="7">
        <v>23450.095000000001</v>
      </c>
      <c r="AN95" s="7">
        <v>34374.253900000003</v>
      </c>
      <c r="AO95" s="7">
        <v>3492.3346000000001</v>
      </c>
      <c r="AP95" s="7">
        <v>0</v>
      </c>
      <c r="AQ95" s="7">
        <v>26688.5085</v>
      </c>
      <c r="AR95" s="7">
        <v>9623.9709999999995</v>
      </c>
      <c r="AS95" s="7">
        <v>14524.275100000001</v>
      </c>
      <c r="AT95" s="7">
        <v>12878.346799999999</v>
      </c>
      <c r="AU95" s="7">
        <v>13655.9414</v>
      </c>
      <c r="AV95" s="7">
        <v>2367.5585999999998</v>
      </c>
      <c r="AW95" s="7">
        <v>5624.6018000000004</v>
      </c>
      <c r="AX95" s="7">
        <v>0</v>
      </c>
      <c r="AY95" s="7">
        <v>0</v>
      </c>
      <c r="AZ95" s="7">
        <v>0</v>
      </c>
      <c r="BA95" s="7">
        <v>0</v>
      </c>
      <c r="BB95" s="7">
        <v>0</v>
      </c>
      <c r="BC95" s="7">
        <f t="shared" si="1"/>
        <v>244213.92050000001</v>
      </c>
    </row>
    <row r="96" spans="1:55" x14ac:dyDescent="0.2">
      <c r="A96" s="7" t="s">
        <v>24</v>
      </c>
      <c r="B96" s="7">
        <v>6.4</v>
      </c>
      <c r="C96" s="7">
        <v>859.5</v>
      </c>
      <c r="D96" s="7">
        <v>270.7</v>
      </c>
      <c r="E96" s="7">
        <v>1728.8</v>
      </c>
      <c r="F96" s="7">
        <v>-91.1</v>
      </c>
      <c r="G96" s="7">
        <v>-64.099999999999994</v>
      </c>
      <c r="H96" s="7">
        <v>412.4</v>
      </c>
      <c r="I96" s="7">
        <v>81.900000000000006</v>
      </c>
      <c r="J96" s="7">
        <v>-221.3</v>
      </c>
      <c r="K96" s="7">
        <v>-57.3</v>
      </c>
      <c r="L96" s="7">
        <v>-99</v>
      </c>
      <c r="M96" s="7">
        <v>1781.9</v>
      </c>
      <c r="N96" s="7">
        <v>1128.9000000000001</v>
      </c>
      <c r="O96" s="7">
        <v>-394.6</v>
      </c>
      <c r="P96" s="7">
        <v>-145.4</v>
      </c>
      <c r="Q96" s="7">
        <v>24.3</v>
      </c>
      <c r="R96" s="7">
        <v>-119.7</v>
      </c>
      <c r="S96" s="7">
        <v>-66.099999999999994</v>
      </c>
      <c r="T96" s="7">
        <v>165.7</v>
      </c>
      <c r="U96" s="7">
        <v>331.4</v>
      </c>
      <c r="V96" s="7">
        <v>0</v>
      </c>
      <c r="W96" s="7">
        <v>0</v>
      </c>
      <c r="X96" s="7">
        <v>0</v>
      </c>
      <c r="Y96" s="7">
        <v>0</v>
      </c>
      <c r="Z96" s="7">
        <v>0</v>
      </c>
      <c r="AA96" s="7">
        <v>5533.3</v>
      </c>
      <c r="AC96" s="7" t="s">
        <v>24</v>
      </c>
      <c r="AD96" s="7">
        <v>6.4</v>
      </c>
      <c r="AE96" s="7">
        <v>859.5</v>
      </c>
      <c r="AF96" s="7">
        <v>270.7</v>
      </c>
      <c r="AG96" s="7">
        <v>1728.8</v>
      </c>
      <c r="AH96" s="7">
        <v>-91.1</v>
      </c>
      <c r="AI96" s="7">
        <v>-64.099999999999994</v>
      </c>
      <c r="AJ96" s="7">
        <v>412.4</v>
      </c>
      <c r="AK96" s="7">
        <v>81.900000000000006</v>
      </c>
      <c r="AL96" s="7">
        <v>-221.3</v>
      </c>
      <c r="AM96" s="7">
        <v>-57.3</v>
      </c>
      <c r="AN96" s="7">
        <v>-99</v>
      </c>
      <c r="AO96" s="7">
        <v>1781.9</v>
      </c>
      <c r="AP96" s="7">
        <v>1128.9000000000001</v>
      </c>
      <c r="AQ96" s="7">
        <v>-394.6</v>
      </c>
      <c r="AR96" s="7">
        <v>-145.4</v>
      </c>
      <c r="AS96" s="7">
        <v>24.3</v>
      </c>
      <c r="AT96" s="7">
        <v>-119.7</v>
      </c>
      <c r="AU96" s="7">
        <v>-66.099999999999994</v>
      </c>
      <c r="AV96" s="7">
        <v>165.7</v>
      </c>
      <c r="AW96" s="7">
        <v>331.4</v>
      </c>
      <c r="AX96" s="7">
        <v>0</v>
      </c>
      <c r="AY96" s="7">
        <v>0</v>
      </c>
      <c r="AZ96" s="7">
        <v>0</v>
      </c>
      <c r="BA96" s="7">
        <v>0</v>
      </c>
      <c r="BB96" s="7">
        <v>0</v>
      </c>
      <c r="BC96" s="7">
        <f t="shared" si="1"/>
        <v>5533.2999999999984</v>
      </c>
    </row>
    <row r="97" spans="1:55" x14ac:dyDescent="0.2">
      <c r="A97" s="7" t="s">
        <v>25</v>
      </c>
      <c r="B97" s="7">
        <v>90.525199999999998</v>
      </c>
      <c r="C97" s="7">
        <v>108658.2637</v>
      </c>
      <c r="D97" s="7">
        <v>6044.2293</v>
      </c>
      <c r="E97" s="7">
        <v>4607.6813000000002</v>
      </c>
      <c r="F97" s="7">
        <v>115761.836</v>
      </c>
      <c r="G97" s="7">
        <v>2850.8198000000002</v>
      </c>
      <c r="H97" s="7">
        <v>65383.8289</v>
      </c>
      <c r="I97" s="7">
        <v>1952.9903999999999</v>
      </c>
      <c r="J97" s="7">
        <v>1227.3981000000001</v>
      </c>
      <c r="K97" s="7">
        <v>10610.683300000001</v>
      </c>
      <c r="L97" s="7">
        <v>46466.165000000001</v>
      </c>
      <c r="M97" s="7">
        <v>13428.9259</v>
      </c>
      <c r="N97" s="7">
        <v>19370.400000000001</v>
      </c>
      <c r="O97" s="7">
        <v>7362.4804999999997</v>
      </c>
      <c r="P97" s="7">
        <v>8967.1802000000007</v>
      </c>
      <c r="Q97" s="7">
        <v>672.77160000000003</v>
      </c>
      <c r="R97" s="7">
        <v>2857.6432</v>
      </c>
      <c r="S97" s="7">
        <v>1357.2032999999999</v>
      </c>
      <c r="T97" s="7">
        <v>2246.2802000000001</v>
      </c>
      <c r="U97" s="7">
        <v>296.84640000000002</v>
      </c>
      <c r="V97" s="7">
        <v>0</v>
      </c>
      <c r="W97" s="7">
        <v>0</v>
      </c>
      <c r="X97" s="7">
        <v>0</v>
      </c>
      <c r="Y97" s="7">
        <v>0</v>
      </c>
      <c r="Z97" s="7">
        <v>0</v>
      </c>
      <c r="AA97" s="7">
        <v>420214.15240000002</v>
      </c>
      <c r="AC97" s="7" t="s">
        <v>25</v>
      </c>
      <c r="AD97" s="7">
        <v>90.525199999999998</v>
      </c>
      <c r="AE97" s="7">
        <v>108658.2637</v>
      </c>
      <c r="AF97" s="7">
        <v>6044.2293</v>
      </c>
      <c r="AG97" s="7">
        <v>4607.6813000000002</v>
      </c>
      <c r="AH97" s="7">
        <v>115761.836</v>
      </c>
      <c r="AI97" s="7">
        <v>2850.8198000000002</v>
      </c>
      <c r="AJ97" s="7">
        <v>65383.8289</v>
      </c>
      <c r="AK97" s="7">
        <v>1952.9903999999999</v>
      </c>
      <c r="AL97" s="7">
        <v>1227.3981000000001</v>
      </c>
      <c r="AM97" s="7">
        <v>10610.683300000001</v>
      </c>
      <c r="AN97" s="7">
        <v>46466.165000000001</v>
      </c>
      <c r="AO97" s="7">
        <v>13428.9259</v>
      </c>
      <c r="AP97" s="7">
        <v>19370.400000000001</v>
      </c>
      <c r="AQ97" s="7">
        <v>7362.4804999999997</v>
      </c>
      <c r="AR97" s="7">
        <v>8967.1802000000007</v>
      </c>
      <c r="AS97" s="7">
        <v>672.77160000000003</v>
      </c>
      <c r="AT97" s="7">
        <v>2857.6432</v>
      </c>
      <c r="AU97" s="7">
        <v>1357.2032999999999</v>
      </c>
      <c r="AV97" s="7">
        <v>2246.2802000000001</v>
      </c>
      <c r="AW97" s="7">
        <v>296.84640000000002</v>
      </c>
      <c r="AX97" s="7">
        <v>0</v>
      </c>
      <c r="AY97" s="7">
        <v>0</v>
      </c>
      <c r="AZ97" s="7">
        <v>0</v>
      </c>
      <c r="BA97" s="7">
        <v>0</v>
      </c>
      <c r="BB97" s="7">
        <v>0</v>
      </c>
      <c r="BC97" s="7">
        <f t="shared" si="1"/>
        <v>420214.1522999999</v>
      </c>
    </row>
    <row r="98" spans="1:55" x14ac:dyDescent="0.2">
      <c r="A98" s="7" t="s">
        <v>27</v>
      </c>
      <c r="B98" s="7">
        <v>741.99860000000001</v>
      </c>
      <c r="C98" s="7">
        <v>476617.81</v>
      </c>
      <c r="D98" s="7">
        <v>23877.1011</v>
      </c>
      <c r="E98" s="7">
        <v>71085.050199999998</v>
      </c>
      <c r="F98" s="7">
        <v>316027.3591</v>
      </c>
      <c r="G98" s="7">
        <v>16798.331999999999</v>
      </c>
      <c r="H98" s="7">
        <v>320144.78480000002</v>
      </c>
      <c r="I98" s="7">
        <v>6537.4173000000001</v>
      </c>
      <c r="J98" s="7">
        <v>14810.2091</v>
      </c>
      <c r="K98" s="7">
        <v>182675.8057</v>
      </c>
      <c r="L98" s="7">
        <v>169696.6379</v>
      </c>
      <c r="M98" s="7">
        <v>38956.7094</v>
      </c>
      <c r="N98" s="7">
        <v>24745.4</v>
      </c>
      <c r="O98" s="7">
        <v>77860.909499999994</v>
      </c>
      <c r="P98" s="7">
        <v>30222.066200000001</v>
      </c>
      <c r="Q98" s="7">
        <v>47288.989800000003</v>
      </c>
      <c r="R98" s="7">
        <v>21929.160500000002</v>
      </c>
      <c r="S98" s="7">
        <v>28406.133399999999</v>
      </c>
      <c r="T98" s="7">
        <v>8630.9861000000001</v>
      </c>
      <c r="U98" s="7">
        <v>10159.1993</v>
      </c>
      <c r="V98" s="7">
        <v>198297.34210000001</v>
      </c>
      <c r="W98" s="7">
        <v>64865.605900000002</v>
      </c>
      <c r="X98" s="7">
        <v>145705.95060000001</v>
      </c>
      <c r="Y98" s="7">
        <v>10241.200000000001</v>
      </c>
      <c r="Z98" s="7">
        <v>1328797.4021999999</v>
      </c>
      <c r="AA98" s="7">
        <v>3635119.5606999998</v>
      </c>
      <c r="AC98" s="7" t="s">
        <v>27</v>
      </c>
      <c r="AD98" s="7">
        <v>741.99860000000001</v>
      </c>
      <c r="AE98" s="7">
        <v>476617.81</v>
      </c>
      <c r="AF98" s="7">
        <v>23877.1011</v>
      </c>
      <c r="AG98" s="7">
        <v>71085.050199999998</v>
      </c>
      <c r="AH98" s="7">
        <v>316027.3591</v>
      </c>
      <c r="AI98" s="7">
        <v>16798.331999999999</v>
      </c>
      <c r="AJ98" s="7">
        <v>320144.78480000002</v>
      </c>
      <c r="AK98" s="7">
        <v>6537.4173000000001</v>
      </c>
      <c r="AL98" s="7">
        <v>14810.2091</v>
      </c>
      <c r="AM98" s="7">
        <v>182675.8057</v>
      </c>
      <c r="AN98" s="7">
        <v>169696.6379</v>
      </c>
      <c r="AO98" s="7">
        <v>38956.7094</v>
      </c>
      <c r="AP98" s="7">
        <v>24745.4</v>
      </c>
      <c r="AQ98" s="7">
        <v>77860.909499999994</v>
      </c>
      <c r="AR98" s="7">
        <v>30222.066200000001</v>
      </c>
      <c r="AS98" s="7">
        <v>47288.989800000003</v>
      </c>
      <c r="AT98" s="7">
        <v>21929.160500000002</v>
      </c>
      <c r="AU98" s="7">
        <v>28406.133399999999</v>
      </c>
      <c r="AV98" s="7">
        <v>8630.9861000000001</v>
      </c>
      <c r="AW98" s="7">
        <v>10159.1993</v>
      </c>
      <c r="AX98" s="7">
        <v>198297.34210000001</v>
      </c>
      <c r="AY98" s="7">
        <v>64865.605900000002</v>
      </c>
      <c r="AZ98" s="7">
        <v>145705.95060000001</v>
      </c>
      <c r="BA98" s="7">
        <v>10241.200000000001</v>
      </c>
      <c r="BB98" s="7">
        <v>1328797.4021999999</v>
      </c>
      <c r="BC98" s="7">
        <f t="shared" si="1"/>
        <v>3635119.5608000006</v>
      </c>
    </row>
  </sheetData>
  <mergeCells count="8">
    <mergeCell ref="BA2:BU2"/>
    <mergeCell ref="Z5:Z10"/>
    <mergeCell ref="AC71:BC71"/>
    <mergeCell ref="A2:X2"/>
    <mergeCell ref="A29:AA29"/>
    <mergeCell ref="A71:AA71"/>
    <mergeCell ref="J59:S67"/>
    <mergeCell ref="AB2:AW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6D516-E44E-BD47-80CD-FF9EAEC6C926}">
  <dimension ref="A2:BY130"/>
  <sheetViews>
    <sheetView tabSelected="1" topLeftCell="F7" zoomScale="83" workbookViewId="0">
      <selection activeCell="AE106" sqref="AE106"/>
    </sheetView>
  </sheetViews>
  <sheetFormatPr baseColWidth="10" defaultRowHeight="16" x14ac:dyDescent="0.2"/>
  <cols>
    <col min="1" max="1" width="34" bestFit="1" customWidth="1"/>
    <col min="28" max="28" width="21.6640625" customWidth="1"/>
    <col min="29" max="29" width="34" bestFit="1" customWidth="1"/>
    <col min="50" max="50" width="16.6640625" customWidth="1"/>
    <col min="53" max="53" width="21.83203125" customWidth="1"/>
    <col min="57" max="57" width="36" customWidth="1"/>
  </cols>
  <sheetData>
    <row r="2" spans="1:73" ht="19" customHeight="1" x14ac:dyDescent="0.2">
      <c r="A2" s="23" t="s">
        <v>55</v>
      </c>
      <c r="B2" s="23"/>
      <c r="C2" s="23"/>
      <c r="D2" s="23"/>
      <c r="E2" s="23"/>
      <c r="F2" s="23"/>
      <c r="G2" s="23"/>
      <c r="H2" s="23"/>
      <c r="I2" s="23"/>
      <c r="J2" s="23"/>
      <c r="K2" s="23"/>
      <c r="L2" s="23"/>
      <c r="M2" s="23"/>
      <c r="N2" s="23"/>
      <c r="O2" s="23"/>
      <c r="P2" s="23"/>
      <c r="Q2" s="23"/>
      <c r="R2" s="23"/>
      <c r="S2" s="23"/>
      <c r="T2" s="23"/>
      <c r="U2" s="23"/>
      <c r="V2" s="23"/>
      <c r="W2" s="23"/>
      <c r="X2" s="23"/>
      <c r="AB2" s="22" t="s">
        <v>78</v>
      </c>
      <c r="AC2" s="23"/>
      <c r="AD2" s="23"/>
      <c r="AE2" s="23"/>
      <c r="AF2" s="23"/>
      <c r="AG2" s="23"/>
      <c r="AH2" s="23"/>
      <c r="AI2" s="23"/>
      <c r="AJ2" s="23"/>
      <c r="AK2" s="23"/>
      <c r="AL2" s="23"/>
      <c r="AM2" s="23"/>
      <c r="AN2" s="23"/>
      <c r="AO2" s="23"/>
      <c r="AP2" s="23"/>
      <c r="AQ2" s="23"/>
      <c r="AR2" s="23"/>
      <c r="AS2" s="23"/>
      <c r="AT2" s="23"/>
      <c r="AU2" s="23"/>
      <c r="AV2" s="23"/>
      <c r="AW2" s="23"/>
      <c r="BA2" s="31" t="s">
        <v>98</v>
      </c>
      <c r="BB2" s="32"/>
      <c r="BC2" s="32"/>
      <c r="BD2" s="32"/>
      <c r="BE2" s="32"/>
      <c r="BF2" s="32"/>
      <c r="BG2" s="32"/>
      <c r="BH2" s="32"/>
      <c r="BI2" s="32"/>
      <c r="BJ2" s="32"/>
      <c r="BK2" s="32"/>
      <c r="BL2" s="32"/>
      <c r="BM2" s="32"/>
      <c r="BN2" s="32"/>
      <c r="BO2" s="32"/>
      <c r="BP2" s="32"/>
      <c r="BQ2" s="32"/>
      <c r="BR2" s="32"/>
      <c r="BS2" s="32"/>
      <c r="BT2" s="32"/>
      <c r="BU2" s="33"/>
    </row>
    <row r="3" spans="1:73" ht="102" x14ac:dyDescent="0.2">
      <c r="A3" s="8" t="s">
        <v>74</v>
      </c>
      <c r="B3" s="13" t="s">
        <v>1</v>
      </c>
      <c r="C3" s="13" t="s">
        <v>2</v>
      </c>
      <c r="D3" s="13" t="s">
        <v>3</v>
      </c>
      <c r="E3" s="13" t="s">
        <v>4</v>
      </c>
      <c r="F3" s="13" t="s">
        <v>5</v>
      </c>
      <c r="G3" s="13" t="s">
        <v>6</v>
      </c>
      <c r="H3" s="13" t="s">
        <v>7</v>
      </c>
      <c r="I3" s="13" t="s">
        <v>8</v>
      </c>
      <c r="J3" s="13" t="s">
        <v>9</v>
      </c>
      <c r="K3" s="13" t="s">
        <v>10</v>
      </c>
      <c r="L3" s="13" t="s">
        <v>11</v>
      </c>
      <c r="M3" s="13" t="s">
        <v>12</v>
      </c>
      <c r="N3" s="13" t="s">
        <v>13</v>
      </c>
      <c r="O3" s="13" t="s">
        <v>14</v>
      </c>
      <c r="P3" s="13" t="s">
        <v>15</v>
      </c>
      <c r="Q3" s="13" t="s">
        <v>16</v>
      </c>
      <c r="R3" s="13" t="s">
        <v>17</v>
      </c>
      <c r="S3" s="13" t="s">
        <v>18</v>
      </c>
      <c r="T3" s="13" t="s">
        <v>19</v>
      </c>
      <c r="U3" s="13" t="s">
        <v>20</v>
      </c>
      <c r="V3" s="13" t="s">
        <v>21</v>
      </c>
      <c r="W3" s="13" t="s">
        <v>57</v>
      </c>
      <c r="X3" s="8" t="s">
        <v>49</v>
      </c>
      <c r="AB3" s="8" t="s">
        <v>77</v>
      </c>
      <c r="AC3" s="3" t="s">
        <v>1</v>
      </c>
      <c r="AD3" s="3" t="s">
        <v>2</v>
      </c>
      <c r="AE3" s="3" t="s">
        <v>3</v>
      </c>
      <c r="AF3" s="3" t="s">
        <v>4</v>
      </c>
      <c r="AG3" s="3" t="s">
        <v>5</v>
      </c>
      <c r="AH3" s="3" t="s">
        <v>6</v>
      </c>
      <c r="AI3" s="3" t="s">
        <v>7</v>
      </c>
      <c r="AJ3" s="3" t="s">
        <v>8</v>
      </c>
      <c r="AK3" s="3" t="s">
        <v>9</v>
      </c>
      <c r="AL3" s="3" t="s">
        <v>10</v>
      </c>
      <c r="AM3" s="3" t="s">
        <v>11</v>
      </c>
      <c r="AN3" s="3" t="s">
        <v>12</v>
      </c>
      <c r="AO3" s="3" t="s">
        <v>13</v>
      </c>
      <c r="AP3" s="3" t="s">
        <v>14</v>
      </c>
      <c r="AQ3" s="3" t="s">
        <v>15</v>
      </c>
      <c r="AR3" s="3" t="s">
        <v>16</v>
      </c>
      <c r="AS3" s="3" t="s">
        <v>17</v>
      </c>
      <c r="AT3" s="3" t="s">
        <v>18</v>
      </c>
      <c r="AU3" s="3" t="s">
        <v>19</v>
      </c>
      <c r="AV3" s="3" t="s">
        <v>20</v>
      </c>
      <c r="AW3" s="3" t="s">
        <v>49</v>
      </c>
      <c r="BA3" s="8" t="s">
        <v>77</v>
      </c>
      <c r="BB3" s="3" t="s">
        <v>1</v>
      </c>
      <c r="BC3" s="3" t="s">
        <v>2</v>
      </c>
      <c r="BD3" s="3" t="s">
        <v>3</v>
      </c>
      <c r="BE3" s="3" t="s">
        <v>4</v>
      </c>
      <c r="BF3" s="3" t="s">
        <v>5</v>
      </c>
      <c r="BG3" s="3" t="s">
        <v>6</v>
      </c>
      <c r="BH3" s="3" t="s">
        <v>7</v>
      </c>
      <c r="BI3" s="3" t="s">
        <v>8</v>
      </c>
      <c r="BJ3" s="3" t="s">
        <v>9</v>
      </c>
      <c r="BK3" s="3" t="s">
        <v>10</v>
      </c>
      <c r="BL3" s="3" t="s">
        <v>11</v>
      </c>
      <c r="BM3" s="3" t="s">
        <v>12</v>
      </c>
      <c r="BN3" s="3" t="s">
        <v>13</v>
      </c>
      <c r="BO3" s="3" t="s">
        <v>14</v>
      </c>
      <c r="BP3" s="3" t="s">
        <v>15</v>
      </c>
      <c r="BQ3" s="3" t="s">
        <v>16</v>
      </c>
      <c r="BR3" s="3" t="s">
        <v>17</v>
      </c>
      <c r="BS3" s="3" t="s">
        <v>18</v>
      </c>
      <c r="BT3" s="3" t="s">
        <v>19</v>
      </c>
      <c r="BU3" s="3" t="s">
        <v>20</v>
      </c>
    </row>
    <row r="4" spans="1:73" ht="17" x14ac:dyDescent="0.2">
      <c r="A4" s="3" t="s">
        <v>1</v>
      </c>
      <c r="B4" s="19">
        <v>674.30219999999997</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3">
        <v>4716.8773000000001</v>
      </c>
      <c r="W4" s="3">
        <v>8389.0831999999991</v>
      </c>
      <c r="X4" s="1">
        <v>13780.2628</v>
      </c>
      <c r="AB4" s="8" t="s">
        <v>1</v>
      </c>
      <c r="AC4" s="3">
        <v>674.30219999999997</v>
      </c>
      <c r="AD4" s="3">
        <v>0</v>
      </c>
      <c r="AE4" s="3">
        <v>0</v>
      </c>
      <c r="AF4" s="3">
        <v>0</v>
      </c>
      <c r="AG4" s="3">
        <v>19.755099999999999</v>
      </c>
      <c r="AH4" s="3">
        <v>0</v>
      </c>
      <c r="AI4" s="3">
        <v>0</v>
      </c>
      <c r="AJ4" s="3">
        <v>0</v>
      </c>
      <c r="AK4" s="3">
        <v>0</v>
      </c>
      <c r="AL4" s="3">
        <v>0</v>
      </c>
      <c r="AM4" s="3">
        <v>0</v>
      </c>
      <c r="AN4" s="3">
        <v>2.2086000000000001</v>
      </c>
      <c r="AO4" s="3">
        <v>0</v>
      </c>
      <c r="AP4" s="3">
        <v>33.186399999999999</v>
      </c>
      <c r="AQ4" s="3">
        <v>12.5463</v>
      </c>
      <c r="AR4" s="3">
        <v>0</v>
      </c>
      <c r="AS4" s="3">
        <v>0</v>
      </c>
      <c r="AT4" s="3">
        <v>0</v>
      </c>
      <c r="AU4" s="3">
        <v>0</v>
      </c>
      <c r="AV4" s="3">
        <v>0</v>
      </c>
      <c r="AW4" s="3">
        <v>741.99860000000001</v>
      </c>
      <c r="BA4" s="8" t="s">
        <v>1</v>
      </c>
      <c r="BB4" s="3">
        <v>1</v>
      </c>
      <c r="BC4" s="3">
        <v>0</v>
      </c>
      <c r="BD4" s="3">
        <v>0</v>
      </c>
      <c r="BE4" s="3">
        <v>0</v>
      </c>
      <c r="BF4" s="3">
        <v>6.6850607497294384E-5</v>
      </c>
      <c r="BG4" s="3">
        <v>0</v>
      </c>
      <c r="BH4" s="3">
        <v>0</v>
      </c>
      <c r="BI4" s="3">
        <v>0</v>
      </c>
      <c r="BJ4" s="3">
        <v>0</v>
      </c>
      <c r="BK4" s="3">
        <v>0</v>
      </c>
      <c r="BL4" s="3">
        <v>0</v>
      </c>
      <c r="BM4" s="3">
        <v>5.1202598961019836E-5</v>
      </c>
      <c r="BN4" s="3">
        <v>0</v>
      </c>
      <c r="BO4" s="3">
        <v>3.1955138815129111E-4</v>
      </c>
      <c r="BP4" s="3">
        <v>2.7960557123845198E-4</v>
      </c>
      <c r="BQ4" s="3">
        <v>0</v>
      </c>
      <c r="BR4" s="3">
        <v>0</v>
      </c>
      <c r="BS4" s="3">
        <v>0</v>
      </c>
      <c r="BT4" s="3">
        <v>0</v>
      </c>
      <c r="BU4" s="3">
        <v>0</v>
      </c>
    </row>
    <row r="5" spans="1:73" ht="17" x14ac:dyDescent="0.2">
      <c r="A5" s="3" t="s">
        <v>2</v>
      </c>
      <c r="B5" s="19">
        <v>0</v>
      </c>
      <c r="C5" s="19">
        <v>457858.86099999998</v>
      </c>
      <c r="D5" s="19">
        <v>6.4428999999999998</v>
      </c>
      <c r="E5" s="19">
        <v>0</v>
      </c>
      <c r="F5" s="19">
        <v>856.12620000000004</v>
      </c>
      <c r="G5" s="19">
        <v>0</v>
      </c>
      <c r="H5" s="19">
        <v>738.42960000000005</v>
      </c>
      <c r="I5" s="19">
        <v>0</v>
      </c>
      <c r="J5" s="19">
        <v>0</v>
      </c>
      <c r="K5" s="19">
        <v>21.9863</v>
      </c>
      <c r="L5" s="19">
        <v>0</v>
      </c>
      <c r="M5" s="19">
        <v>0.1991</v>
      </c>
      <c r="N5" s="19">
        <v>0</v>
      </c>
      <c r="O5" s="19">
        <v>3293.8038999999999</v>
      </c>
      <c r="P5" s="19">
        <v>147.34790000000001</v>
      </c>
      <c r="Q5" s="19">
        <v>4.1288999999999998</v>
      </c>
      <c r="R5" s="19">
        <v>0.25850000000000001</v>
      </c>
      <c r="S5" s="19">
        <v>0</v>
      </c>
      <c r="T5" s="19">
        <v>0</v>
      </c>
      <c r="U5" s="19">
        <v>0</v>
      </c>
      <c r="V5" s="3">
        <v>666036.99560000002</v>
      </c>
      <c r="W5" s="3">
        <v>300014.42219999997</v>
      </c>
      <c r="X5" s="1">
        <v>1428979.0020000001</v>
      </c>
      <c r="Z5" s="34" t="s">
        <v>80</v>
      </c>
      <c r="AB5" s="8" t="s">
        <v>2</v>
      </c>
      <c r="AC5" s="3">
        <v>0</v>
      </c>
      <c r="AD5" s="3">
        <v>457858.86099999998</v>
      </c>
      <c r="AE5" s="3">
        <v>489.56880000000001</v>
      </c>
      <c r="AF5" s="3">
        <v>246.27680000000001</v>
      </c>
      <c r="AG5" s="3">
        <v>10619.0069</v>
      </c>
      <c r="AH5" s="3">
        <v>0</v>
      </c>
      <c r="AI5" s="3">
        <v>313.34230000000002</v>
      </c>
      <c r="AJ5" s="3">
        <v>0</v>
      </c>
      <c r="AK5" s="3">
        <v>0</v>
      </c>
      <c r="AL5" s="3">
        <v>657.1961</v>
      </c>
      <c r="AM5" s="3">
        <v>55.698</v>
      </c>
      <c r="AN5" s="3">
        <v>296.43520000000001</v>
      </c>
      <c r="AO5" s="3">
        <v>0</v>
      </c>
      <c r="AP5" s="3">
        <v>4059.9173999999998</v>
      </c>
      <c r="AQ5" s="3">
        <v>1897.0784000000001</v>
      </c>
      <c r="AR5" s="3">
        <v>0</v>
      </c>
      <c r="AS5" s="3">
        <v>44.935499999999998</v>
      </c>
      <c r="AT5" s="3">
        <v>0</v>
      </c>
      <c r="AU5" s="3">
        <v>0</v>
      </c>
      <c r="AV5" s="3">
        <v>79.493700000000004</v>
      </c>
      <c r="AW5" s="3">
        <v>476617.81009999994</v>
      </c>
      <c r="BA5" s="8" t="s">
        <v>2</v>
      </c>
      <c r="BB5" s="3">
        <v>0</v>
      </c>
      <c r="BC5" s="3">
        <v>0.98905072095095714</v>
      </c>
      <c r="BD5" s="3">
        <v>2.025030064988622E-2</v>
      </c>
      <c r="BE5" s="3">
        <v>3.3695127402086564E-3</v>
      </c>
      <c r="BF5" s="3">
        <v>3.5934369468287222E-2</v>
      </c>
      <c r="BG5" s="3">
        <v>0</v>
      </c>
      <c r="BH5" s="3">
        <v>9.5919461647141658E-4</v>
      </c>
      <c r="BI5" s="3">
        <v>0</v>
      </c>
      <c r="BJ5" s="3">
        <v>0</v>
      </c>
      <c r="BK5" s="3">
        <v>3.6503880629380186E-3</v>
      </c>
      <c r="BL5" s="3">
        <v>3.5205721506077401E-4</v>
      </c>
      <c r="BM5" s="3">
        <v>6.8723411498368683E-3</v>
      </c>
      <c r="BN5" s="3">
        <v>0</v>
      </c>
      <c r="BO5" s="3">
        <v>3.9092888681796778E-2</v>
      </c>
      <c r="BP5" s="3">
        <v>4.2278097105611104E-2</v>
      </c>
      <c r="BQ5" s="3">
        <v>0</v>
      </c>
      <c r="BR5" s="3">
        <v>2.1899074291325989E-3</v>
      </c>
      <c r="BS5" s="3">
        <v>0</v>
      </c>
      <c r="BT5" s="3">
        <v>0</v>
      </c>
      <c r="BU5" s="3">
        <v>7.4378435415721252E-3</v>
      </c>
    </row>
    <row r="6" spans="1:73" ht="17" x14ac:dyDescent="0.2">
      <c r="A6" s="3" t="s">
        <v>3</v>
      </c>
      <c r="B6" s="19">
        <v>0</v>
      </c>
      <c r="C6" s="19">
        <v>489.56880000000001</v>
      </c>
      <c r="D6" s="19">
        <v>23455.824799999999</v>
      </c>
      <c r="E6" s="19">
        <v>0</v>
      </c>
      <c r="F6" s="19">
        <v>0</v>
      </c>
      <c r="G6" s="19">
        <v>0</v>
      </c>
      <c r="H6" s="19">
        <v>0</v>
      </c>
      <c r="I6" s="19">
        <v>0</v>
      </c>
      <c r="J6" s="19">
        <v>0</v>
      </c>
      <c r="K6" s="19">
        <v>0</v>
      </c>
      <c r="L6" s="19">
        <v>0</v>
      </c>
      <c r="M6" s="19">
        <v>0</v>
      </c>
      <c r="N6" s="19">
        <v>0</v>
      </c>
      <c r="O6" s="19">
        <v>0</v>
      </c>
      <c r="P6" s="19">
        <v>0</v>
      </c>
      <c r="Q6" s="19">
        <v>230.4845</v>
      </c>
      <c r="R6" s="19">
        <v>0</v>
      </c>
      <c r="S6" s="19">
        <v>0</v>
      </c>
      <c r="T6" s="19">
        <v>0</v>
      </c>
      <c r="U6" s="19">
        <v>0</v>
      </c>
      <c r="V6" s="3">
        <v>10887.836499999999</v>
      </c>
      <c r="W6" s="3">
        <v>4004.7804000000001</v>
      </c>
      <c r="X6" s="1">
        <v>39068.495000000003</v>
      </c>
      <c r="Z6" s="34"/>
      <c r="AB6" s="8" t="s">
        <v>3</v>
      </c>
      <c r="AC6" s="3">
        <v>0</v>
      </c>
      <c r="AD6" s="3">
        <v>6.4428999999999998</v>
      </c>
      <c r="AE6" s="3">
        <v>23455.824799999999</v>
      </c>
      <c r="AF6" s="3">
        <v>33.706099999999999</v>
      </c>
      <c r="AG6" s="3">
        <v>0.40989999999999999</v>
      </c>
      <c r="AH6" s="3">
        <v>0</v>
      </c>
      <c r="AI6" s="3">
        <v>44.896500000000003</v>
      </c>
      <c r="AJ6" s="3">
        <v>0</v>
      </c>
      <c r="AK6" s="3">
        <v>0</v>
      </c>
      <c r="AL6" s="3">
        <v>29.166399999999999</v>
      </c>
      <c r="AM6" s="3">
        <v>0</v>
      </c>
      <c r="AN6" s="3">
        <v>33.636299999999999</v>
      </c>
      <c r="AO6" s="3">
        <v>0</v>
      </c>
      <c r="AP6" s="3">
        <v>251.1609</v>
      </c>
      <c r="AQ6" s="3">
        <v>21.857299999999999</v>
      </c>
      <c r="AR6" s="3">
        <v>0</v>
      </c>
      <c r="AS6" s="3">
        <v>0</v>
      </c>
      <c r="AT6" s="3">
        <v>0</v>
      </c>
      <c r="AU6" s="3">
        <v>0</v>
      </c>
      <c r="AV6" s="3">
        <v>0</v>
      </c>
      <c r="AW6" s="3">
        <v>23877.101099999989</v>
      </c>
      <c r="BA6" s="8" t="s">
        <v>3</v>
      </c>
      <c r="BB6" s="3">
        <v>0</v>
      </c>
      <c r="BC6" s="3">
        <v>1.3917727563680202E-5</v>
      </c>
      <c r="BD6" s="3">
        <v>0.97021604356947844</v>
      </c>
      <c r="BE6" s="3">
        <v>4.6116050465470963E-4</v>
      </c>
      <c r="BF6" s="3">
        <v>1.3870880943726414E-6</v>
      </c>
      <c r="BG6" s="3">
        <v>0</v>
      </c>
      <c r="BH6" s="3">
        <v>1.3743590028671187E-4</v>
      </c>
      <c r="BI6" s="3">
        <v>0</v>
      </c>
      <c r="BJ6" s="3">
        <v>0</v>
      </c>
      <c r="BK6" s="3">
        <v>1.6200442820472522E-4</v>
      </c>
      <c r="BL6" s="3">
        <v>0</v>
      </c>
      <c r="BM6" s="3">
        <v>7.7979986391041897E-4</v>
      </c>
      <c r="BN6" s="3">
        <v>0</v>
      </c>
      <c r="BO6" s="3">
        <v>2.418424844042367E-3</v>
      </c>
      <c r="BP6" s="3">
        <v>4.8710957431515397E-4</v>
      </c>
      <c r="BQ6" s="3">
        <v>0</v>
      </c>
      <c r="BR6" s="3">
        <v>0</v>
      </c>
      <c r="BS6" s="3">
        <v>0</v>
      </c>
      <c r="BT6" s="3">
        <v>0</v>
      </c>
      <c r="BU6" s="3">
        <v>0</v>
      </c>
    </row>
    <row r="7" spans="1:73" ht="17" x14ac:dyDescent="0.2">
      <c r="A7" s="3" t="s">
        <v>4</v>
      </c>
      <c r="B7" s="19">
        <v>0</v>
      </c>
      <c r="C7" s="19">
        <v>246.27680000000001</v>
      </c>
      <c r="D7" s="19">
        <v>33.706099999999999</v>
      </c>
      <c r="E7" s="19">
        <v>69866.753500000006</v>
      </c>
      <c r="F7" s="19">
        <v>72.208600000000004</v>
      </c>
      <c r="G7" s="19">
        <v>0</v>
      </c>
      <c r="H7" s="19">
        <v>3.3999999999999998E-3</v>
      </c>
      <c r="I7" s="19">
        <v>0</v>
      </c>
      <c r="J7" s="19">
        <v>0</v>
      </c>
      <c r="K7" s="19">
        <v>7.9268000000000001</v>
      </c>
      <c r="L7" s="19">
        <v>0</v>
      </c>
      <c r="M7" s="19">
        <v>0</v>
      </c>
      <c r="N7" s="19">
        <v>0</v>
      </c>
      <c r="O7" s="19">
        <v>2750.3438000000001</v>
      </c>
      <c r="P7" s="19">
        <v>27.5961</v>
      </c>
      <c r="Q7" s="19">
        <v>80.843699999999998</v>
      </c>
      <c r="R7" s="19">
        <v>0</v>
      </c>
      <c r="S7" s="19">
        <v>0</v>
      </c>
      <c r="T7" s="19">
        <v>2.3561999999999999</v>
      </c>
      <c r="U7" s="19">
        <v>1.722</v>
      </c>
      <c r="V7" s="3">
        <v>258.8777</v>
      </c>
      <c r="W7" s="3">
        <v>0</v>
      </c>
      <c r="X7" s="1">
        <v>73348.614700000006</v>
      </c>
      <c r="Z7" s="34"/>
      <c r="AB7" s="8" t="s">
        <v>4</v>
      </c>
      <c r="AC7" s="3">
        <v>0</v>
      </c>
      <c r="AD7" s="3">
        <v>0</v>
      </c>
      <c r="AE7" s="3">
        <v>0</v>
      </c>
      <c r="AF7" s="3">
        <v>69866.753500000006</v>
      </c>
      <c r="AG7" s="3">
        <v>250.66669999999999</v>
      </c>
      <c r="AH7" s="3">
        <v>0</v>
      </c>
      <c r="AI7" s="3">
        <v>75.816199999999995</v>
      </c>
      <c r="AJ7" s="3">
        <v>0</v>
      </c>
      <c r="AK7" s="3">
        <v>0</v>
      </c>
      <c r="AL7" s="3">
        <v>23.265899999999998</v>
      </c>
      <c r="AM7" s="3">
        <v>0</v>
      </c>
      <c r="AN7" s="3">
        <v>181.72329999999999</v>
      </c>
      <c r="AO7" s="3">
        <v>0</v>
      </c>
      <c r="AP7" s="3">
        <v>150.08349999999999</v>
      </c>
      <c r="AQ7" s="3">
        <v>536.74099999999999</v>
      </c>
      <c r="AR7" s="3">
        <v>0</v>
      </c>
      <c r="AS7" s="3">
        <v>0</v>
      </c>
      <c r="AT7" s="3">
        <v>0</v>
      </c>
      <c r="AU7" s="3">
        <v>0</v>
      </c>
      <c r="AV7" s="3">
        <v>0</v>
      </c>
      <c r="AW7" s="3">
        <v>71085.050099999993</v>
      </c>
      <c r="BA7" s="8" t="s">
        <v>4</v>
      </c>
      <c r="BB7" s="3">
        <v>0</v>
      </c>
      <c r="BC7" s="3">
        <v>0</v>
      </c>
      <c r="BD7" s="3">
        <v>0</v>
      </c>
      <c r="BE7" s="3">
        <v>0.95590374747141327</v>
      </c>
      <c r="BF7" s="3">
        <v>8.4824785368548081E-4</v>
      </c>
      <c r="BG7" s="3">
        <v>0</v>
      </c>
      <c r="BH7" s="3">
        <v>2.3208641438235501E-4</v>
      </c>
      <c r="BI7" s="3">
        <v>0</v>
      </c>
      <c r="BJ7" s="3">
        <v>0</v>
      </c>
      <c r="BK7" s="3">
        <v>1.2923016985875242E-4</v>
      </c>
      <c r="BL7" s="3">
        <v>0</v>
      </c>
      <c r="BM7" s="3">
        <v>4.2129427020615303E-3</v>
      </c>
      <c r="BN7" s="3">
        <v>0</v>
      </c>
      <c r="BO7" s="3">
        <v>1.4451519527156997E-3</v>
      </c>
      <c r="BP7" s="3">
        <v>1.1961755570335315E-2</v>
      </c>
      <c r="BQ7" s="3">
        <v>0</v>
      </c>
      <c r="BR7" s="3">
        <v>0</v>
      </c>
      <c r="BS7" s="3">
        <v>0</v>
      </c>
      <c r="BT7" s="3">
        <v>0</v>
      </c>
      <c r="BU7" s="3">
        <v>0</v>
      </c>
    </row>
    <row r="8" spans="1:73" ht="17" customHeight="1" x14ac:dyDescent="0.2">
      <c r="A8" s="3" t="s">
        <v>5</v>
      </c>
      <c r="B8" s="19">
        <v>19.755099999999999</v>
      </c>
      <c r="C8" s="19">
        <v>10619.0069</v>
      </c>
      <c r="D8" s="19">
        <v>0.40989999999999999</v>
      </c>
      <c r="E8" s="19">
        <v>250.66669999999999</v>
      </c>
      <c r="F8" s="19">
        <v>277602.951</v>
      </c>
      <c r="G8" s="19">
        <v>567.47360000000003</v>
      </c>
      <c r="H8" s="19">
        <v>1186.6819</v>
      </c>
      <c r="I8" s="19">
        <v>4.1223999999999998</v>
      </c>
      <c r="J8" s="19">
        <v>42.736199999999997</v>
      </c>
      <c r="K8" s="19">
        <v>4027.3130000000001</v>
      </c>
      <c r="L8" s="19">
        <v>227.33090000000001</v>
      </c>
      <c r="M8" s="19">
        <v>7.5800000000000006E-2</v>
      </c>
      <c r="N8" s="19">
        <v>0</v>
      </c>
      <c r="O8" s="19">
        <v>778.75609999999995</v>
      </c>
      <c r="P8" s="19">
        <v>22.222000000000001</v>
      </c>
      <c r="Q8" s="19">
        <v>0</v>
      </c>
      <c r="R8" s="19">
        <v>29.610800000000001</v>
      </c>
      <c r="S8" s="19">
        <v>11.742100000000001</v>
      </c>
      <c r="T8" s="19">
        <v>37.412799999999997</v>
      </c>
      <c r="U8" s="19">
        <v>82.884299999999996</v>
      </c>
      <c r="V8" s="3">
        <v>4150.8056999999999</v>
      </c>
      <c r="W8" s="3">
        <v>-283451.62040000001</v>
      </c>
      <c r="X8" s="1">
        <v>16210.3369</v>
      </c>
      <c r="Z8" s="34"/>
      <c r="AB8" s="8" t="s">
        <v>5</v>
      </c>
      <c r="AC8" s="3">
        <v>0</v>
      </c>
      <c r="AD8" s="3">
        <v>856.12620000000004</v>
      </c>
      <c r="AE8" s="3">
        <v>0</v>
      </c>
      <c r="AF8" s="3">
        <v>72.208600000000004</v>
      </c>
      <c r="AG8" s="3">
        <v>277602.951</v>
      </c>
      <c r="AH8" s="3">
        <v>1058.0962999999999</v>
      </c>
      <c r="AI8" s="3">
        <v>12204.891900000001</v>
      </c>
      <c r="AJ8" s="3">
        <v>0</v>
      </c>
      <c r="AK8" s="3">
        <v>65.3279</v>
      </c>
      <c r="AL8" s="3">
        <v>16685.9787</v>
      </c>
      <c r="AM8" s="3">
        <v>286.75560000000002</v>
      </c>
      <c r="AN8" s="3">
        <v>498.71969999999999</v>
      </c>
      <c r="AO8" s="3">
        <v>0</v>
      </c>
      <c r="AP8" s="3">
        <v>4166.3449000000001</v>
      </c>
      <c r="AQ8" s="3">
        <v>1964.7645</v>
      </c>
      <c r="AR8" s="3">
        <v>0</v>
      </c>
      <c r="AS8" s="3">
        <v>0</v>
      </c>
      <c r="AT8" s="3">
        <v>0.79020000000000001</v>
      </c>
      <c r="AU8" s="3">
        <v>25.0015</v>
      </c>
      <c r="AV8" s="3">
        <v>539.40200000000004</v>
      </c>
      <c r="AW8" s="3">
        <v>316027.35899999994</v>
      </c>
      <c r="BA8" s="8" t="s">
        <v>5</v>
      </c>
      <c r="BB8" s="3">
        <v>0</v>
      </c>
      <c r="BC8" s="3">
        <v>1.849373917293267E-3</v>
      </c>
      <c r="BD8" s="3">
        <v>0</v>
      </c>
      <c r="BE8" s="3">
        <v>9.8794444971118185E-4</v>
      </c>
      <c r="BF8" s="3">
        <v>0.93939923955796967</v>
      </c>
      <c r="BG8" s="3">
        <v>6.1483272249625312E-2</v>
      </c>
      <c r="BH8" s="3">
        <v>3.7361271060739637E-2</v>
      </c>
      <c r="BI8" s="3">
        <v>0</v>
      </c>
      <c r="BJ8" s="3">
        <v>3.9108440649833279E-3</v>
      </c>
      <c r="BK8" s="3">
        <v>9.26820738359799E-2</v>
      </c>
      <c r="BL8" s="3">
        <v>1.8125314722087203E-3</v>
      </c>
      <c r="BM8" s="3">
        <v>1.1561959971502365E-2</v>
      </c>
      <c r="BN8" s="3">
        <v>0</v>
      </c>
      <c r="BO8" s="3">
        <v>4.0117677612276477E-2</v>
      </c>
      <c r="BP8" s="3">
        <v>4.3786542675651907E-2</v>
      </c>
      <c r="BQ8" s="3">
        <v>0</v>
      </c>
      <c r="BR8" s="3">
        <v>0</v>
      </c>
      <c r="BS8" s="3">
        <v>2.8433167833609763E-5</v>
      </c>
      <c r="BT8" s="3">
        <v>2.9166088435047194E-3</v>
      </c>
      <c r="BU8" s="3">
        <v>5.0469253312037152E-2</v>
      </c>
    </row>
    <row r="9" spans="1:73" ht="17" x14ac:dyDescent="0.2">
      <c r="A9" s="3" t="s">
        <v>6</v>
      </c>
      <c r="B9" s="19">
        <v>0</v>
      </c>
      <c r="C9" s="19">
        <v>0</v>
      </c>
      <c r="D9" s="19">
        <v>0</v>
      </c>
      <c r="E9" s="19">
        <v>0</v>
      </c>
      <c r="F9" s="19">
        <v>1058.0962999999999</v>
      </c>
      <c r="G9" s="19">
        <v>15194.4375</v>
      </c>
      <c r="H9" s="19">
        <v>34.421900000000001</v>
      </c>
      <c r="I9" s="19">
        <v>20.292899999999999</v>
      </c>
      <c r="J9" s="19">
        <v>79.088700000000003</v>
      </c>
      <c r="K9" s="19">
        <v>141.0412</v>
      </c>
      <c r="L9" s="19">
        <v>8.2849000000000004</v>
      </c>
      <c r="M9" s="19">
        <v>123.5159</v>
      </c>
      <c r="N9" s="19">
        <v>0</v>
      </c>
      <c r="O9" s="19">
        <v>69.88</v>
      </c>
      <c r="P9" s="19">
        <v>398.39440000000002</v>
      </c>
      <c r="Q9" s="19">
        <v>73.006900000000002</v>
      </c>
      <c r="R9" s="19">
        <v>0.14369999999999999</v>
      </c>
      <c r="S9" s="19">
        <v>0.99070000000000003</v>
      </c>
      <c r="T9" s="19">
        <v>0.68430000000000002</v>
      </c>
      <c r="U9" s="19">
        <v>7.2195</v>
      </c>
      <c r="V9" s="3">
        <v>0</v>
      </c>
      <c r="W9" s="3">
        <v>-16245.4663</v>
      </c>
      <c r="X9" s="1">
        <v>964.03269999999998</v>
      </c>
      <c r="Z9" s="34"/>
      <c r="AB9" s="8" t="s">
        <v>6</v>
      </c>
      <c r="AC9" s="3">
        <v>0</v>
      </c>
      <c r="AD9" s="3">
        <v>0</v>
      </c>
      <c r="AE9" s="3">
        <v>0</v>
      </c>
      <c r="AF9" s="3">
        <v>0</v>
      </c>
      <c r="AG9" s="3">
        <v>567.47360000000003</v>
      </c>
      <c r="AH9" s="3">
        <v>15194.4375</v>
      </c>
      <c r="AI9" s="3">
        <v>26.3675</v>
      </c>
      <c r="AJ9" s="3">
        <v>0</v>
      </c>
      <c r="AK9" s="3">
        <v>9.4038000000000004</v>
      </c>
      <c r="AL9" s="3">
        <v>129.13669999999999</v>
      </c>
      <c r="AM9" s="3">
        <v>2.7323</v>
      </c>
      <c r="AN9" s="3">
        <v>241.3897</v>
      </c>
      <c r="AO9" s="3">
        <v>0</v>
      </c>
      <c r="AP9" s="3">
        <v>335.43150000000003</v>
      </c>
      <c r="AQ9" s="3">
        <v>40.605200000000004</v>
      </c>
      <c r="AR9" s="3">
        <v>0</v>
      </c>
      <c r="AS9" s="3">
        <v>0</v>
      </c>
      <c r="AT9" s="3">
        <v>0</v>
      </c>
      <c r="AU9" s="3">
        <v>0</v>
      </c>
      <c r="AV9" s="3">
        <v>251.35419999999999</v>
      </c>
      <c r="AW9" s="3">
        <v>16798.332000000002</v>
      </c>
      <c r="AY9" t="s">
        <v>79</v>
      </c>
      <c r="BA9" s="8" t="s">
        <v>6</v>
      </c>
      <c r="BB9" s="3">
        <v>0</v>
      </c>
      <c r="BC9" s="3">
        <v>0</v>
      </c>
      <c r="BD9" s="3">
        <v>0</v>
      </c>
      <c r="BE9" s="3">
        <v>0</v>
      </c>
      <c r="BF9" s="3">
        <v>1.9203119649445783E-3</v>
      </c>
      <c r="BG9" s="3">
        <v>0.88290993692390407</v>
      </c>
      <c r="BH9" s="3">
        <v>8.0715447770090648E-5</v>
      </c>
      <c r="BI9" s="3">
        <v>0</v>
      </c>
      <c r="BJ9" s="3">
        <v>5.6295695129171801E-4</v>
      </c>
      <c r="BK9" s="3">
        <v>7.1728829213564712E-4</v>
      </c>
      <c r="BL9" s="3">
        <v>1.7270385448499997E-5</v>
      </c>
      <c r="BM9" s="3">
        <v>5.5962057422896359E-3</v>
      </c>
      <c r="BN9" s="3">
        <v>0</v>
      </c>
      <c r="BO9" s="3">
        <v>3.2298652898376987E-3</v>
      </c>
      <c r="BP9" s="3">
        <v>9.0492337511868771E-4</v>
      </c>
      <c r="BQ9" s="3">
        <v>0</v>
      </c>
      <c r="BR9" s="3">
        <v>0</v>
      </c>
      <c r="BS9" s="3">
        <v>0</v>
      </c>
      <c r="BT9" s="3">
        <v>0</v>
      </c>
      <c r="BU9" s="3">
        <v>2.3518004736438589E-2</v>
      </c>
    </row>
    <row r="10" spans="1:73" ht="17" x14ac:dyDescent="0.2">
      <c r="A10" s="3" t="s">
        <v>7</v>
      </c>
      <c r="B10" s="19">
        <v>0</v>
      </c>
      <c r="C10" s="19">
        <v>313.34230000000002</v>
      </c>
      <c r="D10" s="19">
        <v>44.896500000000003</v>
      </c>
      <c r="E10" s="19">
        <v>75.816199999999995</v>
      </c>
      <c r="F10" s="19">
        <v>12204.891900000001</v>
      </c>
      <c r="G10" s="19">
        <v>26.3675</v>
      </c>
      <c r="H10" s="19">
        <v>312170.69569999998</v>
      </c>
      <c r="I10" s="19">
        <v>22.47</v>
      </c>
      <c r="J10" s="19">
        <v>1.3115000000000001</v>
      </c>
      <c r="K10" s="19">
        <v>145.87520000000001</v>
      </c>
      <c r="L10" s="19">
        <v>3.0137</v>
      </c>
      <c r="M10" s="19">
        <v>540.40980000000002</v>
      </c>
      <c r="N10" s="19">
        <v>0</v>
      </c>
      <c r="O10" s="19">
        <v>36.2438</v>
      </c>
      <c r="P10" s="19">
        <v>195.70330000000001</v>
      </c>
      <c r="Q10" s="19">
        <v>844.94060000000002</v>
      </c>
      <c r="R10" s="19">
        <v>5.5673000000000004</v>
      </c>
      <c r="S10" s="19">
        <v>7.7359999999999998</v>
      </c>
      <c r="T10" s="19">
        <v>21.873200000000001</v>
      </c>
      <c r="U10" s="19">
        <v>11.1335</v>
      </c>
      <c r="V10" s="3">
        <v>152860.90789999999</v>
      </c>
      <c r="W10" s="3">
        <v>1468.6797999999999</v>
      </c>
      <c r="X10" s="1">
        <v>481001.87579999998</v>
      </c>
      <c r="Z10" s="34"/>
      <c r="AB10" s="8" t="s">
        <v>7</v>
      </c>
      <c r="AC10" s="3">
        <v>0</v>
      </c>
      <c r="AD10" s="3">
        <v>738.42960000000005</v>
      </c>
      <c r="AE10" s="3">
        <v>0</v>
      </c>
      <c r="AF10" s="3">
        <v>3.3999999999999998E-3</v>
      </c>
      <c r="AG10" s="3">
        <v>1186.6819</v>
      </c>
      <c r="AH10" s="3">
        <v>34.421900000000001</v>
      </c>
      <c r="AI10" s="3">
        <v>312170.69569999998</v>
      </c>
      <c r="AJ10" s="3">
        <v>0</v>
      </c>
      <c r="AK10" s="3">
        <v>16.428000000000001</v>
      </c>
      <c r="AL10" s="3">
        <v>219.17250000000001</v>
      </c>
      <c r="AM10" s="3">
        <v>0.32190000000000002</v>
      </c>
      <c r="AN10" s="3">
        <v>932.00609999999995</v>
      </c>
      <c r="AO10" s="3">
        <v>0</v>
      </c>
      <c r="AP10" s="3">
        <v>523.94669999999996</v>
      </c>
      <c r="AQ10" s="3">
        <v>4244.8496999999998</v>
      </c>
      <c r="AR10" s="3">
        <v>0</v>
      </c>
      <c r="AS10" s="3">
        <v>31.531400000000001</v>
      </c>
      <c r="AT10" s="3">
        <v>0.1021</v>
      </c>
      <c r="AU10" s="3">
        <v>0.58520000000000005</v>
      </c>
      <c r="AV10" s="3">
        <v>45.608499999999999</v>
      </c>
      <c r="AW10" s="3">
        <v>320144.7845999999</v>
      </c>
      <c r="BA10" s="8" t="s">
        <v>7</v>
      </c>
      <c r="BB10" s="3">
        <v>0</v>
      </c>
      <c r="BC10" s="3">
        <v>1.595129832491168E-3</v>
      </c>
      <c r="BD10" s="3">
        <v>0</v>
      </c>
      <c r="BE10" s="3">
        <v>4.6518158903759635E-8</v>
      </c>
      <c r="BF10" s="3">
        <v>4.0156924501036978E-3</v>
      </c>
      <c r="BG10" s="3">
        <v>2.0001686510475254E-3</v>
      </c>
      <c r="BH10" s="3">
        <v>0.955608134412675</v>
      </c>
      <c r="BI10" s="3">
        <v>0</v>
      </c>
      <c r="BJ10" s="3">
        <v>9.8345953718925782E-4</v>
      </c>
      <c r="BK10" s="3">
        <v>1.217391091828273E-3</v>
      </c>
      <c r="BL10" s="3">
        <v>2.0346730138975038E-6</v>
      </c>
      <c r="BM10" s="3">
        <v>2.1606961227711739E-2</v>
      </c>
      <c r="BN10" s="3">
        <v>0</v>
      </c>
      <c r="BO10" s="3">
        <v>5.0450755521023087E-3</v>
      </c>
      <c r="BP10" s="3">
        <v>9.4600290539033141E-2</v>
      </c>
      <c r="BQ10" s="3">
        <v>0</v>
      </c>
      <c r="BR10" s="3">
        <v>1.5366658234792455E-3</v>
      </c>
      <c r="BS10" s="3">
        <v>3.6737869347147007E-6</v>
      </c>
      <c r="BT10" s="3">
        <v>6.8267883735734333E-5</v>
      </c>
      <c r="BU10" s="3">
        <v>4.2673681960431111E-3</v>
      </c>
    </row>
    <row r="11" spans="1:73" ht="17" x14ac:dyDescent="0.2">
      <c r="A11" s="3" t="s">
        <v>8</v>
      </c>
      <c r="B11" s="19">
        <v>0</v>
      </c>
      <c r="C11" s="19">
        <v>0</v>
      </c>
      <c r="D11" s="19">
        <v>0</v>
      </c>
      <c r="E11" s="19">
        <v>0</v>
      </c>
      <c r="F11" s="19">
        <v>0</v>
      </c>
      <c r="G11" s="19">
        <v>0</v>
      </c>
      <c r="H11" s="19">
        <v>0</v>
      </c>
      <c r="I11" s="19">
        <v>4326.5306</v>
      </c>
      <c r="J11" s="19">
        <v>0</v>
      </c>
      <c r="K11" s="19">
        <v>0</v>
      </c>
      <c r="L11" s="19">
        <v>0</v>
      </c>
      <c r="M11" s="19">
        <v>209.43180000000001</v>
      </c>
      <c r="N11" s="19">
        <v>0</v>
      </c>
      <c r="O11" s="19">
        <v>0</v>
      </c>
      <c r="P11" s="19">
        <v>2.0000000000000001E-4</v>
      </c>
      <c r="Q11" s="19">
        <v>0</v>
      </c>
      <c r="R11" s="19">
        <v>0</v>
      </c>
      <c r="S11" s="19">
        <v>0</v>
      </c>
      <c r="T11" s="19">
        <v>1.3906000000000001</v>
      </c>
      <c r="U11" s="19">
        <v>0</v>
      </c>
      <c r="V11" s="3">
        <v>6907.3042999999998</v>
      </c>
      <c r="W11" s="3">
        <v>296.00799999999998</v>
      </c>
      <c r="X11" s="1">
        <v>11740.665300000001</v>
      </c>
      <c r="AB11" s="8" t="s">
        <v>8</v>
      </c>
      <c r="AC11" s="3">
        <v>0</v>
      </c>
      <c r="AD11" s="3">
        <v>0</v>
      </c>
      <c r="AE11" s="3">
        <v>0</v>
      </c>
      <c r="AF11" s="3">
        <v>0</v>
      </c>
      <c r="AG11" s="3">
        <v>4.1223999999999998</v>
      </c>
      <c r="AH11" s="3">
        <v>20.292899999999999</v>
      </c>
      <c r="AI11" s="3">
        <v>22.47</v>
      </c>
      <c r="AJ11" s="3">
        <v>4326.5306</v>
      </c>
      <c r="AK11" s="3">
        <v>1854.1054999999999</v>
      </c>
      <c r="AL11" s="3">
        <v>4.5258000000000003</v>
      </c>
      <c r="AM11" s="3">
        <v>1E-4</v>
      </c>
      <c r="AN11" s="3">
        <v>189.37540000000001</v>
      </c>
      <c r="AO11" s="3">
        <v>0</v>
      </c>
      <c r="AP11" s="3">
        <v>6.3011999999999997</v>
      </c>
      <c r="AQ11" s="3">
        <v>3.7605</v>
      </c>
      <c r="AR11" s="3">
        <v>0</v>
      </c>
      <c r="AS11" s="3">
        <v>0</v>
      </c>
      <c r="AT11" s="3">
        <v>2.0552000000000001</v>
      </c>
      <c r="AU11" s="3">
        <v>74.0608</v>
      </c>
      <c r="AV11" s="3">
        <v>29.816700000000001</v>
      </c>
      <c r="AW11" s="3">
        <v>6537.4171000000006</v>
      </c>
      <c r="BA11" s="8" t="s">
        <v>8</v>
      </c>
      <c r="BB11" s="3">
        <v>0</v>
      </c>
      <c r="BC11" s="3">
        <v>0</v>
      </c>
      <c r="BD11" s="3">
        <v>0</v>
      </c>
      <c r="BE11" s="3">
        <v>0</v>
      </c>
      <c r="BF11" s="3">
        <v>1.3950065772729391E-5</v>
      </c>
      <c r="BG11" s="3">
        <v>1.1791685647463482E-3</v>
      </c>
      <c r="BH11" s="3">
        <v>6.8784530630281099E-5</v>
      </c>
      <c r="BI11" s="3">
        <v>0.95353621578324554</v>
      </c>
      <c r="BJ11" s="3">
        <v>0.11099572296871545</v>
      </c>
      <c r="BK11" s="3">
        <v>2.5138503249250695E-5</v>
      </c>
      <c r="BL11" s="3">
        <v>6.3208232802034906E-10</v>
      </c>
      <c r="BM11" s="3">
        <v>4.3903435023466067E-3</v>
      </c>
      <c r="BN11" s="3">
        <v>0</v>
      </c>
      <c r="BO11" s="3">
        <v>6.0674167942859586E-5</v>
      </c>
      <c r="BP11" s="3">
        <v>8.380612217484029E-5</v>
      </c>
      <c r="BQ11" s="3">
        <v>0</v>
      </c>
      <c r="BR11" s="3">
        <v>0</v>
      </c>
      <c r="BS11" s="3">
        <v>7.3950704292121973E-5</v>
      </c>
      <c r="BT11" s="3">
        <v>8.6397369852622575E-3</v>
      </c>
      <c r="BU11" s="3">
        <v>2.7898053496817183E-3</v>
      </c>
    </row>
    <row r="12" spans="1:73" ht="17" x14ac:dyDescent="0.2">
      <c r="A12" s="3" t="s">
        <v>9</v>
      </c>
      <c r="B12" s="19">
        <v>0</v>
      </c>
      <c r="C12" s="19">
        <v>0</v>
      </c>
      <c r="D12" s="19">
        <v>0</v>
      </c>
      <c r="E12" s="19">
        <v>0</v>
      </c>
      <c r="F12" s="19">
        <v>65.3279</v>
      </c>
      <c r="G12" s="19">
        <v>9.4038000000000004</v>
      </c>
      <c r="H12" s="19">
        <v>16.428000000000001</v>
      </c>
      <c r="I12" s="19">
        <v>1854.1054999999999</v>
      </c>
      <c r="J12" s="19">
        <v>14336.384899999999</v>
      </c>
      <c r="K12" s="19">
        <v>14.2348</v>
      </c>
      <c r="L12" s="19">
        <v>0</v>
      </c>
      <c r="M12" s="19">
        <v>159.9067</v>
      </c>
      <c r="N12" s="19">
        <v>0</v>
      </c>
      <c r="O12" s="19">
        <v>0.7036</v>
      </c>
      <c r="P12" s="19">
        <v>6.3475000000000001</v>
      </c>
      <c r="Q12" s="19">
        <v>0</v>
      </c>
      <c r="R12" s="19">
        <v>0.6038</v>
      </c>
      <c r="S12" s="19">
        <v>1.7653000000000001</v>
      </c>
      <c r="T12" s="19">
        <v>232.00970000000001</v>
      </c>
      <c r="U12" s="19">
        <v>7.0753000000000004</v>
      </c>
      <c r="V12" s="3">
        <v>4675.1660000000002</v>
      </c>
      <c r="W12" s="3">
        <v>1052.4367999999999</v>
      </c>
      <c r="X12" s="1">
        <v>22431.8995</v>
      </c>
      <c r="AB12" s="8" t="s">
        <v>9</v>
      </c>
      <c r="AC12" s="3">
        <v>0</v>
      </c>
      <c r="AD12" s="3">
        <v>0</v>
      </c>
      <c r="AE12" s="3">
        <v>0</v>
      </c>
      <c r="AF12" s="3">
        <v>0</v>
      </c>
      <c r="AG12" s="3">
        <v>42.736199999999997</v>
      </c>
      <c r="AH12" s="3">
        <v>79.088700000000003</v>
      </c>
      <c r="AI12" s="3">
        <v>1.3115000000000001</v>
      </c>
      <c r="AJ12" s="3">
        <v>0</v>
      </c>
      <c r="AK12" s="3">
        <v>14336.384899999999</v>
      </c>
      <c r="AL12" s="3">
        <v>6.3670999999999998</v>
      </c>
      <c r="AM12" s="3">
        <v>0</v>
      </c>
      <c r="AN12" s="3">
        <v>214.90710000000001</v>
      </c>
      <c r="AO12" s="3">
        <v>0</v>
      </c>
      <c r="AP12" s="3">
        <v>15.2882</v>
      </c>
      <c r="AQ12" s="3">
        <v>108.5031</v>
      </c>
      <c r="AR12" s="3">
        <v>0</v>
      </c>
      <c r="AS12" s="3">
        <v>0</v>
      </c>
      <c r="AT12" s="3">
        <v>0</v>
      </c>
      <c r="AU12" s="3">
        <v>0.48039999999999999</v>
      </c>
      <c r="AV12" s="3">
        <v>5.1420000000000003</v>
      </c>
      <c r="AW12" s="3">
        <v>14810.209199999999</v>
      </c>
      <c r="BA12" s="8" t="s">
        <v>9</v>
      </c>
      <c r="BB12" s="3">
        <v>0</v>
      </c>
      <c r="BC12" s="3">
        <v>0</v>
      </c>
      <c r="BD12" s="3">
        <v>0</v>
      </c>
      <c r="BE12" s="3">
        <v>0</v>
      </c>
      <c r="BF12" s="3">
        <v>1.4461789270243494E-4</v>
      </c>
      <c r="BG12" s="3">
        <v>4.5956422623998801E-3</v>
      </c>
      <c r="BH12" s="3">
        <v>4.0147268322925531E-6</v>
      </c>
      <c r="BI12" s="3">
        <v>0</v>
      </c>
      <c r="BJ12" s="3">
        <v>0.85824534080357096</v>
      </c>
      <c r="BK12" s="3">
        <v>3.536598259717709E-5</v>
      </c>
      <c r="BL12" s="3">
        <v>0</v>
      </c>
      <c r="BM12" s="3">
        <v>4.9822521303883845E-3</v>
      </c>
      <c r="BN12" s="3">
        <v>0</v>
      </c>
      <c r="BO12" s="3">
        <v>1.4720986706405541E-4</v>
      </c>
      <c r="BP12" s="3">
        <v>2.4180890985105474E-3</v>
      </c>
      <c r="BQ12" s="3">
        <v>0</v>
      </c>
      <c r="BR12" s="3">
        <v>0</v>
      </c>
      <c r="BS12" s="3">
        <v>0</v>
      </c>
      <c r="BT12" s="3">
        <v>5.6042193005206377E-5</v>
      </c>
      <c r="BU12" s="3">
        <v>4.8111223267710362E-4</v>
      </c>
    </row>
    <row r="13" spans="1:73" ht="17" x14ac:dyDescent="0.2">
      <c r="A13" s="3" t="s">
        <v>10</v>
      </c>
      <c r="B13" s="19">
        <v>0</v>
      </c>
      <c r="C13" s="19">
        <v>657.1961</v>
      </c>
      <c r="D13" s="19">
        <v>29.166399999999999</v>
      </c>
      <c r="E13" s="19">
        <v>23.265899999999998</v>
      </c>
      <c r="F13" s="19">
        <v>16685.9787</v>
      </c>
      <c r="G13" s="19">
        <v>129.13669999999999</v>
      </c>
      <c r="H13" s="19">
        <v>219.17250000000001</v>
      </c>
      <c r="I13" s="19">
        <v>4.5258000000000003</v>
      </c>
      <c r="J13" s="19">
        <v>6.3670999999999998</v>
      </c>
      <c r="K13" s="19">
        <v>157716.88829999999</v>
      </c>
      <c r="L13" s="19">
        <v>1939.3444999999999</v>
      </c>
      <c r="M13" s="19">
        <v>4.9812000000000003</v>
      </c>
      <c r="N13" s="19">
        <v>0</v>
      </c>
      <c r="O13" s="19">
        <v>1359.3189</v>
      </c>
      <c r="P13" s="19">
        <v>92.015100000000004</v>
      </c>
      <c r="Q13" s="19">
        <v>947.25139999999999</v>
      </c>
      <c r="R13" s="19">
        <v>149.76689999999999</v>
      </c>
      <c r="S13" s="19">
        <v>52.686900000000001</v>
      </c>
      <c r="T13" s="19">
        <v>3.2195</v>
      </c>
      <c r="U13" s="19">
        <v>14.303100000000001</v>
      </c>
      <c r="V13" s="3">
        <v>60770.049500000001</v>
      </c>
      <c r="W13" s="3">
        <v>881.16179999999997</v>
      </c>
      <c r="X13" s="1">
        <v>241685.7965</v>
      </c>
      <c r="AB13" s="8" t="s">
        <v>10</v>
      </c>
      <c r="AC13" s="3">
        <v>0</v>
      </c>
      <c r="AD13" s="3">
        <v>21.9863</v>
      </c>
      <c r="AE13" s="3">
        <v>0</v>
      </c>
      <c r="AF13" s="3">
        <v>7.9268000000000001</v>
      </c>
      <c r="AG13" s="3">
        <v>4027.3130000000001</v>
      </c>
      <c r="AH13" s="3">
        <v>141.0412</v>
      </c>
      <c r="AI13" s="3">
        <v>145.87520000000001</v>
      </c>
      <c r="AJ13" s="3">
        <v>0</v>
      </c>
      <c r="AK13" s="3">
        <v>14.2348</v>
      </c>
      <c r="AL13" s="3">
        <v>157716.88829999999</v>
      </c>
      <c r="AM13" s="3">
        <v>50.090800000000002</v>
      </c>
      <c r="AN13" s="3">
        <v>344.30259999999998</v>
      </c>
      <c r="AO13" s="3">
        <v>0</v>
      </c>
      <c r="AP13" s="3">
        <v>15407.920700000001</v>
      </c>
      <c r="AQ13" s="3">
        <v>4391.5145000000002</v>
      </c>
      <c r="AR13" s="3">
        <v>0</v>
      </c>
      <c r="AS13" s="3">
        <v>4.0297999999999998</v>
      </c>
      <c r="AT13" s="3">
        <v>0</v>
      </c>
      <c r="AU13" s="3">
        <v>344.66430000000003</v>
      </c>
      <c r="AV13" s="3">
        <v>58.017200000000003</v>
      </c>
      <c r="AW13" s="3">
        <v>182675.80549999996</v>
      </c>
      <c r="BA13" s="8" t="s">
        <v>10</v>
      </c>
      <c r="BB13" s="3">
        <v>0</v>
      </c>
      <c r="BC13" s="3">
        <v>4.7494037395170188E-5</v>
      </c>
      <c r="BD13" s="3">
        <v>0</v>
      </c>
      <c r="BE13" s="3">
        <v>1.0845298294068292E-4</v>
      </c>
      <c r="BF13" s="3">
        <v>1.3628294497712043E-2</v>
      </c>
      <c r="BG13" s="3">
        <v>8.1955437307680359E-3</v>
      </c>
      <c r="BH13" s="3">
        <v>4.4654905040491242E-4</v>
      </c>
      <c r="BI13" s="3">
        <v>0</v>
      </c>
      <c r="BJ13" s="3">
        <v>8.5216397735461691E-4</v>
      </c>
      <c r="BK13" s="3">
        <v>0.87603661429830271</v>
      </c>
      <c r="BL13" s="3">
        <v>3.1661509476401702E-4</v>
      </c>
      <c r="BM13" s="3">
        <v>7.9820646332683272E-3</v>
      </c>
      <c r="BN13" s="3">
        <v>0</v>
      </c>
      <c r="BO13" s="3">
        <v>0.14836265603409871</v>
      </c>
      <c r="BP13" s="3">
        <v>9.7868847419115196E-2</v>
      </c>
      <c r="BQ13" s="3">
        <v>0</v>
      </c>
      <c r="BR13" s="3">
        <v>1.9639013603762163E-4</v>
      </c>
      <c r="BS13" s="3">
        <v>0</v>
      </c>
      <c r="BT13" s="3">
        <v>4.0207625359292995E-2</v>
      </c>
      <c r="BU13" s="3">
        <v>5.4283906312084899E-3</v>
      </c>
    </row>
    <row r="14" spans="1:73" ht="17" x14ac:dyDescent="0.2">
      <c r="A14" s="3" t="s">
        <v>11</v>
      </c>
      <c r="B14" s="19">
        <v>0</v>
      </c>
      <c r="C14" s="19">
        <v>55.698</v>
      </c>
      <c r="D14" s="19">
        <v>0</v>
      </c>
      <c r="E14" s="19">
        <v>0</v>
      </c>
      <c r="F14" s="19">
        <v>286.75560000000002</v>
      </c>
      <c r="G14" s="19">
        <v>2.7323</v>
      </c>
      <c r="H14" s="19">
        <v>0.32190000000000002</v>
      </c>
      <c r="I14" s="19">
        <v>1E-4</v>
      </c>
      <c r="J14" s="19">
        <v>0</v>
      </c>
      <c r="K14" s="19">
        <v>50.090800000000002</v>
      </c>
      <c r="L14" s="19">
        <v>157620.5074</v>
      </c>
      <c r="M14" s="19">
        <v>2.2000000000000001E-3</v>
      </c>
      <c r="N14" s="19">
        <v>0</v>
      </c>
      <c r="O14" s="19">
        <v>108.9843</v>
      </c>
      <c r="P14" s="19">
        <v>81.879300000000001</v>
      </c>
      <c r="Q14" s="19">
        <v>0</v>
      </c>
      <c r="R14" s="19">
        <v>0</v>
      </c>
      <c r="S14" s="19">
        <v>0</v>
      </c>
      <c r="T14" s="19">
        <v>6.9999999999999999E-4</v>
      </c>
      <c r="U14" s="19">
        <v>0.26650000000000001</v>
      </c>
      <c r="V14" s="3">
        <v>31808.4686</v>
      </c>
      <c r="W14" s="3">
        <v>1150.4643000000001</v>
      </c>
      <c r="X14" s="1">
        <v>191166.1722</v>
      </c>
      <c r="AB14" s="8" t="s">
        <v>11</v>
      </c>
      <c r="AC14" s="3">
        <v>0</v>
      </c>
      <c r="AD14" s="3">
        <v>0</v>
      </c>
      <c r="AE14" s="3">
        <v>0</v>
      </c>
      <c r="AF14" s="3">
        <v>0</v>
      </c>
      <c r="AG14" s="3">
        <v>227.33090000000001</v>
      </c>
      <c r="AH14" s="3">
        <v>8.2849000000000004</v>
      </c>
      <c r="AI14" s="3">
        <v>3.0137</v>
      </c>
      <c r="AJ14" s="3">
        <v>0</v>
      </c>
      <c r="AK14" s="3">
        <v>0</v>
      </c>
      <c r="AL14" s="3">
        <v>1939.3444999999999</v>
      </c>
      <c r="AM14" s="3">
        <v>157620.5074</v>
      </c>
      <c r="AN14" s="3">
        <v>2298.1925000000001</v>
      </c>
      <c r="AO14" s="3">
        <v>0</v>
      </c>
      <c r="AP14" s="3">
        <v>5350.4839000000002</v>
      </c>
      <c r="AQ14" s="3">
        <v>2067.3083000000001</v>
      </c>
      <c r="AR14" s="3">
        <v>0</v>
      </c>
      <c r="AS14" s="3">
        <v>0</v>
      </c>
      <c r="AT14" s="3">
        <v>0</v>
      </c>
      <c r="AU14" s="3">
        <v>171.57550000000001</v>
      </c>
      <c r="AV14" s="3">
        <v>10.5961</v>
      </c>
      <c r="AW14" s="3">
        <v>169696.63769999999</v>
      </c>
      <c r="BA14" s="8" t="s">
        <v>11</v>
      </c>
      <c r="BB14" s="3">
        <v>0</v>
      </c>
      <c r="BC14" s="3">
        <v>0</v>
      </c>
      <c r="BD14" s="3">
        <v>0</v>
      </c>
      <c r="BE14" s="3">
        <v>0</v>
      </c>
      <c r="BF14" s="3">
        <v>7.692802753672055E-4</v>
      </c>
      <c r="BG14" s="3">
        <v>4.8141436867411857E-4</v>
      </c>
      <c r="BH14" s="3">
        <v>9.2254534917880794E-6</v>
      </c>
      <c r="BI14" s="3">
        <v>0</v>
      </c>
      <c r="BJ14" s="3">
        <v>0</v>
      </c>
      <c r="BK14" s="3">
        <v>1.0772066378246157E-2</v>
      </c>
      <c r="BL14" s="3">
        <v>0.99629137261140666</v>
      </c>
      <c r="BM14" s="3">
        <v>5.3279647248358049E-2</v>
      </c>
      <c r="BN14" s="3">
        <v>0</v>
      </c>
      <c r="BO14" s="3">
        <v>5.1519735720841488E-2</v>
      </c>
      <c r="BP14" s="3">
        <v>4.6071823417859696E-2</v>
      </c>
      <c r="BQ14" s="3">
        <v>0</v>
      </c>
      <c r="BR14" s="3">
        <v>0</v>
      </c>
      <c r="BS14" s="3">
        <v>0</v>
      </c>
      <c r="BT14" s="3">
        <v>2.001554389251621E-2</v>
      </c>
      <c r="BU14" s="3">
        <v>9.9142616271292441E-4</v>
      </c>
    </row>
    <row r="15" spans="1:73" ht="17" x14ac:dyDescent="0.2">
      <c r="A15" s="3" t="s">
        <v>12</v>
      </c>
      <c r="B15" s="19">
        <v>2.2086000000000001</v>
      </c>
      <c r="C15" s="19">
        <v>296.43520000000001</v>
      </c>
      <c r="D15" s="19">
        <v>33.636299999999999</v>
      </c>
      <c r="E15" s="19">
        <v>181.72329999999999</v>
      </c>
      <c r="F15" s="19">
        <v>498.71969999999999</v>
      </c>
      <c r="G15" s="19">
        <v>241.3897</v>
      </c>
      <c r="H15" s="19">
        <v>932.00609999999995</v>
      </c>
      <c r="I15" s="19">
        <v>189.37540000000001</v>
      </c>
      <c r="J15" s="19">
        <v>214.90710000000001</v>
      </c>
      <c r="K15" s="19">
        <v>344.30259999999998</v>
      </c>
      <c r="L15" s="19">
        <v>2298.1925000000001</v>
      </c>
      <c r="M15" s="19">
        <v>35618.881699999998</v>
      </c>
      <c r="N15" s="19">
        <v>0</v>
      </c>
      <c r="O15" s="19">
        <v>145.85480000000001</v>
      </c>
      <c r="P15" s="19">
        <v>74.057400000000001</v>
      </c>
      <c r="Q15" s="19">
        <v>1239.0632000000001</v>
      </c>
      <c r="R15" s="19">
        <v>161.48089999999999</v>
      </c>
      <c r="S15" s="19">
        <v>220.49299999999999</v>
      </c>
      <c r="T15" s="19">
        <v>265.17509999999999</v>
      </c>
      <c r="U15" s="19">
        <v>176.6266</v>
      </c>
      <c r="V15" s="3">
        <v>72.072400000000002</v>
      </c>
      <c r="W15" s="3">
        <v>7854.8402999999998</v>
      </c>
      <c r="X15" s="1">
        <v>51061.441800000001</v>
      </c>
      <c r="AB15" s="8" t="s">
        <v>12</v>
      </c>
      <c r="AC15" s="3">
        <v>0</v>
      </c>
      <c r="AD15" s="3">
        <v>0.1991</v>
      </c>
      <c r="AE15" s="3">
        <v>0</v>
      </c>
      <c r="AF15" s="3">
        <v>0</v>
      </c>
      <c r="AG15" s="3">
        <v>7.5800000000000006E-2</v>
      </c>
      <c r="AH15" s="3">
        <v>123.5159</v>
      </c>
      <c r="AI15" s="3">
        <v>540.40980000000002</v>
      </c>
      <c r="AJ15" s="3">
        <v>209.43180000000001</v>
      </c>
      <c r="AK15" s="3">
        <v>159.9067</v>
      </c>
      <c r="AL15" s="3">
        <v>4.9812000000000003</v>
      </c>
      <c r="AM15" s="3">
        <v>2.2000000000000001E-3</v>
      </c>
      <c r="AN15" s="3">
        <v>35618.881699999998</v>
      </c>
      <c r="AO15" s="3">
        <v>0</v>
      </c>
      <c r="AP15" s="3">
        <v>1991.1886</v>
      </c>
      <c r="AQ15" s="3">
        <v>304.34589999999997</v>
      </c>
      <c r="AR15" s="3">
        <v>0</v>
      </c>
      <c r="AS15" s="3">
        <v>0.32979999999999998</v>
      </c>
      <c r="AT15" s="3">
        <v>0</v>
      </c>
      <c r="AU15" s="3">
        <v>3.2808999999999999</v>
      </c>
      <c r="AV15" s="3">
        <v>0.15989999999999999</v>
      </c>
      <c r="AW15" s="3">
        <v>38956.709299999995</v>
      </c>
      <c r="BA15" s="8" t="s">
        <v>12</v>
      </c>
      <c r="BB15" s="3">
        <v>0</v>
      </c>
      <c r="BC15" s="3">
        <v>4.3008886649315187E-7</v>
      </c>
      <c r="BD15" s="3">
        <v>0</v>
      </c>
      <c r="BE15" s="3">
        <v>0</v>
      </c>
      <c r="BF15" s="3">
        <v>2.565047024968193E-7</v>
      </c>
      <c r="BG15" s="3">
        <v>7.1771933299998262E-3</v>
      </c>
      <c r="BH15" s="3">
        <v>1.6542872470406802E-3</v>
      </c>
      <c r="BI15" s="3">
        <v>4.6157261903261131E-2</v>
      </c>
      <c r="BJ15" s="3">
        <v>9.5727884815839711E-3</v>
      </c>
      <c r="BK15" s="3">
        <v>2.7668017231244765E-5</v>
      </c>
      <c r="BL15" s="3">
        <v>1.3905811216447681E-8</v>
      </c>
      <c r="BM15" s="3">
        <v>0.82576261664634087</v>
      </c>
      <c r="BN15" s="3">
        <v>0</v>
      </c>
      <c r="BO15" s="3">
        <v>1.917312758241406E-2</v>
      </c>
      <c r="BP15" s="3">
        <v>6.782621906345359E-3</v>
      </c>
      <c r="BQ15" s="3">
        <v>0</v>
      </c>
      <c r="BR15" s="3">
        <v>1.6072625655170882E-5</v>
      </c>
      <c r="BS15" s="3">
        <v>0</v>
      </c>
      <c r="BT15" s="3">
        <v>3.8274111371936219E-4</v>
      </c>
      <c r="BU15" s="3">
        <v>1.4961074680098961E-5</v>
      </c>
    </row>
    <row r="16" spans="1:73" ht="17" x14ac:dyDescent="0.2">
      <c r="A16" s="3" t="s">
        <v>13</v>
      </c>
      <c r="B16" s="19">
        <v>0</v>
      </c>
      <c r="C16" s="19">
        <v>0</v>
      </c>
      <c r="D16" s="19">
        <v>0</v>
      </c>
      <c r="E16" s="19">
        <v>0</v>
      </c>
      <c r="F16" s="19">
        <v>0</v>
      </c>
      <c r="G16" s="19">
        <v>0</v>
      </c>
      <c r="H16" s="19">
        <v>0</v>
      </c>
      <c r="I16" s="19">
        <v>0</v>
      </c>
      <c r="J16" s="19">
        <v>0</v>
      </c>
      <c r="K16" s="19">
        <v>0</v>
      </c>
      <c r="L16" s="19">
        <v>0</v>
      </c>
      <c r="M16" s="19">
        <v>0</v>
      </c>
      <c r="N16" s="19">
        <v>24745.4</v>
      </c>
      <c r="O16" s="19">
        <v>0</v>
      </c>
      <c r="P16" s="19">
        <v>0</v>
      </c>
      <c r="Q16" s="19">
        <v>0</v>
      </c>
      <c r="R16" s="19">
        <v>0</v>
      </c>
      <c r="S16" s="19">
        <v>0</v>
      </c>
      <c r="T16" s="19">
        <v>0</v>
      </c>
      <c r="U16" s="19">
        <v>0</v>
      </c>
      <c r="V16" s="3">
        <v>653.39149999999995</v>
      </c>
      <c r="W16" s="3">
        <v>0</v>
      </c>
      <c r="X16" s="1">
        <v>25398.791499999999</v>
      </c>
      <c r="AB16" s="8" t="s">
        <v>13</v>
      </c>
      <c r="AC16" s="3">
        <v>0</v>
      </c>
      <c r="AD16" s="3">
        <v>0</v>
      </c>
      <c r="AE16" s="3">
        <v>0</v>
      </c>
      <c r="AF16" s="3">
        <v>0</v>
      </c>
      <c r="AG16" s="3">
        <v>0</v>
      </c>
      <c r="AH16" s="3">
        <v>0</v>
      </c>
      <c r="AI16" s="3">
        <v>0</v>
      </c>
      <c r="AJ16" s="3">
        <v>0</v>
      </c>
      <c r="AK16" s="3">
        <v>0</v>
      </c>
      <c r="AL16" s="3">
        <v>0</v>
      </c>
      <c r="AM16" s="3">
        <v>0</v>
      </c>
      <c r="AN16" s="3">
        <v>0</v>
      </c>
      <c r="AO16" s="3">
        <v>24745.4</v>
      </c>
      <c r="AP16" s="3">
        <v>0</v>
      </c>
      <c r="AQ16" s="3">
        <v>0</v>
      </c>
      <c r="AR16" s="3">
        <v>0</v>
      </c>
      <c r="AS16" s="3">
        <v>0</v>
      </c>
      <c r="AT16" s="3">
        <v>0</v>
      </c>
      <c r="AU16" s="3">
        <v>0</v>
      </c>
      <c r="AV16" s="3">
        <v>0</v>
      </c>
      <c r="AW16" s="3">
        <v>24745.4</v>
      </c>
      <c r="BA16" s="8" t="s">
        <v>13</v>
      </c>
      <c r="BB16" s="3">
        <v>0</v>
      </c>
      <c r="BC16" s="3">
        <v>0</v>
      </c>
      <c r="BD16" s="3">
        <v>0</v>
      </c>
      <c r="BE16" s="3">
        <v>0</v>
      </c>
      <c r="BF16" s="3">
        <v>0</v>
      </c>
      <c r="BG16" s="3">
        <v>0</v>
      </c>
      <c r="BH16" s="3">
        <v>0</v>
      </c>
      <c r="BI16" s="3">
        <v>0</v>
      </c>
      <c r="BJ16" s="3">
        <v>0</v>
      </c>
      <c r="BK16" s="3">
        <v>0</v>
      </c>
      <c r="BL16" s="3">
        <v>0</v>
      </c>
      <c r="BM16" s="3">
        <v>0</v>
      </c>
      <c r="BN16" s="3">
        <v>1</v>
      </c>
      <c r="BO16" s="3">
        <v>0</v>
      </c>
      <c r="BP16" s="3">
        <v>0</v>
      </c>
      <c r="BQ16" s="3">
        <v>0</v>
      </c>
      <c r="BR16" s="3">
        <v>0</v>
      </c>
      <c r="BS16" s="3">
        <v>0</v>
      </c>
      <c r="BT16" s="3">
        <v>0</v>
      </c>
      <c r="BU16" s="3">
        <v>0</v>
      </c>
    </row>
    <row r="17" spans="1:73" ht="17" x14ac:dyDescent="0.2">
      <c r="A17" s="3" t="s">
        <v>14</v>
      </c>
      <c r="B17" s="19">
        <v>33.186399999999999</v>
      </c>
      <c r="C17" s="19">
        <v>4059.9173999999998</v>
      </c>
      <c r="D17" s="19">
        <v>251.1609</v>
      </c>
      <c r="E17" s="19">
        <v>150.08349999999999</v>
      </c>
      <c r="F17" s="19">
        <v>4166.3449000000001</v>
      </c>
      <c r="G17" s="19">
        <v>335.43150000000003</v>
      </c>
      <c r="H17" s="19">
        <v>523.94669999999996</v>
      </c>
      <c r="I17" s="19">
        <v>6.3011999999999997</v>
      </c>
      <c r="J17" s="19">
        <v>15.2882</v>
      </c>
      <c r="K17" s="19">
        <v>15407.920700000001</v>
      </c>
      <c r="L17" s="19">
        <v>5350.4839000000002</v>
      </c>
      <c r="M17" s="19">
        <v>1991.1886</v>
      </c>
      <c r="N17" s="19">
        <v>0</v>
      </c>
      <c r="O17" s="19">
        <v>68243.189400000003</v>
      </c>
      <c r="P17" s="19">
        <v>1160.4701</v>
      </c>
      <c r="Q17" s="19">
        <v>96.166899999999998</v>
      </c>
      <c r="R17" s="19">
        <v>1602.0965000000001</v>
      </c>
      <c r="S17" s="19">
        <v>343.42750000000001</v>
      </c>
      <c r="T17" s="19">
        <v>69.877200000000002</v>
      </c>
      <c r="U17" s="19">
        <v>46.611400000000003</v>
      </c>
      <c r="V17" s="3">
        <v>66818.360199999996</v>
      </c>
      <c r="W17" s="3">
        <v>69.574100000000001</v>
      </c>
      <c r="X17" s="1">
        <v>170741.0275</v>
      </c>
      <c r="AB17" s="8" t="s">
        <v>14</v>
      </c>
      <c r="AC17" s="3">
        <v>0</v>
      </c>
      <c r="AD17" s="3">
        <v>3293.8038999999999</v>
      </c>
      <c r="AE17" s="3">
        <v>0</v>
      </c>
      <c r="AF17" s="3">
        <v>2750.3438000000001</v>
      </c>
      <c r="AG17" s="3">
        <v>778.75609999999995</v>
      </c>
      <c r="AH17" s="3">
        <v>69.88</v>
      </c>
      <c r="AI17" s="3">
        <v>36.2438</v>
      </c>
      <c r="AJ17" s="3">
        <v>0</v>
      </c>
      <c r="AK17" s="3">
        <v>0.7036</v>
      </c>
      <c r="AL17" s="3">
        <v>1359.3189</v>
      </c>
      <c r="AM17" s="3">
        <v>108.9843</v>
      </c>
      <c r="AN17" s="3">
        <v>145.85480000000001</v>
      </c>
      <c r="AO17" s="3">
        <v>0</v>
      </c>
      <c r="AP17" s="3">
        <v>68243.189400000003</v>
      </c>
      <c r="AQ17" s="3">
        <v>994.80679999999995</v>
      </c>
      <c r="AR17" s="3">
        <v>0</v>
      </c>
      <c r="AS17" s="3">
        <v>38.752200000000002</v>
      </c>
      <c r="AT17" s="3">
        <v>8.7965</v>
      </c>
      <c r="AU17" s="3">
        <v>1.6646000000000001</v>
      </c>
      <c r="AV17" s="3">
        <v>29.8108</v>
      </c>
      <c r="AW17" s="3">
        <v>77860.909500000023</v>
      </c>
      <c r="BA17" s="8" t="s">
        <v>14</v>
      </c>
      <c r="BB17" s="3">
        <v>0</v>
      </c>
      <c r="BC17" s="3">
        <v>7.1151601496821839E-3</v>
      </c>
      <c r="BD17" s="3">
        <v>0</v>
      </c>
      <c r="BE17" s="3">
        <v>3.7629685273050037E-2</v>
      </c>
      <c r="BF17" s="3">
        <v>2.6352849834839478E-3</v>
      </c>
      <c r="BG17" s="3">
        <v>4.0605482363030819E-3</v>
      </c>
      <c r="BH17" s="3">
        <v>1.1094849894338149E-4</v>
      </c>
      <c r="BI17" s="3">
        <v>0</v>
      </c>
      <c r="BJ17" s="3">
        <v>4.2120899097051486E-5</v>
      </c>
      <c r="BK17" s="3">
        <v>7.5503209563873522E-3</v>
      </c>
      <c r="BL17" s="3">
        <v>6.8887050061668131E-4</v>
      </c>
      <c r="BM17" s="3">
        <v>3.3813931137099324E-3</v>
      </c>
      <c r="BN17" s="3">
        <v>0</v>
      </c>
      <c r="BO17" s="3">
        <v>0.65711273005331927</v>
      </c>
      <c r="BP17" s="3">
        <v>2.2170163600894004E-2</v>
      </c>
      <c r="BQ17" s="3">
        <v>0</v>
      </c>
      <c r="BR17" s="3">
        <v>1.8885676286061646E-3</v>
      </c>
      <c r="BS17" s="3">
        <v>3.1651779403739339E-4</v>
      </c>
      <c r="BT17" s="3">
        <v>1.9418783196600029E-4</v>
      </c>
      <c r="BU17" s="3">
        <v>2.7892533150312327E-3</v>
      </c>
    </row>
    <row r="18" spans="1:73" ht="17" x14ac:dyDescent="0.2">
      <c r="A18" s="3" t="s">
        <v>15</v>
      </c>
      <c r="B18" s="19">
        <v>12.5463</v>
      </c>
      <c r="C18" s="19">
        <v>1897.0784000000001</v>
      </c>
      <c r="D18" s="19">
        <v>21.857299999999999</v>
      </c>
      <c r="E18" s="19">
        <v>536.74099999999999</v>
      </c>
      <c r="F18" s="19">
        <v>1964.7645</v>
      </c>
      <c r="G18" s="19">
        <v>40.605200000000004</v>
      </c>
      <c r="H18" s="19">
        <v>4244.8496999999998</v>
      </c>
      <c r="I18" s="19">
        <v>3.7605</v>
      </c>
      <c r="J18" s="19">
        <v>108.5031</v>
      </c>
      <c r="K18" s="19">
        <v>4391.5145000000002</v>
      </c>
      <c r="L18" s="19">
        <v>2067.3083000000001</v>
      </c>
      <c r="M18" s="19">
        <v>304.34589999999997</v>
      </c>
      <c r="N18" s="19">
        <v>0</v>
      </c>
      <c r="O18" s="19">
        <v>994.80679999999995</v>
      </c>
      <c r="P18" s="19">
        <v>27921.696</v>
      </c>
      <c r="Q18" s="19">
        <v>103.2839</v>
      </c>
      <c r="R18" s="19">
        <v>25.447399999999998</v>
      </c>
      <c r="S18" s="19">
        <v>36.491999999999997</v>
      </c>
      <c r="T18" s="19">
        <v>32.445500000000003</v>
      </c>
      <c r="U18" s="19">
        <v>163.37719999999999</v>
      </c>
      <c r="V18" s="3">
        <v>30948.482</v>
      </c>
      <c r="W18" s="3">
        <v>717.42930000000001</v>
      </c>
      <c r="X18" s="1">
        <v>76537.334900000002</v>
      </c>
      <c r="AB18" s="8" t="s">
        <v>15</v>
      </c>
      <c r="AC18" s="3">
        <v>0</v>
      </c>
      <c r="AD18" s="3">
        <v>147.34790000000001</v>
      </c>
      <c r="AE18" s="3">
        <v>0</v>
      </c>
      <c r="AF18" s="3">
        <v>27.5961</v>
      </c>
      <c r="AG18" s="3">
        <v>22.222000000000001</v>
      </c>
      <c r="AH18" s="3">
        <v>398.39440000000002</v>
      </c>
      <c r="AI18" s="3">
        <v>195.70330000000001</v>
      </c>
      <c r="AJ18" s="3">
        <v>2.0000000000000001E-4</v>
      </c>
      <c r="AK18" s="3">
        <v>6.3475000000000001</v>
      </c>
      <c r="AL18" s="3">
        <v>92.015100000000004</v>
      </c>
      <c r="AM18" s="3">
        <v>81.879300000000001</v>
      </c>
      <c r="AN18" s="3">
        <v>74.057400000000001</v>
      </c>
      <c r="AO18" s="3">
        <v>0</v>
      </c>
      <c r="AP18" s="3">
        <v>1160.4701</v>
      </c>
      <c r="AQ18" s="3">
        <v>27921.696</v>
      </c>
      <c r="AR18" s="3">
        <v>0</v>
      </c>
      <c r="AS18" s="3">
        <v>7.9836999999999998</v>
      </c>
      <c r="AT18" s="3">
        <v>0</v>
      </c>
      <c r="AU18" s="3">
        <v>4.6993999999999998</v>
      </c>
      <c r="AV18" s="3">
        <v>81.653700000000001</v>
      </c>
      <c r="AW18" s="3">
        <v>30222.0661</v>
      </c>
      <c r="BA18" s="8" t="s">
        <v>15</v>
      </c>
      <c r="BB18" s="3">
        <v>0</v>
      </c>
      <c r="BC18" s="3">
        <v>3.1829578749947916E-4</v>
      </c>
      <c r="BD18" s="3">
        <v>0</v>
      </c>
      <c r="BE18" s="3">
        <v>3.775646367423651E-4</v>
      </c>
      <c r="BF18" s="3">
        <v>7.5198515816415806E-5</v>
      </c>
      <c r="BG18" s="3">
        <v>2.3149680570592798E-2</v>
      </c>
      <c r="BH18" s="3">
        <v>5.9908142560289679E-4</v>
      </c>
      <c r="BI18" s="3">
        <v>4.4078561043032751E-8</v>
      </c>
      <c r="BJ18" s="3">
        <v>3.7999205090752456E-4</v>
      </c>
      <c r="BK18" s="3">
        <v>5.1109679842903518E-4</v>
      </c>
      <c r="BL18" s="3">
        <v>5.1754458560676565E-4</v>
      </c>
      <c r="BM18" s="3">
        <v>1.7168936667100565E-3</v>
      </c>
      <c r="BN18" s="3">
        <v>0</v>
      </c>
      <c r="BO18" s="3">
        <v>1.1174150596722381E-2</v>
      </c>
      <c r="BP18" s="3">
        <v>0.62226008943086009</v>
      </c>
      <c r="BQ18" s="3">
        <v>0</v>
      </c>
      <c r="BR18" s="3">
        <v>3.8908132638928978E-4</v>
      </c>
      <c r="BS18" s="3">
        <v>0</v>
      </c>
      <c r="BT18" s="3">
        <v>5.4821957079239563E-4</v>
      </c>
      <c r="BU18" s="3">
        <v>7.6399443627667082E-3</v>
      </c>
    </row>
    <row r="19" spans="1:73" ht="17" x14ac:dyDescent="0.2">
      <c r="A19" s="3" t="s">
        <v>16</v>
      </c>
      <c r="B19" s="19">
        <v>0</v>
      </c>
      <c r="C19" s="19">
        <v>0</v>
      </c>
      <c r="D19" s="19">
        <v>0</v>
      </c>
      <c r="E19" s="19">
        <v>0</v>
      </c>
      <c r="F19" s="19">
        <v>0</v>
      </c>
      <c r="G19" s="19">
        <v>0</v>
      </c>
      <c r="H19" s="19">
        <v>0</v>
      </c>
      <c r="I19" s="19">
        <v>0</v>
      </c>
      <c r="J19" s="19">
        <v>0</v>
      </c>
      <c r="K19" s="19">
        <v>0</v>
      </c>
      <c r="L19" s="19">
        <v>0</v>
      </c>
      <c r="M19" s="19">
        <v>0</v>
      </c>
      <c r="N19" s="19">
        <v>0</v>
      </c>
      <c r="O19" s="19">
        <v>0</v>
      </c>
      <c r="P19" s="19">
        <v>0</v>
      </c>
      <c r="Q19" s="19">
        <v>43293.004500000003</v>
      </c>
      <c r="R19" s="19">
        <v>0</v>
      </c>
      <c r="S19" s="19">
        <v>0</v>
      </c>
      <c r="T19" s="19">
        <v>0</v>
      </c>
      <c r="U19" s="19">
        <v>0</v>
      </c>
      <c r="V19" s="3">
        <v>0.7379</v>
      </c>
      <c r="W19" s="3">
        <v>27.488299999999999</v>
      </c>
      <c r="X19" s="1">
        <v>43321.2307</v>
      </c>
      <c r="AB19" s="8" t="s">
        <v>16</v>
      </c>
      <c r="AC19" s="3">
        <v>0</v>
      </c>
      <c r="AD19" s="3">
        <v>4.1288999999999998</v>
      </c>
      <c r="AE19" s="3">
        <v>230.4845</v>
      </c>
      <c r="AF19" s="3">
        <v>80.843699999999998</v>
      </c>
      <c r="AG19" s="3">
        <v>0</v>
      </c>
      <c r="AH19" s="3">
        <v>73.006900000000002</v>
      </c>
      <c r="AI19" s="3">
        <v>844.94060000000002</v>
      </c>
      <c r="AJ19" s="3">
        <v>0</v>
      </c>
      <c r="AK19" s="3">
        <v>0</v>
      </c>
      <c r="AL19" s="3">
        <v>947.25139999999999</v>
      </c>
      <c r="AM19" s="3">
        <v>0</v>
      </c>
      <c r="AN19" s="3">
        <v>1239.0632000000001</v>
      </c>
      <c r="AO19" s="3">
        <v>0</v>
      </c>
      <c r="AP19" s="3">
        <v>96.166899999999998</v>
      </c>
      <c r="AQ19" s="3">
        <v>103.2839</v>
      </c>
      <c r="AR19" s="3">
        <v>43293.004500000003</v>
      </c>
      <c r="AS19" s="3">
        <v>291.66480000000001</v>
      </c>
      <c r="AT19" s="3">
        <v>85.150499999999994</v>
      </c>
      <c r="AU19" s="3">
        <v>0</v>
      </c>
      <c r="AV19" s="3">
        <v>0</v>
      </c>
      <c r="AW19" s="3">
        <v>47288.989800000003</v>
      </c>
      <c r="BA19" s="8" t="s">
        <v>16</v>
      </c>
      <c r="BB19" s="3">
        <v>0</v>
      </c>
      <c r="BC19" s="3">
        <v>8.9191055794252875E-6</v>
      </c>
      <c r="BD19" s="3">
        <v>9.5336557806353275E-3</v>
      </c>
      <c r="BE19" s="3">
        <v>1.1060882596964333E-3</v>
      </c>
      <c r="BF19" s="3">
        <v>0</v>
      </c>
      <c r="BG19" s="3">
        <v>4.2422444051653622E-3</v>
      </c>
      <c r="BH19" s="3">
        <v>2.5865083480849172E-3</v>
      </c>
      <c r="BI19" s="3">
        <v>0</v>
      </c>
      <c r="BJ19" s="3">
        <v>0</v>
      </c>
      <c r="BK19" s="3">
        <v>5.2614968396211209E-3</v>
      </c>
      <c r="BL19" s="3">
        <v>0</v>
      </c>
      <c r="BM19" s="3">
        <v>2.8725552891858151E-2</v>
      </c>
      <c r="BN19" s="3">
        <v>0</v>
      </c>
      <c r="BO19" s="3">
        <v>9.2598975451408999E-4</v>
      </c>
      <c r="BP19" s="3">
        <v>2.3017745358579942E-3</v>
      </c>
      <c r="BQ19" s="3">
        <v>1</v>
      </c>
      <c r="BR19" s="3">
        <v>1.4214127189782549E-2</v>
      </c>
      <c r="BS19" s="3">
        <v>3.0639059195340266E-3</v>
      </c>
      <c r="BT19" s="3">
        <v>0</v>
      </c>
      <c r="BU19" s="3">
        <v>0</v>
      </c>
    </row>
    <row r="20" spans="1:73" ht="17" x14ac:dyDescent="0.2">
      <c r="A20" s="3" t="s">
        <v>17</v>
      </c>
      <c r="B20" s="19">
        <v>0</v>
      </c>
      <c r="C20" s="19">
        <v>44.935499999999998</v>
      </c>
      <c r="D20" s="19">
        <v>0</v>
      </c>
      <c r="E20" s="19">
        <v>0</v>
      </c>
      <c r="F20" s="19">
        <v>0</v>
      </c>
      <c r="G20" s="19">
        <v>0</v>
      </c>
      <c r="H20" s="19">
        <v>31.531400000000001</v>
      </c>
      <c r="I20" s="19">
        <v>0</v>
      </c>
      <c r="J20" s="19">
        <v>0</v>
      </c>
      <c r="K20" s="19">
        <v>4.0297999999999998</v>
      </c>
      <c r="L20" s="19">
        <v>0</v>
      </c>
      <c r="M20" s="19">
        <v>0.32979999999999998</v>
      </c>
      <c r="N20" s="19">
        <v>0</v>
      </c>
      <c r="O20" s="19">
        <v>38.752200000000002</v>
      </c>
      <c r="P20" s="19">
        <v>7.9836999999999998</v>
      </c>
      <c r="Q20" s="19">
        <v>291.66480000000001</v>
      </c>
      <c r="R20" s="19">
        <v>19911.537100000001</v>
      </c>
      <c r="S20" s="19">
        <v>66.014899999999997</v>
      </c>
      <c r="T20" s="19">
        <v>40.780299999999997</v>
      </c>
      <c r="U20" s="19">
        <v>81.801000000000002</v>
      </c>
      <c r="V20" s="3">
        <v>3183.8872999999999</v>
      </c>
      <c r="W20" s="3">
        <v>600.63689999999997</v>
      </c>
      <c r="X20" s="1">
        <v>24303.884699999999</v>
      </c>
      <c r="AB20" s="8" t="s">
        <v>17</v>
      </c>
      <c r="AC20" s="3">
        <v>0</v>
      </c>
      <c r="AD20" s="3">
        <v>0.25850000000000001</v>
      </c>
      <c r="AE20" s="3">
        <v>0</v>
      </c>
      <c r="AF20" s="3">
        <v>0</v>
      </c>
      <c r="AG20" s="3">
        <v>29.610800000000001</v>
      </c>
      <c r="AH20" s="3">
        <v>0.14369999999999999</v>
      </c>
      <c r="AI20" s="3">
        <v>5.5673000000000004</v>
      </c>
      <c r="AJ20" s="3">
        <v>0</v>
      </c>
      <c r="AK20" s="3">
        <v>0.6038</v>
      </c>
      <c r="AL20" s="3">
        <v>149.76689999999999</v>
      </c>
      <c r="AM20" s="3">
        <v>0</v>
      </c>
      <c r="AN20" s="3">
        <v>161.48089999999999</v>
      </c>
      <c r="AO20" s="3">
        <v>0</v>
      </c>
      <c r="AP20" s="3">
        <v>1602.0965000000001</v>
      </c>
      <c r="AQ20" s="3">
        <v>25.447399999999998</v>
      </c>
      <c r="AR20" s="3">
        <v>0</v>
      </c>
      <c r="AS20" s="3">
        <v>19911.537100000001</v>
      </c>
      <c r="AT20" s="3">
        <v>7.2655000000000003</v>
      </c>
      <c r="AU20" s="3">
        <v>8.1145999999999994</v>
      </c>
      <c r="AV20" s="3">
        <v>27.267499999999998</v>
      </c>
      <c r="AW20" s="3">
        <v>21929.160500000005</v>
      </c>
      <c r="BA20" s="8" t="s">
        <v>17</v>
      </c>
      <c r="BB20" s="3">
        <v>0</v>
      </c>
      <c r="BC20" s="3">
        <v>5.5840267196624688E-7</v>
      </c>
      <c r="BD20" s="3">
        <v>0</v>
      </c>
      <c r="BE20" s="3">
        <v>0</v>
      </c>
      <c r="BF20" s="3">
        <v>1.002019715658683E-4</v>
      </c>
      <c r="BG20" s="3">
        <v>8.3500398047617762E-6</v>
      </c>
      <c r="BH20" s="3">
        <v>1.7042461832575167E-5</v>
      </c>
      <c r="BI20" s="3">
        <v>0</v>
      </c>
      <c r="BJ20" s="3">
        <v>3.6146388395110415E-5</v>
      </c>
      <c r="BK20" s="3">
        <v>8.3187849712320554E-4</v>
      </c>
      <c r="BL20" s="3">
        <v>0</v>
      </c>
      <c r="BM20" s="3">
        <v>3.7436574130963267E-3</v>
      </c>
      <c r="BN20" s="3">
        <v>0</v>
      </c>
      <c r="BO20" s="3">
        <v>1.542656511484599E-2</v>
      </c>
      <c r="BP20" s="3">
        <v>5.6711817934637166E-4</v>
      </c>
      <c r="BQ20" s="3">
        <v>0</v>
      </c>
      <c r="BR20" s="3">
        <v>0.97037805344859562</v>
      </c>
      <c r="BS20" s="3">
        <v>2.6142898113780275E-4</v>
      </c>
      <c r="BT20" s="3">
        <v>9.4662776719410416E-4</v>
      </c>
      <c r="BU20" s="3">
        <v>2.5512889545941113E-3</v>
      </c>
    </row>
    <row r="21" spans="1:73" ht="17" x14ac:dyDescent="0.2">
      <c r="A21" s="3" t="s">
        <v>18</v>
      </c>
      <c r="B21" s="19">
        <v>0</v>
      </c>
      <c r="C21" s="19">
        <v>0</v>
      </c>
      <c r="D21" s="19">
        <v>0</v>
      </c>
      <c r="E21" s="19">
        <v>0</v>
      </c>
      <c r="F21" s="19">
        <v>0.79020000000000001</v>
      </c>
      <c r="G21" s="19">
        <v>0</v>
      </c>
      <c r="H21" s="19">
        <v>0.1021</v>
      </c>
      <c r="I21" s="19">
        <v>2.0552000000000001</v>
      </c>
      <c r="J21" s="19">
        <v>0</v>
      </c>
      <c r="K21" s="19">
        <v>0</v>
      </c>
      <c r="L21" s="19">
        <v>0</v>
      </c>
      <c r="M21" s="19">
        <v>0</v>
      </c>
      <c r="N21" s="19">
        <v>0</v>
      </c>
      <c r="O21" s="19">
        <v>8.7965</v>
      </c>
      <c r="P21" s="19">
        <v>0</v>
      </c>
      <c r="Q21" s="19">
        <v>85.150499999999994</v>
      </c>
      <c r="R21" s="19">
        <v>7.2655000000000003</v>
      </c>
      <c r="S21" s="19">
        <v>27645.397300000001</v>
      </c>
      <c r="T21" s="19">
        <v>3.7061999999999999</v>
      </c>
      <c r="U21" s="19">
        <v>38.222999999999999</v>
      </c>
      <c r="V21" s="3">
        <v>677.67920000000004</v>
      </c>
      <c r="W21" s="3">
        <v>1133.7372</v>
      </c>
      <c r="X21" s="1">
        <v>29602.902999999998</v>
      </c>
      <c r="AB21" s="8" t="s">
        <v>18</v>
      </c>
      <c r="AC21" s="3">
        <v>0</v>
      </c>
      <c r="AD21" s="3">
        <v>0</v>
      </c>
      <c r="AE21" s="3">
        <v>0</v>
      </c>
      <c r="AF21" s="3">
        <v>0</v>
      </c>
      <c r="AG21" s="3">
        <v>11.742100000000001</v>
      </c>
      <c r="AH21" s="3">
        <v>0.99070000000000003</v>
      </c>
      <c r="AI21" s="3">
        <v>7.7359999999999998</v>
      </c>
      <c r="AJ21" s="3">
        <v>0</v>
      </c>
      <c r="AK21" s="3">
        <v>1.7653000000000001</v>
      </c>
      <c r="AL21" s="3">
        <v>52.686900000000001</v>
      </c>
      <c r="AM21" s="3">
        <v>0</v>
      </c>
      <c r="AN21" s="3">
        <v>220.49299999999999</v>
      </c>
      <c r="AO21" s="3">
        <v>0</v>
      </c>
      <c r="AP21" s="3">
        <v>343.42750000000001</v>
      </c>
      <c r="AQ21" s="3">
        <v>36.491999999999997</v>
      </c>
      <c r="AR21" s="3">
        <v>0</v>
      </c>
      <c r="AS21" s="3">
        <v>66.014899999999997</v>
      </c>
      <c r="AT21" s="3">
        <v>27645.397300000001</v>
      </c>
      <c r="AU21" s="3">
        <v>2.4512</v>
      </c>
      <c r="AV21" s="3">
        <v>16.936399999999999</v>
      </c>
      <c r="AW21" s="3">
        <v>28406.133299999998</v>
      </c>
      <c r="BA21" s="8" t="s">
        <v>18</v>
      </c>
      <c r="BB21" s="3">
        <v>0</v>
      </c>
      <c r="BC21" s="3">
        <v>0</v>
      </c>
      <c r="BD21" s="3">
        <v>0</v>
      </c>
      <c r="BE21" s="3">
        <v>0</v>
      </c>
      <c r="BF21" s="3">
        <v>3.9734879514352267E-5</v>
      </c>
      <c r="BG21" s="3">
        <v>5.7567045473747333E-5</v>
      </c>
      <c r="BH21" s="3">
        <v>2.3681225142672655E-5</v>
      </c>
      <c r="BI21" s="3">
        <v>0</v>
      </c>
      <c r="BJ21" s="3">
        <v>1.0567939621379333E-4</v>
      </c>
      <c r="BK21" s="3">
        <v>2.9264877079034567E-4</v>
      </c>
      <c r="BL21" s="3">
        <v>0</v>
      </c>
      <c r="BM21" s="3">
        <v>5.1117516312198432E-3</v>
      </c>
      <c r="BN21" s="3">
        <v>0</v>
      </c>
      <c r="BO21" s="3">
        <v>3.3068586636190588E-3</v>
      </c>
      <c r="BP21" s="3">
        <v>8.1325701646171292E-4</v>
      </c>
      <c r="BQ21" s="3">
        <v>0</v>
      </c>
      <c r="BR21" s="3">
        <v>3.2172006530125537E-3</v>
      </c>
      <c r="BS21" s="3">
        <v>0.99474338301407517</v>
      </c>
      <c r="BT21" s="3">
        <v>2.8595050685753927E-4</v>
      </c>
      <c r="BU21" s="3">
        <v>1.5846575685555225E-3</v>
      </c>
    </row>
    <row r="22" spans="1:73" ht="17" x14ac:dyDescent="0.2">
      <c r="A22" s="3" t="s">
        <v>19</v>
      </c>
      <c r="B22" s="19">
        <v>0</v>
      </c>
      <c r="C22" s="19">
        <v>0</v>
      </c>
      <c r="D22" s="19">
        <v>0</v>
      </c>
      <c r="E22" s="19">
        <v>0</v>
      </c>
      <c r="F22" s="19">
        <v>25.0015</v>
      </c>
      <c r="G22" s="19">
        <v>0</v>
      </c>
      <c r="H22" s="19">
        <v>0.58520000000000005</v>
      </c>
      <c r="I22" s="19">
        <v>74.0608</v>
      </c>
      <c r="J22" s="19">
        <v>0.48039999999999999</v>
      </c>
      <c r="K22" s="19">
        <v>344.66430000000003</v>
      </c>
      <c r="L22" s="19">
        <v>171.57550000000001</v>
      </c>
      <c r="M22" s="19">
        <v>3.2808999999999999</v>
      </c>
      <c r="N22" s="19">
        <v>0</v>
      </c>
      <c r="O22" s="19">
        <v>1.6646000000000001</v>
      </c>
      <c r="P22" s="19">
        <v>4.6993999999999998</v>
      </c>
      <c r="Q22" s="19">
        <v>0</v>
      </c>
      <c r="R22" s="19">
        <v>8.1145999999999994</v>
      </c>
      <c r="S22" s="19">
        <v>2.4512</v>
      </c>
      <c r="T22" s="19">
        <v>7918.6040000000003</v>
      </c>
      <c r="U22" s="19">
        <v>16.930399999999999</v>
      </c>
      <c r="V22" s="3">
        <v>403.45119999999997</v>
      </c>
      <c r="W22" s="3">
        <v>3350.0084000000002</v>
      </c>
      <c r="X22" s="1">
        <v>12325.572399999999</v>
      </c>
      <c r="AB22" s="8" t="s">
        <v>19</v>
      </c>
      <c r="AC22" s="3">
        <v>0</v>
      </c>
      <c r="AD22" s="3">
        <v>0</v>
      </c>
      <c r="AE22" s="3">
        <v>0</v>
      </c>
      <c r="AF22" s="3">
        <v>2.3561999999999999</v>
      </c>
      <c r="AG22" s="3">
        <v>37.412799999999997</v>
      </c>
      <c r="AH22" s="3">
        <v>0.68430000000000002</v>
      </c>
      <c r="AI22" s="3">
        <v>21.873200000000001</v>
      </c>
      <c r="AJ22" s="3">
        <v>1.3906000000000001</v>
      </c>
      <c r="AK22" s="3">
        <v>232.00970000000001</v>
      </c>
      <c r="AL22" s="3">
        <v>3.2195</v>
      </c>
      <c r="AM22" s="3">
        <v>6.9999999999999999E-4</v>
      </c>
      <c r="AN22" s="3">
        <v>265.17509999999999</v>
      </c>
      <c r="AO22" s="3">
        <v>0</v>
      </c>
      <c r="AP22" s="3">
        <v>69.877200000000002</v>
      </c>
      <c r="AQ22" s="3">
        <v>32.445500000000003</v>
      </c>
      <c r="AR22" s="3">
        <v>0</v>
      </c>
      <c r="AS22" s="3">
        <v>40.780299999999997</v>
      </c>
      <c r="AT22" s="3">
        <v>3.7061999999999999</v>
      </c>
      <c r="AU22" s="3">
        <v>7918.6040000000003</v>
      </c>
      <c r="AV22" s="3">
        <v>1.4507000000000001</v>
      </c>
      <c r="AW22" s="3">
        <v>8630.985999999999</v>
      </c>
      <c r="BA22" s="8" t="s">
        <v>19</v>
      </c>
      <c r="BB22" s="3">
        <v>0</v>
      </c>
      <c r="BC22" s="3">
        <v>0</v>
      </c>
      <c r="BD22" s="3">
        <v>0</v>
      </c>
      <c r="BE22" s="3">
        <v>3.2237084120305431E-5</v>
      </c>
      <c r="BF22" s="3">
        <v>1.2660368250096306E-4</v>
      </c>
      <c r="BG22" s="3">
        <v>3.9762924414742402E-5</v>
      </c>
      <c r="BH22" s="3">
        <v>6.6957623292490635E-5</v>
      </c>
      <c r="BI22" s="3">
        <v>3.0647823493220672E-4</v>
      </c>
      <c r="BJ22" s="3">
        <v>1.3889222801644665E-2</v>
      </c>
      <c r="BK22" s="3">
        <v>1.7882675153776703E-5</v>
      </c>
      <c r="BL22" s="3">
        <v>4.4245762961424437E-9</v>
      </c>
      <c r="BM22" s="3">
        <v>6.1476294031279225E-3</v>
      </c>
      <c r="BN22" s="3">
        <v>0</v>
      </c>
      <c r="BO22" s="3">
        <v>6.7284659559715423E-4</v>
      </c>
      <c r="BP22" s="3">
        <v>7.2307712725004148E-4</v>
      </c>
      <c r="BQ22" s="3">
        <v>0</v>
      </c>
      <c r="BR22" s="3">
        <v>1.9874059915268799E-3</v>
      </c>
      <c r="BS22" s="3">
        <v>1.3335738626287584E-4</v>
      </c>
      <c r="BT22" s="3">
        <v>0.92376339238093097</v>
      </c>
      <c r="BU22" s="3">
        <v>1.3573502838286157E-4</v>
      </c>
    </row>
    <row r="23" spans="1:73" ht="17" x14ac:dyDescent="0.2">
      <c r="A23" s="3" t="s">
        <v>20</v>
      </c>
      <c r="B23" s="19">
        <v>0</v>
      </c>
      <c r="C23" s="19">
        <v>79.493700000000004</v>
      </c>
      <c r="D23" s="19">
        <v>0</v>
      </c>
      <c r="E23" s="19">
        <v>0</v>
      </c>
      <c r="F23" s="19">
        <v>539.40200000000004</v>
      </c>
      <c r="G23" s="19">
        <v>251.35419999999999</v>
      </c>
      <c r="H23" s="19">
        <v>45.608499999999999</v>
      </c>
      <c r="I23" s="19">
        <v>29.816700000000001</v>
      </c>
      <c r="J23" s="19">
        <v>5.1420000000000003</v>
      </c>
      <c r="K23" s="19">
        <v>58.017200000000003</v>
      </c>
      <c r="L23" s="19">
        <v>10.5961</v>
      </c>
      <c r="M23" s="19">
        <v>0.15989999999999999</v>
      </c>
      <c r="N23" s="19">
        <v>0</v>
      </c>
      <c r="O23" s="19">
        <v>29.8108</v>
      </c>
      <c r="P23" s="19">
        <v>81.653700000000001</v>
      </c>
      <c r="Q23" s="19">
        <v>0</v>
      </c>
      <c r="R23" s="19">
        <v>27.267499999999998</v>
      </c>
      <c r="S23" s="19">
        <v>16.936399999999999</v>
      </c>
      <c r="T23" s="19">
        <v>1.4507000000000001</v>
      </c>
      <c r="U23" s="19">
        <v>9511.0254999999997</v>
      </c>
      <c r="V23" s="3">
        <v>310.07749999999999</v>
      </c>
      <c r="W23" s="3">
        <v>491.03570000000002</v>
      </c>
      <c r="X23" s="1">
        <v>11488.8483</v>
      </c>
      <c r="AB23" s="8" t="s">
        <v>20</v>
      </c>
      <c r="AC23" s="3">
        <v>0</v>
      </c>
      <c r="AD23" s="3">
        <v>0</v>
      </c>
      <c r="AE23" s="3">
        <v>0</v>
      </c>
      <c r="AF23" s="3">
        <v>1.722</v>
      </c>
      <c r="AG23" s="3">
        <v>82.884299999999996</v>
      </c>
      <c r="AH23" s="3">
        <v>7.2195</v>
      </c>
      <c r="AI23" s="3">
        <v>11.1335</v>
      </c>
      <c r="AJ23" s="3">
        <v>0</v>
      </c>
      <c r="AK23" s="3">
        <v>7.0753000000000004</v>
      </c>
      <c r="AL23" s="3">
        <v>14.303100000000001</v>
      </c>
      <c r="AM23" s="3">
        <v>0.26650000000000001</v>
      </c>
      <c r="AN23" s="3">
        <v>176.6266</v>
      </c>
      <c r="AO23" s="3">
        <v>0</v>
      </c>
      <c r="AP23" s="3">
        <v>46.611400000000003</v>
      </c>
      <c r="AQ23" s="3">
        <v>163.37719999999999</v>
      </c>
      <c r="AR23" s="3">
        <v>0</v>
      </c>
      <c r="AS23" s="3">
        <v>81.801000000000002</v>
      </c>
      <c r="AT23" s="3">
        <v>38.222999999999999</v>
      </c>
      <c r="AU23" s="3">
        <v>16.930399999999999</v>
      </c>
      <c r="AV23" s="3">
        <v>9511.0254999999997</v>
      </c>
      <c r="AW23" s="3">
        <v>10159.1993</v>
      </c>
      <c r="BA23" s="8" t="s">
        <v>20</v>
      </c>
      <c r="BB23" s="3">
        <v>0</v>
      </c>
      <c r="BC23" s="3">
        <v>0</v>
      </c>
      <c r="BD23" s="3">
        <v>0</v>
      </c>
      <c r="BE23" s="3">
        <v>2.356007930361003E-5</v>
      </c>
      <c r="BF23" s="3">
        <v>2.8047774027911763E-4</v>
      </c>
      <c r="BG23" s="3">
        <v>4.1950669708056817E-4</v>
      </c>
      <c r="BH23" s="3">
        <v>3.4081556376156411E-5</v>
      </c>
      <c r="BI23" s="3">
        <v>0</v>
      </c>
      <c r="BJ23" s="3">
        <v>4.2356167905254177E-4</v>
      </c>
      <c r="BK23" s="3">
        <v>7.944640192327492E-5</v>
      </c>
      <c r="BL23" s="3">
        <v>1.6844994041742303E-6</v>
      </c>
      <c r="BM23" s="3">
        <v>4.0947844633018498E-3</v>
      </c>
      <c r="BN23" s="3">
        <v>0</v>
      </c>
      <c r="BO23" s="3">
        <v>4.4882052809810919E-4</v>
      </c>
      <c r="BP23" s="3">
        <v>3.6410077340202941E-3</v>
      </c>
      <c r="BQ23" s="3">
        <v>0</v>
      </c>
      <c r="BR23" s="3">
        <v>3.9865277477823934E-3</v>
      </c>
      <c r="BS23" s="3">
        <v>1.3753492458922626E-3</v>
      </c>
      <c r="BT23" s="3">
        <v>1.9750556712226186E-3</v>
      </c>
      <c r="BU23" s="3">
        <v>0.88990095553361825</v>
      </c>
    </row>
    <row r="24" spans="1:73" ht="17" x14ac:dyDescent="0.2">
      <c r="A24" s="3" t="s">
        <v>49</v>
      </c>
      <c r="B24" s="3">
        <v>741.99860000000001</v>
      </c>
      <c r="C24" s="3">
        <v>476617.81009999994</v>
      </c>
      <c r="D24" s="3">
        <v>23877.101099999989</v>
      </c>
      <c r="E24" s="3">
        <v>71085.050099999993</v>
      </c>
      <c r="F24" s="3">
        <v>316027.35899999994</v>
      </c>
      <c r="G24" s="3">
        <v>16798.332000000002</v>
      </c>
      <c r="H24" s="3">
        <v>320144.7845999999</v>
      </c>
      <c r="I24" s="3">
        <v>6537.4171000000006</v>
      </c>
      <c r="J24" s="3">
        <v>14810.209199999999</v>
      </c>
      <c r="K24" s="3">
        <v>182675.80549999996</v>
      </c>
      <c r="L24" s="3">
        <v>169696.63769999999</v>
      </c>
      <c r="M24" s="3">
        <v>38956.709299999995</v>
      </c>
      <c r="N24" s="3">
        <v>24745.4</v>
      </c>
      <c r="O24" s="3">
        <v>77860.909500000023</v>
      </c>
      <c r="P24" s="3">
        <v>30222.0661</v>
      </c>
      <c r="Q24" s="3">
        <v>47288.989800000003</v>
      </c>
      <c r="R24" s="3">
        <v>21929.160500000005</v>
      </c>
      <c r="S24" s="3">
        <v>28406.133299999998</v>
      </c>
      <c r="T24" s="3">
        <v>8630.985999999999</v>
      </c>
      <c r="U24" s="3">
        <v>10159.1993</v>
      </c>
      <c r="V24" s="3">
        <f>SUM(V4:V23)</f>
        <v>1046141.4282999998</v>
      </c>
      <c r="W24" s="3">
        <f t="shared" ref="W24:X24" si="0">SUM(W4:W23)</f>
        <v>31804.699999999943</v>
      </c>
      <c r="X24" s="3">
        <f t="shared" si="0"/>
        <v>2965158.1882000002</v>
      </c>
      <c r="AB24" s="8" t="s">
        <v>49</v>
      </c>
      <c r="AC24" s="3">
        <v>674.30219999999997</v>
      </c>
      <c r="AD24" s="3">
        <v>462927.58429999999</v>
      </c>
      <c r="AE24" s="3">
        <v>24175.878099999998</v>
      </c>
      <c r="AF24" s="3">
        <v>73089.736999999994</v>
      </c>
      <c r="AG24" s="3">
        <v>295511.15150000004</v>
      </c>
      <c r="AH24" s="3">
        <v>17209.498799999998</v>
      </c>
      <c r="AI24" s="3">
        <v>326672.28799999988</v>
      </c>
      <c r="AJ24" s="3">
        <v>4537.3532000000005</v>
      </c>
      <c r="AK24" s="3">
        <v>16704.2968</v>
      </c>
      <c r="AL24" s="3">
        <v>180034.58499999999</v>
      </c>
      <c r="AM24" s="3">
        <v>158207.23910000001</v>
      </c>
      <c r="AN24" s="3">
        <v>43134.529200000004</v>
      </c>
      <c r="AO24" s="3">
        <v>24745.4</v>
      </c>
      <c r="AP24" s="3">
        <v>103853.09290000002</v>
      </c>
      <c r="AQ24" s="3">
        <v>44871.423500000004</v>
      </c>
      <c r="AR24" s="3">
        <v>43293.004500000003</v>
      </c>
      <c r="AS24" s="3">
        <v>20519.360499999999</v>
      </c>
      <c r="AT24" s="3">
        <v>27791.486500000003</v>
      </c>
      <c r="AU24" s="3">
        <v>8572.112799999999</v>
      </c>
      <c r="AV24" s="3">
        <v>10687.734899999999</v>
      </c>
      <c r="AW24" s="3">
        <v>1887212.0587999998</v>
      </c>
    </row>
    <row r="29" spans="1:73" ht="19" x14ac:dyDescent="0.2">
      <c r="A29" s="23" t="s">
        <v>58</v>
      </c>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spans="1:73" ht="102" x14ac:dyDescent="0.2">
      <c r="A30" s="8" t="s">
        <v>75</v>
      </c>
      <c r="B30" s="8" t="s">
        <v>1</v>
      </c>
      <c r="C30" s="8" t="s">
        <v>2</v>
      </c>
      <c r="D30" s="8" t="s">
        <v>3</v>
      </c>
      <c r="E30" s="8" t="s">
        <v>4</v>
      </c>
      <c r="F30" s="8" t="s">
        <v>5</v>
      </c>
      <c r="G30" s="8" t="s">
        <v>6</v>
      </c>
      <c r="H30" s="8" t="s">
        <v>7</v>
      </c>
      <c r="I30" s="8" t="s">
        <v>8</v>
      </c>
      <c r="J30" s="8" t="s">
        <v>9</v>
      </c>
      <c r="K30" s="8" t="s">
        <v>10</v>
      </c>
      <c r="L30" s="8" t="s">
        <v>11</v>
      </c>
      <c r="M30" s="8" t="s">
        <v>12</v>
      </c>
      <c r="N30" s="8" t="s">
        <v>13</v>
      </c>
      <c r="O30" s="8" t="s">
        <v>14</v>
      </c>
      <c r="P30" s="8" t="s">
        <v>15</v>
      </c>
      <c r="Q30" s="8" t="s">
        <v>16</v>
      </c>
      <c r="R30" s="8" t="s">
        <v>17</v>
      </c>
      <c r="S30" s="8" t="s">
        <v>18</v>
      </c>
      <c r="T30" s="8" t="s">
        <v>19</v>
      </c>
      <c r="U30" s="8" t="s">
        <v>20</v>
      </c>
      <c r="V30" s="8" t="s">
        <v>40</v>
      </c>
      <c r="W30" s="8" t="s">
        <v>41</v>
      </c>
      <c r="X30" s="8" t="s">
        <v>42</v>
      </c>
      <c r="Y30" s="8" t="s">
        <v>43</v>
      </c>
      <c r="Z30" s="8" t="s">
        <v>44</v>
      </c>
      <c r="AA30" s="8" t="s">
        <v>49</v>
      </c>
    </row>
    <row r="31" spans="1:73" x14ac:dyDescent="0.2">
      <c r="A31" s="3" t="s">
        <v>1</v>
      </c>
      <c r="B31" s="3">
        <v>150.35149999999999</v>
      </c>
      <c r="C31" s="3">
        <v>49.490900000000003</v>
      </c>
      <c r="D31" s="3">
        <v>1.3449</v>
      </c>
      <c r="E31" s="3">
        <v>5.4187000000000003</v>
      </c>
      <c r="F31" s="3">
        <v>1.9300000000000001E-2</v>
      </c>
      <c r="G31" s="3">
        <v>0.27600000000000002</v>
      </c>
      <c r="H31" s="3">
        <v>1.7574000000000001</v>
      </c>
      <c r="I31" s="3">
        <v>8.8824000000000005</v>
      </c>
      <c r="J31" s="3">
        <v>71.388400000000004</v>
      </c>
      <c r="K31" s="3">
        <v>3.5196000000000001</v>
      </c>
      <c r="L31" s="3">
        <v>0.79520000000000002</v>
      </c>
      <c r="M31" s="3">
        <v>0</v>
      </c>
      <c r="N31" s="3">
        <v>0</v>
      </c>
      <c r="O31" s="3">
        <v>0.43569999999999998</v>
      </c>
      <c r="P31" s="3">
        <v>4.4002999999999997</v>
      </c>
      <c r="Q31" s="3">
        <v>0.52890000000000004</v>
      </c>
      <c r="R31" s="3">
        <v>0.15559999999999999</v>
      </c>
      <c r="S31" s="3">
        <v>0.93459999999999999</v>
      </c>
      <c r="T31" s="3">
        <v>0.746</v>
      </c>
      <c r="U31" s="3">
        <v>1.1678999999999999</v>
      </c>
      <c r="V31" s="3">
        <v>188.59829999999999</v>
      </c>
      <c r="W31" s="3">
        <v>0</v>
      </c>
      <c r="X31" s="3">
        <v>1.0501</v>
      </c>
      <c r="Y31" s="3">
        <v>22.6813</v>
      </c>
      <c r="Z31" s="3">
        <v>160.3596</v>
      </c>
      <c r="AA31" s="3">
        <v>674.30219999999997</v>
      </c>
    </row>
    <row r="32" spans="1:73" x14ac:dyDescent="0.2">
      <c r="A32" s="3" t="s">
        <v>2</v>
      </c>
      <c r="B32" s="3">
        <v>37.040500000000002</v>
      </c>
      <c r="C32" s="3">
        <v>79155.146599999993</v>
      </c>
      <c r="D32" s="3">
        <v>266.72329999999999</v>
      </c>
      <c r="E32" s="3">
        <v>5259.0308999999997</v>
      </c>
      <c r="F32" s="3">
        <v>3693.9625999999998</v>
      </c>
      <c r="G32" s="3">
        <v>327.92680000000001</v>
      </c>
      <c r="H32" s="3">
        <v>15396.3609</v>
      </c>
      <c r="I32" s="3">
        <v>221.36949999999999</v>
      </c>
      <c r="J32" s="3">
        <v>1530.829</v>
      </c>
      <c r="K32" s="3">
        <v>7676.8588</v>
      </c>
      <c r="L32" s="3">
        <v>334.70729999999998</v>
      </c>
      <c r="M32" s="3">
        <v>1008.1712</v>
      </c>
      <c r="N32" s="3">
        <v>0</v>
      </c>
      <c r="O32" s="3">
        <v>7178.5114999999996</v>
      </c>
      <c r="P32" s="3">
        <v>1224.4672</v>
      </c>
      <c r="Q32" s="3">
        <v>2041.6733999999999</v>
      </c>
      <c r="R32" s="3">
        <v>604.1001</v>
      </c>
      <c r="S32" s="3">
        <v>1807.5165999999999</v>
      </c>
      <c r="T32" s="3">
        <v>183.3272</v>
      </c>
      <c r="U32" s="3">
        <v>462.16570000000002</v>
      </c>
      <c r="V32" s="3">
        <v>6141.7352000000001</v>
      </c>
      <c r="W32" s="3">
        <v>355.30799999999999</v>
      </c>
      <c r="X32" s="3">
        <v>10003.915800000001</v>
      </c>
      <c r="Y32" s="3">
        <v>2907.0589</v>
      </c>
      <c r="Z32" s="3">
        <v>315109.67709999997</v>
      </c>
      <c r="AA32" s="3">
        <v>462927.58419999998</v>
      </c>
    </row>
    <row r="33" spans="1:27" x14ac:dyDescent="0.2">
      <c r="A33" s="3" t="s">
        <v>3</v>
      </c>
      <c r="B33" s="3">
        <v>22.1038</v>
      </c>
      <c r="C33" s="3">
        <v>4512.1293999999998</v>
      </c>
      <c r="D33" s="3">
        <v>4143.4468999999999</v>
      </c>
      <c r="E33" s="3">
        <v>212.90469999999999</v>
      </c>
      <c r="F33" s="3">
        <v>530.16390000000001</v>
      </c>
      <c r="G33" s="3">
        <v>440.01909999999998</v>
      </c>
      <c r="H33" s="3">
        <v>1201.1617000000001</v>
      </c>
      <c r="I33" s="3">
        <v>333.58069999999998</v>
      </c>
      <c r="J33" s="3">
        <v>689.61609999999996</v>
      </c>
      <c r="K33" s="3">
        <v>2503.3334</v>
      </c>
      <c r="L33" s="3">
        <v>433.57440000000003</v>
      </c>
      <c r="M33" s="3">
        <v>1231.9911</v>
      </c>
      <c r="N33" s="3">
        <v>0</v>
      </c>
      <c r="O33" s="3">
        <v>342.3535</v>
      </c>
      <c r="P33" s="3">
        <v>87.034899999999993</v>
      </c>
      <c r="Q33" s="3">
        <v>1661.1612</v>
      </c>
      <c r="R33" s="3">
        <v>454.6182</v>
      </c>
      <c r="S33" s="3">
        <v>449.7869</v>
      </c>
      <c r="T33" s="3">
        <v>381.51429999999999</v>
      </c>
      <c r="U33" s="3">
        <v>142.99449999999999</v>
      </c>
      <c r="V33" s="3">
        <v>3105.2013000000002</v>
      </c>
      <c r="W33" s="3">
        <v>754.04499999999996</v>
      </c>
      <c r="X33" s="3">
        <v>0</v>
      </c>
      <c r="Y33" s="3">
        <v>-23.418099999999999</v>
      </c>
      <c r="Z33" s="3">
        <v>566.56110000000001</v>
      </c>
      <c r="AA33" s="3">
        <v>24175.878100000002</v>
      </c>
    </row>
    <row r="34" spans="1:27" x14ac:dyDescent="0.2">
      <c r="A34" s="3" t="s">
        <v>4</v>
      </c>
      <c r="B34" s="3">
        <v>0.28410000000000002</v>
      </c>
      <c r="C34" s="3">
        <v>434.33499999999998</v>
      </c>
      <c r="D34" s="3">
        <v>107.7312</v>
      </c>
      <c r="E34" s="3">
        <v>25215.6387</v>
      </c>
      <c r="F34" s="3">
        <v>94.7834</v>
      </c>
      <c r="G34" s="3">
        <v>17.3081</v>
      </c>
      <c r="H34" s="3">
        <v>216.6011</v>
      </c>
      <c r="I34" s="3">
        <v>95.192899999999995</v>
      </c>
      <c r="J34" s="3">
        <v>36.263199999999998</v>
      </c>
      <c r="K34" s="3">
        <v>101.599</v>
      </c>
      <c r="L34" s="3">
        <v>101.23260000000001</v>
      </c>
      <c r="M34" s="3">
        <v>2195.7921000000001</v>
      </c>
      <c r="N34" s="3">
        <v>2608.8888000000002</v>
      </c>
      <c r="O34" s="3">
        <v>508.30200000000002</v>
      </c>
      <c r="P34" s="3">
        <v>7.4771000000000001</v>
      </c>
      <c r="Q34" s="3">
        <v>204.4614</v>
      </c>
      <c r="R34" s="3">
        <v>141.59639999999999</v>
      </c>
      <c r="S34" s="3">
        <v>66.311400000000006</v>
      </c>
      <c r="T34" s="3">
        <v>85.188100000000006</v>
      </c>
      <c r="U34" s="3">
        <v>10.3279</v>
      </c>
      <c r="V34" s="3">
        <v>0</v>
      </c>
      <c r="W34" s="3">
        <v>0</v>
      </c>
      <c r="X34" s="3">
        <v>39551.167200000004</v>
      </c>
      <c r="Y34" s="3">
        <v>0</v>
      </c>
      <c r="Z34" s="3">
        <v>1289.2552000000001</v>
      </c>
      <c r="AA34" s="3">
        <v>73089.736999999994</v>
      </c>
    </row>
    <row r="35" spans="1:27" x14ac:dyDescent="0.2">
      <c r="A35" s="3" t="s">
        <v>5</v>
      </c>
      <c r="B35" s="3">
        <v>61.419400000000003</v>
      </c>
      <c r="C35" s="3">
        <v>16097.8995</v>
      </c>
      <c r="D35" s="3">
        <v>169.29130000000001</v>
      </c>
      <c r="E35" s="3">
        <v>2390.6206999999999</v>
      </c>
      <c r="F35" s="3">
        <v>4514.1030000000001</v>
      </c>
      <c r="G35" s="3">
        <v>295.76850000000002</v>
      </c>
      <c r="H35" s="3">
        <v>2181.4902999999999</v>
      </c>
      <c r="I35" s="3">
        <v>191.61429999999999</v>
      </c>
      <c r="J35" s="3">
        <v>905.15830000000005</v>
      </c>
      <c r="K35" s="3">
        <v>2688.0032999999999</v>
      </c>
      <c r="L35" s="3">
        <v>249.04949999999999</v>
      </c>
      <c r="M35" s="3">
        <v>123.0669</v>
      </c>
      <c r="N35" s="3">
        <v>0</v>
      </c>
      <c r="O35" s="3">
        <v>870.63189999999997</v>
      </c>
      <c r="P35" s="3">
        <v>383.1748</v>
      </c>
      <c r="Q35" s="3">
        <v>731.6499</v>
      </c>
      <c r="R35" s="3">
        <v>216.94800000000001</v>
      </c>
      <c r="S35" s="3">
        <v>541.80319999999995</v>
      </c>
      <c r="T35" s="3">
        <v>51.725999999999999</v>
      </c>
      <c r="U35" s="3">
        <v>247.62039999999999</v>
      </c>
      <c r="V35" s="3">
        <v>7043.2524000000003</v>
      </c>
      <c r="W35" s="3">
        <v>0</v>
      </c>
      <c r="X35" s="3">
        <v>6714.5846000000001</v>
      </c>
      <c r="Y35" s="3">
        <v>0</v>
      </c>
      <c r="Z35" s="3">
        <v>248842.2751</v>
      </c>
      <c r="AA35" s="3">
        <v>295511.15159999998</v>
      </c>
    </row>
    <row r="36" spans="1:27" x14ac:dyDescent="0.2">
      <c r="A36" s="3" t="s">
        <v>6</v>
      </c>
      <c r="B36" s="3">
        <v>0</v>
      </c>
      <c r="C36" s="3">
        <v>0.70279999999999998</v>
      </c>
      <c r="D36" s="3">
        <v>0</v>
      </c>
      <c r="E36" s="3">
        <v>260.53399999999999</v>
      </c>
      <c r="F36" s="3">
        <v>451.93650000000002</v>
      </c>
      <c r="G36" s="3">
        <v>225.15530000000001</v>
      </c>
      <c r="H36" s="3">
        <v>240.37970000000001</v>
      </c>
      <c r="I36" s="3">
        <v>14.549200000000001</v>
      </c>
      <c r="J36" s="3">
        <v>206.56200000000001</v>
      </c>
      <c r="K36" s="3">
        <v>224.2919</v>
      </c>
      <c r="L36" s="3">
        <v>29.042999999999999</v>
      </c>
      <c r="M36" s="3">
        <v>13.6942</v>
      </c>
      <c r="N36" s="3">
        <v>0</v>
      </c>
      <c r="O36" s="3">
        <v>93.260999999999996</v>
      </c>
      <c r="P36" s="3">
        <v>31.4344</v>
      </c>
      <c r="Q36" s="3">
        <v>84.162000000000006</v>
      </c>
      <c r="R36" s="3">
        <v>24.4772</v>
      </c>
      <c r="S36" s="3">
        <v>60.562399999999997</v>
      </c>
      <c r="T36" s="3">
        <v>7.1382000000000003</v>
      </c>
      <c r="U36" s="3">
        <v>28.156400000000001</v>
      </c>
      <c r="V36" s="3">
        <v>13522.9756</v>
      </c>
      <c r="W36" s="3">
        <v>0</v>
      </c>
      <c r="X36" s="3">
        <v>19.771000000000001</v>
      </c>
      <c r="Y36" s="3">
        <v>0</v>
      </c>
      <c r="Z36" s="3">
        <v>1670.7121999999999</v>
      </c>
      <c r="AA36" s="3">
        <v>17209.498899999999</v>
      </c>
    </row>
    <row r="37" spans="1:27" x14ac:dyDescent="0.2">
      <c r="A37" s="3" t="s">
        <v>7</v>
      </c>
      <c r="B37" s="3">
        <v>2.6080999999999999</v>
      </c>
      <c r="C37" s="3">
        <v>3182.58</v>
      </c>
      <c r="D37" s="3">
        <v>99.235100000000003</v>
      </c>
      <c r="E37" s="3">
        <v>220.672</v>
      </c>
      <c r="F37" s="3">
        <v>26296.932799999999</v>
      </c>
      <c r="G37" s="3">
        <v>776.55790000000002</v>
      </c>
      <c r="H37" s="3">
        <v>90184.174100000004</v>
      </c>
      <c r="I37" s="3">
        <v>11.903499999999999</v>
      </c>
      <c r="J37" s="3">
        <v>103.9867</v>
      </c>
      <c r="K37" s="3">
        <v>1403.3426999999999</v>
      </c>
      <c r="L37" s="3">
        <v>878.08969999999999</v>
      </c>
      <c r="M37" s="3">
        <v>188.58869999999999</v>
      </c>
      <c r="N37" s="3">
        <v>0</v>
      </c>
      <c r="O37" s="3">
        <v>327.47129999999999</v>
      </c>
      <c r="P37" s="3">
        <v>230.02269999999999</v>
      </c>
      <c r="Q37" s="3">
        <v>2609.6064000000001</v>
      </c>
      <c r="R37" s="3">
        <v>81.982299999999995</v>
      </c>
      <c r="S37" s="3">
        <v>57.794400000000003</v>
      </c>
      <c r="T37" s="3">
        <v>31.538</v>
      </c>
      <c r="U37" s="3">
        <v>41.387900000000002</v>
      </c>
      <c r="V37" s="3">
        <v>7845.7407999999996</v>
      </c>
      <c r="W37" s="3">
        <v>29.896000000000001</v>
      </c>
      <c r="X37" s="3">
        <v>0</v>
      </c>
      <c r="Y37" s="3">
        <v>0</v>
      </c>
      <c r="Z37" s="3">
        <v>192068.17689999999</v>
      </c>
      <c r="AA37" s="3">
        <v>326672.28810000001</v>
      </c>
    </row>
    <row r="38" spans="1:27" x14ac:dyDescent="0.2">
      <c r="A38" s="3" t="s">
        <v>8</v>
      </c>
      <c r="B38" s="3">
        <v>0</v>
      </c>
      <c r="C38" s="3">
        <v>34.0182</v>
      </c>
      <c r="D38" s="3">
        <v>6.9633000000000003</v>
      </c>
      <c r="E38" s="3">
        <v>37.916200000000003</v>
      </c>
      <c r="F38" s="3">
        <v>121.63290000000001</v>
      </c>
      <c r="G38" s="3">
        <v>19.744800000000001</v>
      </c>
      <c r="H38" s="3">
        <v>227.63419999999999</v>
      </c>
      <c r="I38" s="3">
        <v>4.9607999999999999</v>
      </c>
      <c r="J38" s="3">
        <v>19.622399999999999</v>
      </c>
      <c r="K38" s="3">
        <v>41.737499999999997</v>
      </c>
      <c r="L38" s="3">
        <v>103.0004</v>
      </c>
      <c r="M38" s="3">
        <v>3.2016</v>
      </c>
      <c r="N38" s="3">
        <v>0</v>
      </c>
      <c r="O38" s="3">
        <v>61.792999999999999</v>
      </c>
      <c r="P38" s="3">
        <v>27.3935</v>
      </c>
      <c r="Q38" s="3">
        <v>90.385099999999994</v>
      </c>
      <c r="R38" s="3">
        <v>9.5616000000000003</v>
      </c>
      <c r="S38" s="3">
        <v>3.9022000000000001</v>
      </c>
      <c r="T38" s="3">
        <v>5.1687000000000003</v>
      </c>
      <c r="U38" s="3">
        <v>12.1037</v>
      </c>
      <c r="V38" s="3">
        <v>339.29910000000001</v>
      </c>
      <c r="W38" s="3">
        <v>0</v>
      </c>
      <c r="X38" s="3">
        <v>0</v>
      </c>
      <c r="Y38" s="3">
        <v>0</v>
      </c>
      <c r="Z38" s="3">
        <v>3367.3139999999999</v>
      </c>
      <c r="AA38" s="3">
        <v>4537.3531000000003</v>
      </c>
    </row>
    <row r="39" spans="1:27" x14ac:dyDescent="0.2">
      <c r="A39" s="3" t="s">
        <v>9</v>
      </c>
      <c r="B39" s="3">
        <v>0.30099999999999999</v>
      </c>
      <c r="C39" s="3">
        <v>102.0136</v>
      </c>
      <c r="D39" s="3">
        <v>26.806799999999999</v>
      </c>
      <c r="E39" s="3">
        <v>65.464299999999994</v>
      </c>
      <c r="F39" s="3">
        <v>1010.8156</v>
      </c>
      <c r="G39" s="3">
        <v>84.210899999999995</v>
      </c>
      <c r="H39" s="3">
        <v>776.66759999999999</v>
      </c>
      <c r="I39" s="3">
        <v>14.7582</v>
      </c>
      <c r="J39" s="3">
        <v>125.3668</v>
      </c>
      <c r="K39" s="3">
        <v>246.59049999999999</v>
      </c>
      <c r="L39" s="3">
        <v>790.99749999999995</v>
      </c>
      <c r="M39" s="3">
        <v>78.482799999999997</v>
      </c>
      <c r="N39" s="3">
        <v>0</v>
      </c>
      <c r="O39" s="3">
        <v>215.07159999999999</v>
      </c>
      <c r="P39" s="3">
        <v>128.12780000000001</v>
      </c>
      <c r="Q39" s="3">
        <v>120.2341</v>
      </c>
      <c r="R39" s="3">
        <v>44.188099999999999</v>
      </c>
      <c r="S39" s="3">
        <v>36.454000000000001</v>
      </c>
      <c r="T39" s="3">
        <v>74.0291</v>
      </c>
      <c r="U39" s="3">
        <v>24.707899999999999</v>
      </c>
      <c r="V39" s="3">
        <v>10298.3446</v>
      </c>
      <c r="W39" s="3">
        <v>246.19900000000001</v>
      </c>
      <c r="X39" s="3">
        <v>0</v>
      </c>
      <c r="Y39" s="3">
        <v>0</v>
      </c>
      <c r="Z39" s="3">
        <v>2194.4652999999998</v>
      </c>
      <c r="AA39" s="3">
        <v>16704.296699999999</v>
      </c>
    </row>
    <row r="40" spans="1:27" x14ac:dyDescent="0.2">
      <c r="A40" s="3" t="s">
        <v>10</v>
      </c>
      <c r="B40" s="3">
        <v>0.16669999999999999</v>
      </c>
      <c r="C40" s="3">
        <v>867.76530000000002</v>
      </c>
      <c r="D40" s="3">
        <v>157.87559999999999</v>
      </c>
      <c r="E40" s="3">
        <v>68.895399999999995</v>
      </c>
      <c r="F40" s="3">
        <v>4343.3078999999998</v>
      </c>
      <c r="G40" s="3">
        <v>258.56180000000001</v>
      </c>
      <c r="H40" s="3">
        <v>1184.2357999999999</v>
      </c>
      <c r="I40" s="3">
        <v>54.68</v>
      </c>
      <c r="J40" s="3">
        <v>69.997799999999998</v>
      </c>
      <c r="K40" s="3">
        <v>43218.725200000001</v>
      </c>
      <c r="L40" s="3">
        <v>5884.2430999999997</v>
      </c>
      <c r="M40" s="3">
        <v>316.90660000000003</v>
      </c>
      <c r="N40" s="3">
        <v>0</v>
      </c>
      <c r="O40" s="3">
        <v>2931.9465</v>
      </c>
      <c r="P40" s="3">
        <v>305.31400000000002</v>
      </c>
      <c r="Q40" s="3">
        <v>3170.9571000000001</v>
      </c>
      <c r="R40" s="3">
        <v>492.40780000000001</v>
      </c>
      <c r="S40" s="3">
        <v>697.89449999999999</v>
      </c>
      <c r="T40" s="3">
        <v>223.3972</v>
      </c>
      <c r="U40" s="3">
        <v>157.46770000000001</v>
      </c>
      <c r="V40" s="3">
        <v>5095.1333999999997</v>
      </c>
      <c r="W40" s="3">
        <v>4.9340000000000002</v>
      </c>
      <c r="X40" s="3">
        <v>8081.1943000000001</v>
      </c>
      <c r="Y40" s="3">
        <v>0</v>
      </c>
      <c r="Z40" s="3">
        <v>102448.5772</v>
      </c>
      <c r="AA40" s="3">
        <v>180034.5852</v>
      </c>
    </row>
    <row r="41" spans="1:27" x14ac:dyDescent="0.2">
      <c r="A41" s="3" t="s">
        <v>11</v>
      </c>
      <c r="B41" s="3">
        <v>3.6999</v>
      </c>
      <c r="C41" s="3">
        <v>2579.3714</v>
      </c>
      <c r="D41" s="3">
        <v>329.02600000000001</v>
      </c>
      <c r="E41" s="3">
        <v>566.6703</v>
      </c>
      <c r="F41" s="3">
        <v>6995.4498000000003</v>
      </c>
      <c r="G41" s="3">
        <v>561.45119999999997</v>
      </c>
      <c r="H41" s="3">
        <v>1694.7491</v>
      </c>
      <c r="I41" s="3">
        <v>155.34530000000001</v>
      </c>
      <c r="J41" s="3">
        <v>161.83320000000001</v>
      </c>
      <c r="K41" s="3">
        <v>1782.4471000000001</v>
      </c>
      <c r="L41" s="3">
        <v>26382.1446</v>
      </c>
      <c r="M41" s="3">
        <v>4941.4210999999996</v>
      </c>
      <c r="N41" s="3">
        <v>638.41650000000004</v>
      </c>
      <c r="O41" s="3">
        <v>1087.8007</v>
      </c>
      <c r="P41" s="3">
        <v>520.86879999999996</v>
      </c>
      <c r="Q41" s="3">
        <v>6314.6881999999996</v>
      </c>
      <c r="R41" s="3">
        <v>156.8443</v>
      </c>
      <c r="S41" s="3">
        <v>288.69540000000001</v>
      </c>
      <c r="T41" s="3">
        <v>129.8047</v>
      </c>
      <c r="U41" s="3">
        <v>100.1872</v>
      </c>
      <c r="V41" s="3">
        <v>27856.7749</v>
      </c>
      <c r="W41" s="3">
        <v>484.90899999999999</v>
      </c>
      <c r="X41" s="3">
        <v>0</v>
      </c>
      <c r="Y41" s="3">
        <v>0</v>
      </c>
      <c r="Z41" s="3">
        <v>74474.640599999999</v>
      </c>
      <c r="AA41" s="3">
        <v>158207.23920000001</v>
      </c>
    </row>
    <row r="42" spans="1:27" x14ac:dyDescent="0.2">
      <c r="A42" s="3" t="s">
        <v>12</v>
      </c>
      <c r="B42" s="3">
        <v>0.17030000000000001</v>
      </c>
      <c r="C42" s="3">
        <v>1492.41</v>
      </c>
      <c r="D42" s="3">
        <v>203.88919999999999</v>
      </c>
      <c r="E42" s="3">
        <v>421.44049999999999</v>
      </c>
      <c r="F42" s="3">
        <v>4980.7816999999995</v>
      </c>
      <c r="G42" s="3">
        <v>3192.232</v>
      </c>
      <c r="H42" s="3">
        <v>1097.0569</v>
      </c>
      <c r="I42" s="3">
        <v>410.56630000000001</v>
      </c>
      <c r="J42" s="3">
        <v>1867.8315</v>
      </c>
      <c r="K42" s="3">
        <v>3231.2831000000001</v>
      </c>
      <c r="L42" s="3">
        <v>3155.5898999999999</v>
      </c>
      <c r="M42" s="3">
        <v>1899.5958000000001</v>
      </c>
      <c r="N42" s="3">
        <v>0</v>
      </c>
      <c r="O42" s="3">
        <v>2099.4047999999998</v>
      </c>
      <c r="P42" s="3">
        <v>668.72720000000004</v>
      </c>
      <c r="Q42" s="3">
        <v>827.83199999999999</v>
      </c>
      <c r="R42" s="3">
        <v>560.3066</v>
      </c>
      <c r="S42" s="3">
        <v>945.68119999999999</v>
      </c>
      <c r="T42" s="3">
        <v>350.1</v>
      </c>
      <c r="U42" s="3">
        <v>746.06579999999997</v>
      </c>
      <c r="V42" s="3">
        <v>2723.6889000000001</v>
      </c>
      <c r="W42" s="3">
        <v>101.745</v>
      </c>
      <c r="X42" s="3">
        <v>11911.5859</v>
      </c>
      <c r="Y42" s="3">
        <v>0</v>
      </c>
      <c r="Z42" s="3">
        <v>246.5445</v>
      </c>
      <c r="AA42" s="3">
        <v>43134.529199999997</v>
      </c>
    </row>
    <row r="43" spans="1:27" x14ac:dyDescent="0.2">
      <c r="A43" s="3" t="s">
        <v>13</v>
      </c>
      <c r="B43" s="3">
        <v>0</v>
      </c>
      <c r="C43" s="3">
        <v>0</v>
      </c>
      <c r="D43" s="3">
        <v>0</v>
      </c>
      <c r="E43" s="3">
        <v>0</v>
      </c>
      <c r="F43" s="3">
        <v>0</v>
      </c>
      <c r="G43" s="3">
        <v>0</v>
      </c>
      <c r="H43" s="3">
        <v>0</v>
      </c>
      <c r="I43" s="3">
        <v>0</v>
      </c>
      <c r="J43" s="3">
        <v>0</v>
      </c>
      <c r="K43" s="3">
        <v>0</v>
      </c>
      <c r="L43" s="3">
        <v>0</v>
      </c>
      <c r="M43" s="3">
        <v>0</v>
      </c>
      <c r="N43" s="3">
        <v>0</v>
      </c>
      <c r="O43" s="3">
        <v>0</v>
      </c>
      <c r="P43" s="3">
        <v>0</v>
      </c>
      <c r="Q43" s="3">
        <v>0</v>
      </c>
      <c r="R43" s="3">
        <v>0</v>
      </c>
      <c r="S43" s="3">
        <v>0</v>
      </c>
      <c r="T43" s="3">
        <v>0</v>
      </c>
      <c r="U43" s="3">
        <v>0</v>
      </c>
      <c r="V43" s="3">
        <v>24241.766800000001</v>
      </c>
      <c r="W43" s="3">
        <v>0</v>
      </c>
      <c r="X43" s="3">
        <v>0</v>
      </c>
      <c r="Y43" s="3">
        <v>0</v>
      </c>
      <c r="Z43" s="3">
        <v>503.63319999999999</v>
      </c>
      <c r="AA43" s="3">
        <v>24745.4</v>
      </c>
    </row>
    <row r="44" spans="1:27" x14ac:dyDescent="0.2">
      <c r="A44" s="3" t="s">
        <v>14</v>
      </c>
      <c r="B44" s="3">
        <v>7.1245000000000003</v>
      </c>
      <c r="C44" s="3">
        <v>4872.1374999999998</v>
      </c>
      <c r="D44" s="3">
        <v>273.6585</v>
      </c>
      <c r="E44" s="3">
        <v>925.44730000000004</v>
      </c>
      <c r="F44" s="3">
        <v>13151.8714</v>
      </c>
      <c r="G44" s="3">
        <v>773.38440000000003</v>
      </c>
      <c r="H44" s="3">
        <v>2717.2613999999999</v>
      </c>
      <c r="I44" s="3">
        <v>453.00670000000002</v>
      </c>
      <c r="J44" s="3">
        <v>333.57569999999998</v>
      </c>
      <c r="K44" s="3">
        <v>10381.8676</v>
      </c>
      <c r="L44" s="3">
        <v>6410.2983000000004</v>
      </c>
      <c r="M44" s="3">
        <v>3729.6653999999999</v>
      </c>
      <c r="N44" s="3">
        <v>426.70569999999998</v>
      </c>
      <c r="O44" s="3">
        <v>6435.4883</v>
      </c>
      <c r="P44" s="3">
        <v>1355.3090999999999</v>
      </c>
      <c r="Q44" s="3">
        <v>2234.9160000000002</v>
      </c>
      <c r="R44" s="3">
        <v>659.25930000000005</v>
      </c>
      <c r="S44" s="3">
        <v>640.0444</v>
      </c>
      <c r="T44" s="3">
        <v>428.54520000000002</v>
      </c>
      <c r="U44" s="3">
        <v>398.32749999999999</v>
      </c>
      <c r="V44" s="3">
        <v>927.82719999999995</v>
      </c>
      <c r="W44" s="3">
        <v>1673.6189999999999</v>
      </c>
      <c r="X44" s="3">
        <v>9338.9935999999998</v>
      </c>
      <c r="Y44" s="3">
        <v>0</v>
      </c>
      <c r="Z44" s="3">
        <v>35304.759100000003</v>
      </c>
      <c r="AA44" s="3">
        <v>103853.0932</v>
      </c>
    </row>
    <row r="45" spans="1:27" x14ac:dyDescent="0.2">
      <c r="A45" s="3" t="s">
        <v>15</v>
      </c>
      <c r="B45" s="3">
        <v>0.1915</v>
      </c>
      <c r="C45" s="3">
        <v>3071.6887999999999</v>
      </c>
      <c r="D45" s="3">
        <v>397.64960000000002</v>
      </c>
      <c r="E45" s="3">
        <v>837.35860000000002</v>
      </c>
      <c r="F45" s="3">
        <v>5727.0550000000003</v>
      </c>
      <c r="G45" s="3">
        <v>424.0829</v>
      </c>
      <c r="H45" s="3">
        <v>4354.2043999999996</v>
      </c>
      <c r="I45" s="3">
        <v>144.96719999999999</v>
      </c>
      <c r="J45" s="3">
        <v>214.5265</v>
      </c>
      <c r="K45" s="3">
        <v>4434.6124</v>
      </c>
      <c r="L45" s="3">
        <v>1926.3139000000001</v>
      </c>
      <c r="M45" s="3">
        <v>2800.3445999999999</v>
      </c>
      <c r="N45" s="3">
        <v>495.62189999999998</v>
      </c>
      <c r="O45" s="3">
        <v>1150.0630000000001</v>
      </c>
      <c r="P45" s="3">
        <v>2857.7392</v>
      </c>
      <c r="Q45" s="3">
        <v>1470.5654</v>
      </c>
      <c r="R45" s="3">
        <v>409.57690000000002</v>
      </c>
      <c r="S45" s="3">
        <v>968.42290000000003</v>
      </c>
      <c r="T45" s="3">
        <v>284.2337</v>
      </c>
      <c r="U45" s="3">
        <v>184.16149999999999</v>
      </c>
      <c r="V45" s="3">
        <v>652.04129999999998</v>
      </c>
      <c r="W45" s="3">
        <v>29.896000000000001</v>
      </c>
      <c r="X45" s="3">
        <v>0</v>
      </c>
      <c r="Y45" s="3">
        <v>0</v>
      </c>
      <c r="Z45" s="3">
        <v>12036.1065</v>
      </c>
      <c r="AA45" s="3">
        <v>44871.423600000002</v>
      </c>
    </row>
    <row r="46" spans="1:27" x14ac:dyDescent="0.2">
      <c r="A46" s="3" t="s">
        <v>16</v>
      </c>
      <c r="B46" s="3">
        <v>1.2999999999999999E-3</v>
      </c>
      <c r="C46" s="3">
        <v>13.471299999999999</v>
      </c>
      <c r="D46" s="3">
        <v>7.3670999999999998</v>
      </c>
      <c r="E46" s="3">
        <v>83.344099999999997</v>
      </c>
      <c r="F46" s="3">
        <v>469.69970000000001</v>
      </c>
      <c r="G46" s="3">
        <v>51.353700000000003</v>
      </c>
      <c r="H46" s="3">
        <v>79.375600000000006</v>
      </c>
      <c r="I46" s="3">
        <v>11.0792</v>
      </c>
      <c r="J46" s="3">
        <v>7.4748000000000001</v>
      </c>
      <c r="K46" s="3">
        <v>268.82389999999998</v>
      </c>
      <c r="L46" s="3">
        <v>239.2765</v>
      </c>
      <c r="M46" s="3">
        <v>318.81169999999997</v>
      </c>
      <c r="N46" s="3">
        <v>0</v>
      </c>
      <c r="O46" s="3">
        <v>217.17920000000001</v>
      </c>
      <c r="P46" s="3">
        <v>19.6248</v>
      </c>
      <c r="Q46" s="3">
        <v>804.66060000000004</v>
      </c>
      <c r="R46" s="3">
        <v>2.0061</v>
      </c>
      <c r="S46" s="3">
        <v>6.2061000000000002</v>
      </c>
      <c r="T46" s="3">
        <v>69.405600000000007</v>
      </c>
      <c r="U46" s="3">
        <v>8.6630000000000003</v>
      </c>
      <c r="V46" s="3">
        <v>366.57839999999999</v>
      </c>
      <c r="W46" s="3">
        <v>40244.519</v>
      </c>
      <c r="X46" s="3">
        <v>0</v>
      </c>
      <c r="Y46" s="3">
        <v>0</v>
      </c>
      <c r="Z46" s="3">
        <v>4.0830000000000002</v>
      </c>
      <c r="AA46" s="3">
        <v>43293.004500000003</v>
      </c>
    </row>
    <row r="47" spans="1:27" x14ac:dyDescent="0.2">
      <c r="A47" s="3" t="s">
        <v>17</v>
      </c>
      <c r="B47" s="3">
        <v>1.0800000000000001E-2</v>
      </c>
      <c r="C47" s="3">
        <v>29.482099999999999</v>
      </c>
      <c r="D47" s="3">
        <v>2.4420999999999999</v>
      </c>
      <c r="E47" s="3">
        <v>2.4704000000000002</v>
      </c>
      <c r="F47" s="3">
        <v>46.277900000000002</v>
      </c>
      <c r="G47" s="3">
        <v>4.7831000000000001</v>
      </c>
      <c r="H47" s="3">
        <v>48.771999999999998</v>
      </c>
      <c r="I47" s="3">
        <v>9.3573000000000004</v>
      </c>
      <c r="J47" s="3">
        <v>6.7991999999999999</v>
      </c>
      <c r="K47" s="3">
        <v>105.319</v>
      </c>
      <c r="L47" s="3">
        <v>49.026299999999999</v>
      </c>
      <c r="M47" s="3">
        <v>9.6379000000000001</v>
      </c>
      <c r="N47" s="3">
        <v>0</v>
      </c>
      <c r="O47" s="3">
        <v>37.460999999999999</v>
      </c>
      <c r="P47" s="3">
        <v>14.531000000000001</v>
      </c>
      <c r="Q47" s="3">
        <v>259.50799999999998</v>
      </c>
      <c r="R47" s="3">
        <v>455.03100000000001</v>
      </c>
      <c r="S47" s="3">
        <v>19.322800000000001</v>
      </c>
      <c r="T47" s="3">
        <v>6.2839</v>
      </c>
      <c r="U47" s="3">
        <v>7.0831999999999997</v>
      </c>
      <c r="V47" s="3">
        <v>7035.1688999999997</v>
      </c>
      <c r="W47" s="3">
        <v>9864.8708999999999</v>
      </c>
      <c r="X47" s="3">
        <v>0</v>
      </c>
      <c r="Y47" s="3">
        <v>0</v>
      </c>
      <c r="Z47" s="3">
        <v>2505.7217000000001</v>
      </c>
      <c r="AA47" s="3">
        <v>20519.360499999999</v>
      </c>
    </row>
    <row r="48" spans="1:27" x14ac:dyDescent="0.2">
      <c r="A48" s="3" t="s">
        <v>18</v>
      </c>
      <c r="B48" s="3">
        <v>1.61E-2</v>
      </c>
      <c r="C48" s="3">
        <v>0</v>
      </c>
      <c r="D48" s="3">
        <v>3.6522000000000001</v>
      </c>
      <c r="E48" s="3">
        <v>6.3693999999999997</v>
      </c>
      <c r="F48" s="3">
        <v>37.0396</v>
      </c>
      <c r="G48" s="3">
        <v>0</v>
      </c>
      <c r="H48" s="3">
        <v>53.029000000000003</v>
      </c>
      <c r="I48" s="3">
        <v>1.4432</v>
      </c>
      <c r="J48" s="3">
        <v>3.3483000000000001</v>
      </c>
      <c r="K48" s="3">
        <v>28.774999999999999</v>
      </c>
      <c r="L48" s="3">
        <v>53.022100000000002</v>
      </c>
      <c r="M48" s="3">
        <v>8.0048999999999992</v>
      </c>
      <c r="N48" s="3">
        <v>0</v>
      </c>
      <c r="O48" s="3">
        <v>391.80849999999998</v>
      </c>
      <c r="P48" s="3">
        <v>52.8322</v>
      </c>
      <c r="Q48" s="3">
        <v>400.68689999999998</v>
      </c>
      <c r="R48" s="3">
        <v>18.253900000000002</v>
      </c>
      <c r="S48" s="3">
        <v>3070.3881000000001</v>
      </c>
      <c r="T48" s="3">
        <v>275.1506</v>
      </c>
      <c r="U48" s="3">
        <v>54.090699999999998</v>
      </c>
      <c r="V48" s="3">
        <v>12899.014499999999</v>
      </c>
      <c r="W48" s="3">
        <v>9823.6280000000006</v>
      </c>
      <c r="X48" s="3">
        <v>0</v>
      </c>
      <c r="Y48" s="3">
        <v>0</v>
      </c>
      <c r="Z48" s="3">
        <v>610.93349999999998</v>
      </c>
      <c r="AA48" s="3">
        <v>27791.4866</v>
      </c>
    </row>
    <row r="49" spans="1:27" x14ac:dyDescent="0.2">
      <c r="A49" s="3" t="s">
        <v>19</v>
      </c>
      <c r="B49" s="3">
        <v>0</v>
      </c>
      <c r="C49" s="3">
        <v>8.8142999999999994</v>
      </c>
      <c r="D49" s="3">
        <v>1.6968000000000001</v>
      </c>
      <c r="E49" s="3">
        <v>61.872199999999999</v>
      </c>
      <c r="F49" s="3">
        <v>89.253100000000003</v>
      </c>
      <c r="G49" s="3">
        <v>37.925699999999999</v>
      </c>
      <c r="H49" s="3">
        <v>46.399299999999997</v>
      </c>
      <c r="I49" s="3">
        <v>6.2027000000000001</v>
      </c>
      <c r="J49" s="3">
        <v>3.6623000000000001</v>
      </c>
      <c r="K49" s="3">
        <v>191.70650000000001</v>
      </c>
      <c r="L49" s="3">
        <v>317.94119999999998</v>
      </c>
      <c r="M49" s="3">
        <v>11.5433</v>
      </c>
      <c r="N49" s="3">
        <v>0</v>
      </c>
      <c r="O49" s="3">
        <v>65.656400000000005</v>
      </c>
      <c r="P49" s="3">
        <v>54.461799999999997</v>
      </c>
      <c r="Q49" s="3">
        <v>18.861599999999999</v>
      </c>
      <c r="R49" s="3">
        <v>213.47370000000001</v>
      </c>
      <c r="S49" s="3">
        <v>17.105799999999999</v>
      </c>
      <c r="T49" s="3">
        <v>312.87959999999998</v>
      </c>
      <c r="U49" s="3">
        <v>18.4373</v>
      </c>
      <c r="V49" s="3">
        <v>3489.0297</v>
      </c>
      <c r="W49" s="3">
        <v>1227.942</v>
      </c>
      <c r="X49" s="3">
        <v>0</v>
      </c>
      <c r="Y49" s="3">
        <v>0</v>
      </c>
      <c r="Z49" s="3">
        <v>2377.2473</v>
      </c>
      <c r="AA49" s="3">
        <v>8572.1128000000008</v>
      </c>
    </row>
    <row r="50" spans="1:27" x14ac:dyDescent="0.2">
      <c r="A50" s="3" t="s">
        <v>20</v>
      </c>
      <c r="B50" s="3">
        <v>6.9400000000000003E-2</v>
      </c>
      <c r="C50" s="3">
        <v>98.421099999999996</v>
      </c>
      <c r="D50" s="3">
        <v>25.689900000000002</v>
      </c>
      <c r="E50" s="3">
        <v>61.040300000000002</v>
      </c>
      <c r="F50" s="3">
        <v>148.47479999999999</v>
      </c>
      <c r="G50" s="3">
        <v>30.1204</v>
      </c>
      <c r="H50" s="3">
        <v>303.69990000000001</v>
      </c>
      <c r="I50" s="3">
        <v>70.9846</v>
      </c>
      <c r="J50" s="3">
        <v>10.2621</v>
      </c>
      <c r="K50" s="3">
        <v>301.56479999999999</v>
      </c>
      <c r="L50" s="3">
        <v>213.17099999999999</v>
      </c>
      <c r="M50" s="3">
        <v>59.069099999999999</v>
      </c>
      <c r="N50" s="3">
        <v>76.467100000000002</v>
      </c>
      <c r="O50" s="3">
        <v>129.68289999999999</v>
      </c>
      <c r="P50" s="3">
        <v>115.8844</v>
      </c>
      <c r="Q50" s="3">
        <v>329.09179999999998</v>
      </c>
      <c r="R50" s="3">
        <v>164.16540000000001</v>
      </c>
      <c r="S50" s="3">
        <v>179.31549999999999</v>
      </c>
      <c r="T50" s="3">
        <v>159.7715</v>
      </c>
      <c r="U50" s="3">
        <v>105.9037</v>
      </c>
      <c r="V50" s="3">
        <v>7941.1172999999999</v>
      </c>
      <c r="W50" s="3">
        <v>24.094999999999999</v>
      </c>
      <c r="X50" s="3">
        <v>0</v>
      </c>
      <c r="Y50" s="3">
        <v>0</v>
      </c>
      <c r="Z50" s="3">
        <v>139.673</v>
      </c>
      <c r="AA50" s="3">
        <v>10687.7351</v>
      </c>
    </row>
    <row r="51" spans="1:27" x14ac:dyDescent="0.2">
      <c r="A51" s="15" t="s">
        <v>21</v>
      </c>
      <c r="B51" s="15">
        <v>270.0788</v>
      </c>
      <c r="C51" s="15">
        <v>221440.52179999999</v>
      </c>
      <c r="D51" s="15">
        <v>9260.5838000000003</v>
      </c>
      <c r="E51" s="15">
        <v>13127.0746</v>
      </c>
      <c r="F51" s="15">
        <v>101411.4317</v>
      </c>
      <c r="G51" s="15">
        <v>1299.8157000000001</v>
      </c>
      <c r="H51" s="15">
        <v>116756.60890000001</v>
      </c>
      <c r="I51" s="15">
        <v>643.04909999999995</v>
      </c>
      <c r="J51" s="15">
        <v>3208.2932999999998</v>
      </c>
      <c r="K51" s="15">
        <v>69020.604900000006</v>
      </c>
      <c r="L51" s="15">
        <v>39786.058599999997</v>
      </c>
      <c r="M51" s="15">
        <v>919.5181</v>
      </c>
      <c r="N51" s="15">
        <v>0</v>
      </c>
      <c r="O51" s="15">
        <v>19896.1577</v>
      </c>
      <c r="P51" s="15">
        <v>3656.8607000000002</v>
      </c>
      <c r="Q51" s="15">
        <v>8479.5817999999999</v>
      </c>
      <c r="R51" s="15">
        <v>1459.4719</v>
      </c>
      <c r="S51" s="15">
        <v>2790.0219000000002</v>
      </c>
      <c r="T51" s="15">
        <v>682.12099999999998</v>
      </c>
      <c r="U51" s="15">
        <v>1122.1242999999999</v>
      </c>
      <c r="V51" s="15">
        <v>38879.940399999999</v>
      </c>
      <c r="W51" s="15">
        <v>0</v>
      </c>
      <c r="X51" s="15">
        <v>51819.945299999999</v>
      </c>
      <c r="Y51" s="15">
        <v>7334.8778000000002</v>
      </c>
      <c r="Z51" s="15">
        <v>332876.68609999999</v>
      </c>
      <c r="AA51" s="15">
        <v>1046141.4282</v>
      </c>
    </row>
    <row r="52" spans="1:27" x14ac:dyDescent="0.2">
      <c r="A52" s="16" t="s">
        <v>22</v>
      </c>
      <c r="B52" s="16">
        <v>2.7355</v>
      </c>
      <c r="C52" s="16">
        <v>182.24189999999999</v>
      </c>
      <c r="D52" s="16">
        <v>215.0515</v>
      </c>
      <c r="E52" s="16">
        <v>34.3005</v>
      </c>
      <c r="F52" s="16">
        <v>112.8329</v>
      </c>
      <c r="G52" s="16">
        <v>22.488199999999999</v>
      </c>
      <c r="H52" s="16">
        <v>503.91750000000002</v>
      </c>
      <c r="I52" s="16">
        <v>24.4313</v>
      </c>
      <c r="J52" s="16">
        <v>402.78149999999999</v>
      </c>
      <c r="K52" s="16">
        <v>817.32119999999998</v>
      </c>
      <c r="L52" s="16">
        <v>1617.6438000000001</v>
      </c>
      <c r="M52" s="16">
        <v>396.04160000000002</v>
      </c>
      <c r="N52" s="16">
        <v>0</v>
      </c>
      <c r="O52" s="16">
        <v>164.0402</v>
      </c>
      <c r="P52" s="16">
        <v>30.628900000000002</v>
      </c>
      <c r="Q52" s="16">
        <v>212.4314</v>
      </c>
      <c r="R52" s="16">
        <v>144.44630000000001</v>
      </c>
      <c r="S52" s="16">
        <v>810.92460000000005</v>
      </c>
      <c r="T52" s="16">
        <v>109.37860000000001</v>
      </c>
      <c r="U52" s="16">
        <v>33.206800000000001</v>
      </c>
      <c r="V52" s="16">
        <v>17704.1129</v>
      </c>
      <c r="W52" s="16">
        <v>0</v>
      </c>
      <c r="X52" s="16">
        <v>8263.7428999999993</v>
      </c>
      <c r="Y52" s="16">
        <v>0</v>
      </c>
      <c r="Z52" s="16">
        <v>0</v>
      </c>
      <c r="AA52" s="16">
        <v>31804.7</v>
      </c>
    </row>
    <row r="53" spans="1:27" x14ac:dyDescent="0.2">
      <c r="A53" s="7" t="s">
        <v>23</v>
      </c>
      <c r="B53" s="7">
        <v>86.7</v>
      </c>
      <c r="C53" s="7">
        <v>28875.404900000001</v>
      </c>
      <c r="D53" s="7">
        <v>1862.0463999999999</v>
      </c>
      <c r="E53" s="7">
        <v>14884.0851</v>
      </c>
      <c r="F53" s="7">
        <v>26128.797699999999</v>
      </c>
      <c r="G53" s="7">
        <v>5168.4458999999997</v>
      </c>
      <c r="H53" s="7">
        <v>15083.0191</v>
      </c>
      <c r="I53" s="7">
        <v>1620.6025999999999</v>
      </c>
      <c r="J53" s="7">
        <v>3824.9321</v>
      </c>
      <c r="K53" s="7">
        <v>23450.095000000001</v>
      </c>
      <c r="L53" s="7">
        <v>34374.253900000003</v>
      </c>
      <c r="M53" s="7">
        <v>3492.3346000000001</v>
      </c>
      <c r="N53" s="7">
        <v>0</v>
      </c>
      <c r="O53" s="7">
        <v>26688.5085</v>
      </c>
      <c r="P53" s="7">
        <v>9623.9709999999995</v>
      </c>
      <c r="Q53" s="7">
        <v>14524.275100000001</v>
      </c>
      <c r="R53" s="7">
        <v>12878.346799999999</v>
      </c>
      <c r="S53" s="7">
        <v>13655.9414</v>
      </c>
      <c r="T53" s="7">
        <v>2367.5585999999998</v>
      </c>
      <c r="U53" s="7">
        <v>5624.6018000000004</v>
      </c>
      <c r="V53" s="7">
        <v>0</v>
      </c>
      <c r="W53" s="7">
        <v>0</v>
      </c>
      <c r="X53" s="7">
        <v>0</v>
      </c>
      <c r="Y53" s="7">
        <v>0</v>
      </c>
      <c r="Z53" s="7">
        <v>0</v>
      </c>
      <c r="AA53" s="7">
        <v>244213.9203</v>
      </c>
    </row>
    <row r="54" spans="1:27" x14ac:dyDescent="0.2">
      <c r="A54" s="7" t="s">
        <v>24</v>
      </c>
      <c r="B54" s="7">
        <v>6.4</v>
      </c>
      <c r="C54" s="7">
        <v>859.5</v>
      </c>
      <c r="D54" s="7">
        <v>270.7</v>
      </c>
      <c r="E54" s="7">
        <v>1728.8</v>
      </c>
      <c r="F54" s="7">
        <v>-91.1</v>
      </c>
      <c r="G54" s="7">
        <v>-64.099999999999994</v>
      </c>
      <c r="H54" s="7">
        <v>412.4</v>
      </c>
      <c r="I54" s="7">
        <v>81.900000000000006</v>
      </c>
      <c r="J54" s="7">
        <v>-221.3</v>
      </c>
      <c r="K54" s="7">
        <v>-57.3</v>
      </c>
      <c r="L54" s="7">
        <v>-99</v>
      </c>
      <c r="M54" s="7">
        <v>1781.9</v>
      </c>
      <c r="N54" s="7">
        <v>1128.9000000000001</v>
      </c>
      <c r="O54" s="7">
        <v>-394.6</v>
      </c>
      <c r="P54" s="7">
        <v>-145.4</v>
      </c>
      <c r="Q54" s="7">
        <v>24.3</v>
      </c>
      <c r="R54" s="7">
        <v>-119.7</v>
      </c>
      <c r="S54" s="7">
        <v>-66.099999999999994</v>
      </c>
      <c r="T54" s="7">
        <v>165.7</v>
      </c>
      <c r="U54" s="7">
        <v>331.4</v>
      </c>
      <c r="V54" s="7">
        <v>0</v>
      </c>
      <c r="W54" s="7">
        <v>0</v>
      </c>
      <c r="X54" s="7">
        <v>0</v>
      </c>
      <c r="Y54" s="7">
        <v>0</v>
      </c>
      <c r="Z54" s="7">
        <v>0</v>
      </c>
      <c r="AA54" s="7">
        <v>5533.3</v>
      </c>
    </row>
    <row r="55" spans="1:27" x14ac:dyDescent="0.2">
      <c r="A55" s="7" t="s">
        <v>25</v>
      </c>
      <c r="B55" s="7">
        <v>90.525199999999998</v>
      </c>
      <c r="C55" s="7">
        <v>108658.2637</v>
      </c>
      <c r="D55" s="7">
        <v>6044.2293</v>
      </c>
      <c r="E55" s="7">
        <v>4607.6813000000002</v>
      </c>
      <c r="F55" s="7">
        <v>115761.836</v>
      </c>
      <c r="G55" s="7">
        <v>2850.8198000000002</v>
      </c>
      <c r="H55" s="7">
        <v>65383.8289</v>
      </c>
      <c r="I55" s="7">
        <v>1952.9903999999999</v>
      </c>
      <c r="J55" s="7">
        <v>1227.3981000000001</v>
      </c>
      <c r="K55" s="7">
        <v>10610.683300000001</v>
      </c>
      <c r="L55" s="7">
        <v>46466.165000000001</v>
      </c>
      <c r="M55" s="7">
        <v>13428.9259</v>
      </c>
      <c r="N55" s="7">
        <v>19370.400000000001</v>
      </c>
      <c r="O55" s="7">
        <v>7362.4804999999997</v>
      </c>
      <c r="P55" s="7">
        <v>8967.1802000000007</v>
      </c>
      <c r="Q55" s="7">
        <v>672.77160000000003</v>
      </c>
      <c r="R55" s="7">
        <v>2857.6432</v>
      </c>
      <c r="S55" s="7">
        <v>1357.2032999999999</v>
      </c>
      <c r="T55" s="7">
        <v>2246.2802000000001</v>
      </c>
      <c r="U55" s="7">
        <v>296.84640000000002</v>
      </c>
      <c r="V55" s="7">
        <v>0</v>
      </c>
      <c r="W55" s="7">
        <v>0</v>
      </c>
      <c r="X55" s="7">
        <v>0</v>
      </c>
      <c r="Y55" s="7">
        <v>0</v>
      </c>
      <c r="Z55" s="7">
        <v>0</v>
      </c>
      <c r="AA55" s="7">
        <v>420214.15240000002</v>
      </c>
    </row>
    <row r="56" spans="1:27" x14ac:dyDescent="0.2">
      <c r="A56" s="7" t="s">
        <v>49</v>
      </c>
      <c r="B56" s="7">
        <v>741.99860000000001</v>
      </c>
      <c r="C56" s="7">
        <v>476617.81</v>
      </c>
      <c r="D56" s="7">
        <v>23877.1011</v>
      </c>
      <c r="E56" s="7">
        <v>71085.050199999998</v>
      </c>
      <c r="F56" s="7">
        <v>316027.3591</v>
      </c>
      <c r="G56" s="7">
        <v>16798.331999999999</v>
      </c>
      <c r="H56" s="7">
        <v>320144.78480000002</v>
      </c>
      <c r="I56" s="7">
        <v>6537.4173000000001</v>
      </c>
      <c r="J56" s="7">
        <v>14810.2091</v>
      </c>
      <c r="K56" s="7">
        <v>182675.8057</v>
      </c>
      <c r="L56" s="7">
        <v>169696.6379</v>
      </c>
      <c r="M56" s="7">
        <v>38956.7094</v>
      </c>
      <c r="N56" s="7">
        <v>24745.4</v>
      </c>
      <c r="O56" s="7">
        <v>77860.909499999994</v>
      </c>
      <c r="P56" s="7">
        <v>30222.066200000001</v>
      </c>
      <c r="Q56" s="7">
        <v>47288.989800000003</v>
      </c>
      <c r="R56" s="7">
        <v>21929.160500000002</v>
      </c>
      <c r="S56" s="7">
        <v>28406.133399999999</v>
      </c>
      <c r="T56" s="7">
        <v>8630.9861000000001</v>
      </c>
      <c r="U56" s="7">
        <v>10159.1993</v>
      </c>
      <c r="V56" s="7">
        <v>198297.34210000001</v>
      </c>
      <c r="W56" s="7">
        <v>64865.605900000002</v>
      </c>
      <c r="X56" s="7">
        <v>145705.95060000001</v>
      </c>
      <c r="Y56" s="7">
        <v>10241.200000000001</v>
      </c>
      <c r="Z56" s="7">
        <v>1328797.4021999999</v>
      </c>
      <c r="AA56" s="7">
        <v>3635119.5606999998</v>
      </c>
    </row>
    <row r="62" spans="1:27" x14ac:dyDescent="0.2">
      <c r="L62" t="s">
        <v>101</v>
      </c>
    </row>
    <row r="70" spans="1:77" ht="19" x14ac:dyDescent="0.2">
      <c r="A70" s="24" t="s">
        <v>99</v>
      </c>
      <c r="B70" s="25"/>
      <c r="C70" s="25"/>
      <c r="D70" s="25"/>
      <c r="E70" s="25"/>
      <c r="F70" s="25"/>
      <c r="G70" s="25"/>
      <c r="H70" s="25"/>
      <c r="I70" s="25"/>
      <c r="J70" s="25"/>
      <c r="K70" s="25"/>
      <c r="L70" s="25"/>
      <c r="M70" s="25"/>
      <c r="N70" s="25"/>
      <c r="O70" s="25"/>
      <c r="P70" s="25"/>
      <c r="Q70" s="25"/>
      <c r="R70" s="25"/>
      <c r="S70" s="25"/>
      <c r="T70" s="25"/>
      <c r="U70" s="25"/>
      <c r="V70" s="25"/>
      <c r="W70" s="25"/>
      <c r="X70" s="25"/>
      <c r="Y70" s="25"/>
      <c r="Z70" s="26"/>
    </row>
    <row r="71" spans="1:77" ht="102" x14ac:dyDescent="0.2">
      <c r="A71" s="8"/>
      <c r="B71" s="8" t="s">
        <v>1</v>
      </c>
      <c r="C71" s="8" t="s">
        <v>2</v>
      </c>
      <c r="D71" s="8" t="s">
        <v>3</v>
      </c>
      <c r="E71" s="8" t="s">
        <v>4</v>
      </c>
      <c r="F71" s="8" t="s">
        <v>5</v>
      </c>
      <c r="G71" s="8" t="s">
        <v>6</v>
      </c>
      <c r="H71" s="8" t="s">
        <v>7</v>
      </c>
      <c r="I71" s="8" t="s">
        <v>8</v>
      </c>
      <c r="J71" s="8" t="s">
        <v>9</v>
      </c>
      <c r="K71" s="8" t="s">
        <v>10</v>
      </c>
      <c r="L71" s="8" t="s">
        <v>11</v>
      </c>
      <c r="M71" s="8" t="s">
        <v>12</v>
      </c>
      <c r="N71" s="8" t="s">
        <v>13</v>
      </c>
      <c r="O71" s="8" t="s">
        <v>14</v>
      </c>
      <c r="P71" s="8" t="s">
        <v>15</v>
      </c>
      <c r="Q71" s="8" t="s">
        <v>16</v>
      </c>
      <c r="R71" s="8" t="s">
        <v>17</v>
      </c>
      <c r="S71" s="8" t="s">
        <v>18</v>
      </c>
      <c r="T71" s="8" t="s">
        <v>19</v>
      </c>
      <c r="U71" s="8" t="s">
        <v>20</v>
      </c>
      <c r="V71" s="8" t="s">
        <v>40</v>
      </c>
      <c r="W71" s="8" t="s">
        <v>41</v>
      </c>
      <c r="X71" s="8" t="s">
        <v>42</v>
      </c>
      <c r="Y71" s="8" t="s">
        <v>43</v>
      </c>
      <c r="Z71" s="8" t="s">
        <v>44</v>
      </c>
      <c r="AC71" s="23" t="s">
        <v>100</v>
      </c>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E71" s="24" t="s">
        <v>66</v>
      </c>
      <c r="BF71" s="25"/>
      <c r="BG71" s="25"/>
      <c r="BH71" s="25"/>
      <c r="BI71" s="25"/>
      <c r="BJ71" s="25"/>
      <c r="BK71" s="25"/>
      <c r="BL71" s="25"/>
      <c r="BM71" s="25"/>
      <c r="BN71" s="25"/>
      <c r="BO71" s="25"/>
      <c r="BP71" s="25"/>
      <c r="BQ71" s="25"/>
      <c r="BR71" s="25"/>
      <c r="BS71" s="25"/>
      <c r="BT71" s="25"/>
      <c r="BU71" s="25"/>
      <c r="BV71" s="25"/>
      <c r="BW71" s="25"/>
      <c r="BX71" s="25"/>
      <c r="BY71" s="26"/>
    </row>
    <row r="72" spans="1:77" ht="85" x14ac:dyDescent="0.2">
      <c r="A72" s="3" t="s">
        <v>1</v>
      </c>
      <c r="B72" s="3">
        <f>B31/B$56</f>
        <v>0.20263043622993357</v>
      </c>
      <c r="C72" s="3">
        <f t="shared" ref="C72:Z72" si="1">C31/C$56</f>
        <v>1.0383770593885277E-4</v>
      </c>
      <c r="D72" s="3">
        <f t="shared" si="1"/>
        <v>5.6325933134320065E-5</v>
      </c>
      <c r="E72" s="3">
        <f t="shared" si="1"/>
        <v>7.6228405054991436E-5</v>
      </c>
      <c r="F72" s="3">
        <f t="shared" si="1"/>
        <v>6.1070661903968046E-8</v>
      </c>
      <c r="G72" s="3">
        <f t="shared" si="1"/>
        <v>1.643020271298365E-5</v>
      </c>
      <c r="H72" s="3">
        <f t="shared" si="1"/>
        <v>5.4893913111777793E-6</v>
      </c>
      <c r="I72" s="3">
        <f t="shared" si="1"/>
        <v>1.3587017001347001E-3</v>
      </c>
      <c r="J72" s="3">
        <f t="shared" si="1"/>
        <v>4.8202155363221717E-3</v>
      </c>
      <c r="K72" s="3">
        <f t="shared" si="1"/>
        <v>1.9266919264503346E-5</v>
      </c>
      <c r="L72" s="3">
        <f t="shared" si="1"/>
        <v>4.6860091622357357E-6</v>
      </c>
      <c r="M72" s="3">
        <f t="shared" si="1"/>
        <v>0</v>
      </c>
      <c r="N72" s="3">
        <f t="shared" si="1"/>
        <v>0</v>
      </c>
      <c r="O72" s="3">
        <f t="shared" si="1"/>
        <v>5.5958760666673183E-6</v>
      </c>
      <c r="P72" s="3">
        <f t="shared" si="1"/>
        <v>1.4559891341909639E-4</v>
      </c>
      <c r="Q72" s="3">
        <f t="shared" si="1"/>
        <v>1.1184421621964951E-5</v>
      </c>
      <c r="R72" s="3">
        <f t="shared" si="1"/>
        <v>7.0955748625215258E-6</v>
      </c>
      <c r="S72" s="3">
        <f t="shared" si="1"/>
        <v>3.2901345172166236E-5</v>
      </c>
      <c r="T72" s="3">
        <f t="shared" si="1"/>
        <v>8.6432765776323051E-5</v>
      </c>
      <c r="U72" s="3">
        <f t="shared" si="1"/>
        <v>1.1495984727851534E-4</v>
      </c>
      <c r="V72" s="3">
        <f t="shared" si="1"/>
        <v>9.5108839081106363E-4</v>
      </c>
      <c r="W72" s="3">
        <f t="shared" si="1"/>
        <v>0</v>
      </c>
      <c r="X72" s="3">
        <f t="shared" si="1"/>
        <v>7.2069808794754874E-6</v>
      </c>
      <c r="Y72" s="3">
        <f t="shared" si="1"/>
        <v>2.2147111666601569E-3</v>
      </c>
      <c r="Z72" s="3">
        <f t="shared" si="1"/>
        <v>1.2068024797046071E-4</v>
      </c>
      <c r="AC72" s="8"/>
      <c r="AD72" s="8" t="s">
        <v>1</v>
      </c>
      <c r="AE72" s="8" t="s">
        <v>2</v>
      </c>
      <c r="AF72" s="8" t="s">
        <v>3</v>
      </c>
      <c r="AG72" s="8" t="s">
        <v>4</v>
      </c>
      <c r="AH72" s="8" t="s">
        <v>5</v>
      </c>
      <c r="AI72" s="8" t="s">
        <v>6</v>
      </c>
      <c r="AJ72" s="8" t="s">
        <v>7</v>
      </c>
      <c r="AK72" s="8" t="s">
        <v>8</v>
      </c>
      <c r="AL72" s="8" t="s">
        <v>9</v>
      </c>
      <c r="AM72" s="8" t="s">
        <v>10</v>
      </c>
      <c r="AN72" s="8" t="s">
        <v>11</v>
      </c>
      <c r="AO72" s="8" t="s">
        <v>12</v>
      </c>
      <c r="AP72" s="8" t="s">
        <v>13</v>
      </c>
      <c r="AQ72" s="8" t="s">
        <v>14</v>
      </c>
      <c r="AR72" s="8" t="s">
        <v>15</v>
      </c>
      <c r="AS72" s="8" t="s">
        <v>16</v>
      </c>
      <c r="AT72" s="8" t="s">
        <v>17</v>
      </c>
      <c r="AU72" s="8" t="s">
        <v>18</v>
      </c>
      <c r="AV72" s="8" t="s">
        <v>19</v>
      </c>
      <c r="AW72" s="8" t="s">
        <v>20</v>
      </c>
      <c r="AX72" s="8" t="s">
        <v>40</v>
      </c>
      <c r="AY72" s="8" t="s">
        <v>41</v>
      </c>
      <c r="AZ72" s="8" t="s">
        <v>42</v>
      </c>
      <c r="BA72" s="8" t="s">
        <v>43</v>
      </c>
      <c r="BB72" s="8" t="s">
        <v>44</v>
      </c>
      <c r="BC72" s="8" t="s">
        <v>49</v>
      </c>
      <c r="BE72" s="3" t="s">
        <v>0</v>
      </c>
      <c r="BF72" s="3" t="s">
        <v>1</v>
      </c>
      <c r="BG72" s="3" t="s">
        <v>2</v>
      </c>
      <c r="BH72" s="3" t="s">
        <v>3</v>
      </c>
      <c r="BI72" s="3" t="s">
        <v>4</v>
      </c>
      <c r="BJ72" s="3" t="s">
        <v>5</v>
      </c>
      <c r="BK72" s="3" t="s">
        <v>6</v>
      </c>
      <c r="BL72" s="3" t="s">
        <v>7</v>
      </c>
      <c r="BM72" s="3" t="s">
        <v>8</v>
      </c>
      <c r="BN72" s="3" t="s">
        <v>9</v>
      </c>
      <c r="BO72" s="3" t="s">
        <v>10</v>
      </c>
      <c r="BP72" s="3" t="s">
        <v>11</v>
      </c>
      <c r="BQ72" s="3" t="s">
        <v>12</v>
      </c>
      <c r="BR72" s="3" t="s">
        <v>13</v>
      </c>
      <c r="BS72" s="3" t="s">
        <v>14</v>
      </c>
      <c r="BT72" s="3" t="s">
        <v>15</v>
      </c>
      <c r="BU72" s="3" t="s">
        <v>16</v>
      </c>
      <c r="BV72" s="3" t="s">
        <v>17</v>
      </c>
      <c r="BW72" s="3" t="s">
        <v>18</v>
      </c>
      <c r="BX72" s="3" t="s">
        <v>19</v>
      </c>
      <c r="BY72" s="3" t="s">
        <v>20</v>
      </c>
    </row>
    <row r="73" spans="1:77" x14ac:dyDescent="0.2">
      <c r="A73" s="3" t="s">
        <v>2</v>
      </c>
      <c r="B73" s="3">
        <f t="shared" ref="B73:Z73" si="2">B32/B$56</f>
        <v>4.991990550925568E-2</v>
      </c>
      <c r="C73" s="3">
        <f t="shared" si="2"/>
        <v>0.16607677040016611</v>
      </c>
      <c r="D73" s="3">
        <f t="shared" si="2"/>
        <v>1.1170673478448353E-2</v>
      </c>
      <c r="E73" s="3">
        <f t="shared" si="2"/>
        <v>7.3982235156387355E-2</v>
      </c>
      <c r="F73" s="3">
        <f t="shared" si="2"/>
        <v>1.1688743058575273E-2</v>
      </c>
      <c r="G73" s="3">
        <f t="shared" si="2"/>
        <v>1.9521390576159588E-2</v>
      </c>
      <c r="H73" s="3">
        <f t="shared" si="2"/>
        <v>4.8091868526355573E-2</v>
      </c>
      <c r="I73" s="3">
        <f t="shared" si="2"/>
        <v>3.3861919752315638E-2</v>
      </c>
      <c r="J73" s="3">
        <f t="shared" si="2"/>
        <v>0.10336309161225819</v>
      </c>
      <c r="K73" s="3">
        <f t="shared" si="2"/>
        <v>4.2024496733887952E-2</v>
      </c>
      <c r="L73" s="3">
        <f t="shared" si="2"/>
        <v>1.9723861600442465E-3</v>
      </c>
      <c r="M73" s="3">
        <f t="shared" si="2"/>
        <v>2.5879269977561299E-2</v>
      </c>
      <c r="N73" s="3">
        <f t="shared" si="2"/>
        <v>0</v>
      </c>
      <c r="O73" s="3">
        <f t="shared" si="2"/>
        <v>9.2196604767376886E-2</v>
      </c>
      <c r="P73" s="3">
        <f t="shared" si="2"/>
        <v>4.0515667985665388E-2</v>
      </c>
      <c r="Q73" s="3">
        <f t="shared" si="2"/>
        <v>4.3174392361411781E-2</v>
      </c>
      <c r="R73" s="3">
        <f t="shared" si="2"/>
        <v>2.7547798740403216E-2</v>
      </c>
      <c r="S73" s="3">
        <f t="shared" si="2"/>
        <v>6.3631208603702472E-2</v>
      </c>
      <c r="T73" s="3">
        <f t="shared" si="2"/>
        <v>2.1240585707813852E-2</v>
      </c>
      <c r="U73" s="3">
        <f t="shared" si="2"/>
        <v>4.5492335207952858E-2</v>
      </c>
      <c r="V73" s="3">
        <f t="shared" si="2"/>
        <v>3.0972352604215766E-2</v>
      </c>
      <c r="W73" s="3">
        <f t="shared" si="2"/>
        <v>5.4776024222722933E-3</v>
      </c>
      <c r="X73" s="3">
        <f t="shared" si="2"/>
        <v>6.8658251490793951E-2</v>
      </c>
      <c r="Y73" s="3">
        <f t="shared" si="2"/>
        <v>0.28385920595242742</v>
      </c>
      <c r="Z73" s="3">
        <f t="shared" si="2"/>
        <v>0.23713899242901454</v>
      </c>
      <c r="AC73" s="3" t="s">
        <v>1</v>
      </c>
      <c r="AD73" s="19" cm="1">
        <f t="array" ref="AD73:AW92">MMULT(BB4:BU23,B72:U91)</f>
        <v>0.20263912200418771</v>
      </c>
      <c r="AE73" s="19">
        <v>1.113244786943663E-4</v>
      </c>
      <c r="AF73" s="19">
        <v>6.5556110591006046E-5</v>
      </c>
      <c r="AG73" s="19">
        <v>8.623404466637535E-5</v>
      </c>
      <c r="AH73" s="19">
        <v>2.0188488621266153E-5</v>
      </c>
      <c r="AI73" s="19">
        <v>4.9108142337680343E-5</v>
      </c>
      <c r="AJ73" s="19">
        <v>1.2635441116776475E-5</v>
      </c>
      <c r="AK73" s="19">
        <v>1.3922201586488371E-3</v>
      </c>
      <c r="AL73" s="19">
        <v>4.8420062882180582E-3</v>
      </c>
      <c r="AM73" s="19">
        <v>4.6104776987249325E-5</v>
      </c>
      <c r="AN73" s="19">
        <v>2.0981272093487801E-5</v>
      </c>
      <c r="AO73" s="19">
        <v>5.3400378996604916E-5</v>
      </c>
      <c r="AP73" s="19">
        <v>1.1110470763651235E-5</v>
      </c>
      <c r="AQ73" s="19">
        <v>3.8266063347543657E-5</v>
      </c>
      <c r="AR73" s="19">
        <v>1.8834869551503973E-4</v>
      </c>
      <c r="AS73" s="19">
        <v>3.691233808309154E-5</v>
      </c>
      <c r="AT73" s="19">
        <v>2.3894187252975707E-5</v>
      </c>
      <c r="AU73" s="19">
        <v>5.2613451535291063E-5</v>
      </c>
      <c r="AV73" s="19">
        <v>1.1398459835533156E-4</v>
      </c>
      <c r="AW73" s="19">
        <v>1.3794716765681711E-4</v>
      </c>
      <c r="AX73" s="3"/>
      <c r="AY73" s="3"/>
      <c r="AZ73" s="3"/>
      <c r="BA73" s="3"/>
      <c r="BB73" s="3"/>
      <c r="BC73" s="3"/>
      <c r="BE73" s="3" t="s">
        <v>1</v>
      </c>
      <c r="BF73" s="5">
        <v>0.20263906158313505</v>
      </c>
      <c r="BG73" s="5">
        <v>1.1132441735653982E-4</v>
      </c>
      <c r="BH73" s="5">
        <v>6.5556534415310569E-5</v>
      </c>
      <c r="BI73" s="5">
        <v>8.6233321672466102E-5</v>
      </c>
      <c r="BJ73" s="5">
        <v>2.0188441969611737E-5</v>
      </c>
      <c r="BK73" s="5">
        <v>4.9106066007029751E-5</v>
      </c>
      <c r="BL73" s="5">
        <v>1.2635533021495592E-5</v>
      </c>
      <c r="BM73" s="5">
        <v>1.3922164644438407E-3</v>
      </c>
      <c r="BN73" s="5">
        <v>4.8420045602192074E-3</v>
      </c>
      <c r="BO73" s="5">
        <v>4.6104627636521217E-5</v>
      </c>
      <c r="BP73" s="5">
        <v>2.0980969594094709E-5</v>
      </c>
      <c r="BQ73" s="5">
        <v>5.3400300796452786E-5</v>
      </c>
      <c r="BR73" s="5">
        <v>1.1109135435272817E-5</v>
      </c>
      <c r="BS73" s="5">
        <v>3.8265671684711059E-5</v>
      </c>
      <c r="BT73" s="5">
        <v>1.8834913411711076E-4</v>
      </c>
      <c r="BU73" s="5">
        <v>3.6913455063910034E-5</v>
      </c>
      <c r="BV73" s="5">
        <v>2.3890563434929484E-5</v>
      </c>
      <c r="BW73" s="5">
        <v>5.2611877123691883E-5</v>
      </c>
      <c r="BX73" s="5">
        <v>1.1398465813773006E-4</v>
      </c>
      <c r="BY73" s="5">
        <v>1.3794394209787773E-4</v>
      </c>
    </row>
    <row r="74" spans="1:77" x14ac:dyDescent="0.2">
      <c r="A74" s="3" t="s">
        <v>3</v>
      </c>
      <c r="B74" s="3">
        <f t="shared" ref="B74:Z74" si="3">B33/B$56</f>
        <v>2.9789544077306884E-2</v>
      </c>
      <c r="C74" s="3">
        <f t="shared" si="3"/>
        <v>9.4669760662112051E-3</v>
      </c>
      <c r="D74" s="3">
        <f t="shared" si="3"/>
        <v>0.17353224257194269</v>
      </c>
      <c r="E74" s="3">
        <f t="shared" si="3"/>
        <v>2.9950699816766817E-3</v>
      </c>
      <c r="F74" s="3">
        <f t="shared" si="3"/>
        <v>1.6775886160927008E-3</v>
      </c>
      <c r="G74" s="3">
        <f t="shared" si="3"/>
        <v>2.6194213806466023E-2</v>
      </c>
      <c r="H74" s="3">
        <f t="shared" si="3"/>
        <v>3.7519327411514344E-3</v>
      </c>
      <c r="I74" s="3">
        <f t="shared" si="3"/>
        <v>5.1026373977992805E-2</v>
      </c>
      <c r="J74" s="3">
        <f t="shared" si="3"/>
        <v>4.6563562698112071E-2</v>
      </c>
      <c r="K74" s="3">
        <f t="shared" si="3"/>
        <v>1.3703694314676287E-2</v>
      </c>
      <c r="L74" s="3">
        <f t="shared" si="3"/>
        <v>2.554996995612251E-3</v>
      </c>
      <c r="M74" s="3">
        <f t="shared" si="3"/>
        <v>3.1624619198458277E-2</v>
      </c>
      <c r="N74" s="3">
        <f t="shared" si="3"/>
        <v>0</v>
      </c>
      <c r="O74" s="3">
        <f t="shared" si="3"/>
        <v>4.3969881959829921E-3</v>
      </c>
      <c r="P74" s="3">
        <f t="shared" si="3"/>
        <v>2.8798461172055796E-3</v>
      </c>
      <c r="Q74" s="3">
        <f t="shared" si="3"/>
        <v>3.5127863949421897E-2</v>
      </c>
      <c r="R74" s="3">
        <f t="shared" si="3"/>
        <v>2.0731217686148995E-2</v>
      </c>
      <c r="S74" s="3">
        <f t="shared" si="3"/>
        <v>1.5834147283135692E-2</v>
      </c>
      <c r="T74" s="3">
        <f t="shared" si="3"/>
        <v>4.4202863448013198E-2</v>
      </c>
      <c r="U74" s="3">
        <f t="shared" si="3"/>
        <v>1.4075371077718692E-2</v>
      </c>
      <c r="V74" s="3">
        <f t="shared" si="3"/>
        <v>1.5659318814440125E-2</v>
      </c>
      <c r="W74" s="3">
        <f t="shared" si="3"/>
        <v>1.1624727612387876E-2</v>
      </c>
      <c r="X74" s="3">
        <f t="shared" si="3"/>
        <v>0</v>
      </c>
      <c r="Y74" s="3">
        <f t="shared" si="3"/>
        <v>-2.2866558606413306E-3</v>
      </c>
      <c r="Z74" s="3">
        <f t="shared" si="3"/>
        <v>4.263713182024462E-4</v>
      </c>
      <c r="AC74" s="3" t="s">
        <v>2</v>
      </c>
      <c r="AD74" s="19">
        <v>5.3346870230330939E-2</v>
      </c>
      <c r="AE74" s="19">
        <v>0.16637706147617889</v>
      </c>
      <c r="AF74" s="19">
        <v>1.6084457404662595E-2</v>
      </c>
      <c r="AG74" s="19">
        <v>7.6700068939489052E-2</v>
      </c>
      <c r="AH74" s="19">
        <v>1.4751993489406597E-2</v>
      </c>
      <c r="AI74" s="19">
        <v>2.4773624931527401E-2</v>
      </c>
      <c r="AJ74" s="19">
        <v>4.91117414483489E-2</v>
      </c>
      <c r="AK74" s="19">
        <v>3.9829348312549515E-2</v>
      </c>
      <c r="AL74" s="19">
        <v>0.10777234613207359</v>
      </c>
      <c r="AM74" s="19">
        <v>4.6630110616938968E-2</v>
      </c>
      <c r="AN74" s="19">
        <v>4.3379778330653812E-3</v>
      </c>
      <c r="AO74" s="19">
        <v>3.3747482532976644E-2</v>
      </c>
      <c r="AP74" s="19">
        <v>1.9082052727440219E-3</v>
      </c>
      <c r="AQ74" s="19">
        <v>9.5900775723888707E-2</v>
      </c>
      <c r="AR74" s="19">
        <v>4.6569539702674204E-2</v>
      </c>
      <c r="AS74" s="19">
        <v>4.7674660960503844E-2</v>
      </c>
      <c r="AT74" s="19">
        <v>3.03729247928161E-2</v>
      </c>
      <c r="AU74" s="19">
        <v>6.6643026833262148E-2</v>
      </c>
      <c r="AV74" s="19">
        <v>2.60064086312181E-2</v>
      </c>
      <c r="AW74" s="19">
        <v>4.9105431765648667E-2</v>
      </c>
      <c r="AX74" s="3"/>
      <c r="AY74" s="3"/>
      <c r="AZ74" s="3"/>
      <c r="BA74" s="3"/>
      <c r="BB74" s="3"/>
      <c r="BC74" s="3"/>
      <c r="BE74" s="3" t="s">
        <v>2</v>
      </c>
      <c r="BF74" s="5">
        <v>5.3346866153116734E-2</v>
      </c>
      <c r="BG74" s="5">
        <v>0.16637706152860715</v>
      </c>
      <c r="BH74" s="5">
        <v>1.6084456751745295E-2</v>
      </c>
      <c r="BI74" s="5">
        <v>7.6700069630111903E-2</v>
      </c>
      <c r="BJ74" s="5">
        <v>1.4751993350439006E-2</v>
      </c>
      <c r="BK74" s="5">
        <v>2.4773626333852671E-2</v>
      </c>
      <c r="BL74" s="5">
        <v>4.9111741457298283E-2</v>
      </c>
      <c r="BM74" s="5">
        <v>3.9829352793495379E-2</v>
      </c>
      <c r="BN74" s="5">
        <v>0.10777234738704669</v>
      </c>
      <c r="BO74" s="5">
        <v>4.6630110470069763E-2</v>
      </c>
      <c r="BP74" s="5">
        <v>4.337977517467363E-3</v>
      </c>
      <c r="BQ74" s="5">
        <v>3.3747483302580997E-2</v>
      </c>
      <c r="BR74" s="5">
        <v>1.9082051613633238E-3</v>
      </c>
      <c r="BS74" s="5">
        <v>9.590077547193307E-2</v>
      </c>
      <c r="BT74" s="5">
        <v>4.6569539312305522E-2</v>
      </c>
      <c r="BU74" s="5">
        <v>4.7674661893496402E-2</v>
      </c>
      <c r="BV74" s="5">
        <v>3.0372922848551358E-2</v>
      </c>
      <c r="BW74" s="5">
        <v>6.6643026466953081E-2</v>
      </c>
      <c r="BX74" s="5">
        <v>2.6006402675124225E-2</v>
      </c>
      <c r="BY74" s="5">
        <v>4.9105434913556623E-2</v>
      </c>
    </row>
    <row r="75" spans="1:77" x14ac:dyDescent="0.2">
      <c r="A75" s="3" t="s">
        <v>4</v>
      </c>
      <c r="B75" s="3">
        <f t="shared" ref="B75:Z75" si="4">B34/B$56</f>
        <v>3.8288481945922812E-4</v>
      </c>
      <c r="C75" s="3">
        <f t="shared" si="4"/>
        <v>9.1128571129140139E-4</v>
      </c>
      <c r="D75" s="3">
        <f t="shared" si="4"/>
        <v>4.5119045041862307E-3</v>
      </c>
      <c r="E75" s="3">
        <f t="shared" si="4"/>
        <v>0.35472491936145528</v>
      </c>
      <c r="F75" s="3">
        <f t="shared" si="4"/>
        <v>2.9992150132168732E-4</v>
      </c>
      <c r="G75" s="3">
        <f t="shared" si="4"/>
        <v>1.0303463462920011E-3</v>
      </c>
      <c r="H75" s="3">
        <f t="shared" si="4"/>
        <v>6.765723206620856E-4</v>
      </c>
      <c r="I75" s="3">
        <f t="shared" si="4"/>
        <v>1.4561239650404449E-2</v>
      </c>
      <c r="J75" s="3">
        <f t="shared" si="4"/>
        <v>2.4485272122187658E-3</v>
      </c>
      <c r="K75" s="3">
        <f t="shared" si="4"/>
        <v>5.5617107920055556E-4</v>
      </c>
      <c r="L75" s="3">
        <f t="shared" si="4"/>
        <v>5.9655041639454899E-4</v>
      </c>
      <c r="M75" s="3">
        <f t="shared" si="4"/>
        <v>5.6364927475111647E-2</v>
      </c>
      <c r="N75" s="3">
        <f t="shared" si="4"/>
        <v>0.10542924341493773</v>
      </c>
      <c r="O75" s="3">
        <f t="shared" si="4"/>
        <v>6.5283337076867832E-3</v>
      </c>
      <c r="P75" s="3">
        <f t="shared" si="4"/>
        <v>2.4740532134761851E-4</v>
      </c>
      <c r="Q75" s="3">
        <f t="shared" si="4"/>
        <v>4.3236575969317912E-3</v>
      </c>
      <c r="R75" s="3">
        <f t="shared" si="4"/>
        <v>6.4569913654469345E-3</v>
      </c>
      <c r="S75" s="3">
        <f t="shared" si="4"/>
        <v>2.3344043015724207E-3</v>
      </c>
      <c r="T75" s="3">
        <f t="shared" si="4"/>
        <v>9.8700309574128505E-3</v>
      </c>
      <c r="U75" s="3">
        <f t="shared" si="4"/>
        <v>1.0166057082864788E-3</v>
      </c>
      <c r="V75" s="3">
        <f t="shared" si="4"/>
        <v>0</v>
      </c>
      <c r="W75" s="3">
        <f t="shared" si="4"/>
        <v>0</v>
      </c>
      <c r="X75" s="3">
        <f t="shared" si="4"/>
        <v>0.27144510596261123</v>
      </c>
      <c r="Y75" s="3">
        <f t="shared" si="4"/>
        <v>0</v>
      </c>
      <c r="Z75" s="3">
        <f t="shared" si="4"/>
        <v>9.7024211355731694E-4</v>
      </c>
      <c r="AC75" s="3" t="s">
        <v>3</v>
      </c>
      <c r="AD75" s="19">
        <v>2.8927325085476088E-2</v>
      </c>
      <c r="AE75" s="19">
        <v>9.2193062041486841E-3</v>
      </c>
      <c r="AF75" s="19">
        <v>0.168410143208781</v>
      </c>
      <c r="AG75" s="19">
        <v>3.1129563880232056E-3</v>
      </c>
      <c r="AH75" s="19">
        <v>1.7633701492616681E-3</v>
      </c>
      <c r="AI75" s="19">
        <v>2.5695492291714205E-2</v>
      </c>
      <c r="AJ75" s="19">
        <v>3.7103146806056145E-3</v>
      </c>
      <c r="AK75" s="19">
        <v>4.9742797419611809E-2</v>
      </c>
      <c r="AL75" s="19">
        <v>4.5340972286194388E-2</v>
      </c>
      <c r="AM75" s="19">
        <v>1.349885279744378E-2</v>
      </c>
      <c r="AN75" s="19">
        <v>2.5969186330512236E-3</v>
      </c>
      <c r="AO75" s="19">
        <v>3.1015630373300501E-2</v>
      </c>
      <c r="AP75" s="19">
        <v>1.000789768725006E-4</v>
      </c>
      <c r="AQ75" s="19">
        <v>4.5051290465938955E-3</v>
      </c>
      <c r="AR75" s="19">
        <v>2.9692202868709669E-3</v>
      </c>
      <c r="AS75" s="19">
        <v>3.4245776505825547E-2</v>
      </c>
      <c r="AT75" s="19">
        <v>2.0223014150380862E-2</v>
      </c>
      <c r="AU75" s="19">
        <v>1.5465851091833112E-2</v>
      </c>
      <c r="AV75" s="19">
        <v>4.3063630282225103E-2</v>
      </c>
      <c r="AW75" s="19">
        <v>1.3821277158980714E-2</v>
      </c>
      <c r="AX75" s="3"/>
      <c r="AY75" s="3"/>
      <c r="AZ75" s="3"/>
      <c r="BA75" s="3"/>
      <c r="BB75" s="3"/>
      <c r="BC75" s="3"/>
      <c r="BE75" s="3" t="s">
        <v>3</v>
      </c>
      <c r="BF75" s="5">
        <v>2.8927278299446923E-2</v>
      </c>
      <c r="BG75" s="5">
        <v>9.2193061354547377E-3</v>
      </c>
      <c r="BH75" s="5">
        <v>0.16841014674097099</v>
      </c>
      <c r="BI75" s="5">
        <v>3.1129569350715602E-3</v>
      </c>
      <c r="BJ75" s="5">
        <v>1.7633704296584744E-3</v>
      </c>
      <c r="BK75" s="5">
        <v>2.5695491671434999E-2</v>
      </c>
      <c r="BL75" s="5">
        <v>3.710314696339854E-3</v>
      </c>
      <c r="BM75" s="5">
        <v>4.9742793687042125E-2</v>
      </c>
      <c r="BN75" s="5">
        <v>4.5340973612587286E-2</v>
      </c>
      <c r="BO75" s="5">
        <v>1.3498852738329539E-2</v>
      </c>
      <c r="BP75" s="5">
        <v>2.5969188632935197E-3</v>
      </c>
      <c r="BQ75" s="5">
        <v>3.101563039100012E-2</v>
      </c>
      <c r="BR75" s="5">
        <v>1.000792066404261E-4</v>
      </c>
      <c r="BS75" s="5">
        <v>4.5051284688627999E-3</v>
      </c>
      <c r="BT75" s="5">
        <v>2.9692212109574427E-3</v>
      </c>
      <c r="BU75" s="5">
        <v>3.4245774901285796E-2</v>
      </c>
      <c r="BV75" s="5">
        <v>2.0223017657242281E-2</v>
      </c>
      <c r="BW75" s="5">
        <v>1.5465850061803905E-2</v>
      </c>
      <c r="BX75" s="5">
        <v>4.306363093320241E-2</v>
      </c>
      <c r="BY75" s="5">
        <v>1.3821276249595772E-2</v>
      </c>
    </row>
    <row r="76" spans="1:77" x14ac:dyDescent="0.2">
      <c r="A76" s="3" t="s">
        <v>5</v>
      </c>
      <c r="B76" s="3">
        <f t="shared" ref="B76:Z76" si="5">B35/B$56</f>
        <v>8.2775627878543173E-2</v>
      </c>
      <c r="C76" s="3">
        <f t="shared" si="5"/>
        <v>3.3775278980867289E-2</v>
      </c>
      <c r="D76" s="3">
        <f t="shared" si="5"/>
        <v>7.0901111190587538E-3</v>
      </c>
      <c r="E76" s="3">
        <f t="shared" si="5"/>
        <v>3.3630428525743661E-2</v>
      </c>
      <c r="F76" s="3">
        <f t="shared" si="5"/>
        <v>1.4283899384077092E-2</v>
      </c>
      <c r="G76" s="3">
        <f t="shared" si="5"/>
        <v>1.7607015982301102E-2</v>
      </c>
      <c r="H76" s="3">
        <f t="shared" si="5"/>
        <v>6.8140741426189859E-3</v>
      </c>
      <c r="I76" s="3">
        <f t="shared" si="5"/>
        <v>2.9310397547973568E-2</v>
      </c>
      <c r="J76" s="3">
        <f t="shared" si="5"/>
        <v>6.1117185712118008E-2</v>
      </c>
      <c r="K76" s="3">
        <f t="shared" si="5"/>
        <v>1.471461034316927E-2</v>
      </c>
      <c r="L76" s="3">
        <f t="shared" si="5"/>
        <v>1.4676159945299658E-3</v>
      </c>
      <c r="M76" s="3">
        <f t="shared" si="5"/>
        <v>3.1590681527120974E-3</v>
      </c>
      <c r="N76" s="3">
        <f t="shared" si="5"/>
        <v>0</v>
      </c>
      <c r="O76" s="3">
        <f t="shared" si="5"/>
        <v>1.1181887106006642E-2</v>
      </c>
      <c r="P76" s="3">
        <f t="shared" si="5"/>
        <v>1.2678643394672996E-2</v>
      </c>
      <c r="Q76" s="3">
        <f t="shared" si="5"/>
        <v>1.5471886861918119E-2</v>
      </c>
      <c r="R76" s="3">
        <f t="shared" si="5"/>
        <v>9.8931283757989728E-3</v>
      </c>
      <c r="S76" s="3">
        <f t="shared" si="5"/>
        <v>1.9073458269403185E-2</v>
      </c>
      <c r="T76" s="3">
        <f t="shared" si="5"/>
        <v>5.9930579658794723E-3</v>
      </c>
      <c r="U76" s="3">
        <f t="shared" si="5"/>
        <v>2.4374007506674268E-2</v>
      </c>
      <c r="V76" s="3">
        <f t="shared" si="5"/>
        <v>3.5518642486131437E-2</v>
      </c>
      <c r="W76" s="3">
        <f t="shared" si="5"/>
        <v>0</v>
      </c>
      <c r="X76" s="3">
        <f t="shared" si="5"/>
        <v>4.6083118584725802E-2</v>
      </c>
      <c r="Y76" s="3">
        <f t="shared" si="5"/>
        <v>0</v>
      </c>
      <c r="Z76" s="3">
        <f t="shared" si="5"/>
        <v>0.18726878505933914</v>
      </c>
      <c r="AC76" s="3" t="s">
        <v>4</v>
      </c>
      <c r="AD76" s="19">
        <v>4.5499021365936256E-4</v>
      </c>
      <c r="AE76" s="19">
        <v>1.0065915189977101E-3</v>
      </c>
      <c r="AF76" s="19">
        <v>4.5725287455968596E-3</v>
      </c>
      <c r="AG76" s="19">
        <v>0.33929694940244837</v>
      </c>
      <c r="AH76" s="19">
        <v>6.6321208990743311E-4</v>
      </c>
      <c r="AI76" s="19">
        <v>2.1816767072905287E-3</v>
      </c>
      <c r="AJ76" s="19">
        <v>9.0776562439464021E-4</v>
      </c>
      <c r="AK76" s="19">
        <v>1.4575485832029575E-2</v>
      </c>
      <c r="AL76" s="19">
        <v>3.1317826097171596E-3</v>
      </c>
      <c r="AM76" s="19">
        <v>1.0235189793977937E-3</v>
      </c>
      <c r="AN76" s="19">
        <v>8.4588807522020955E-4</v>
      </c>
      <c r="AO76" s="19">
        <v>5.5087940003911207E-2</v>
      </c>
      <c r="AP76" s="19">
        <v>0.10104470904713173</v>
      </c>
      <c r="AQ76" s="19">
        <v>6.6655129295981963E-3</v>
      </c>
      <c r="AR76" s="19">
        <v>1.5394305105164733E-3</v>
      </c>
      <c r="AS76" s="19">
        <v>4.6816272297918668E-3</v>
      </c>
      <c r="AT76" s="19">
        <v>6.5589261484355378E-3</v>
      </c>
      <c r="AU76" s="19">
        <v>2.8319095912032327E-3</v>
      </c>
      <c r="AV76" s="19">
        <v>1.0080642803345342E-2</v>
      </c>
      <c r="AW76" s="19">
        <v>1.5782885579915926E-3</v>
      </c>
      <c r="AX76" s="3"/>
      <c r="AY76" s="3"/>
      <c r="AZ76" s="3"/>
      <c r="BA76" s="3"/>
      <c r="BB76" s="3"/>
      <c r="BC76" s="3"/>
      <c r="BE76" s="3" t="s">
        <v>4</v>
      </c>
      <c r="BF76" s="5">
        <v>4.5498738137780852E-4</v>
      </c>
      <c r="BG76" s="5">
        <v>1.0065916336613606E-3</v>
      </c>
      <c r="BH76" s="5">
        <v>4.57252744136515E-3</v>
      </c>
      <c r="BI76" s="5">
        <v>0.33929694967001656</v>
      </c>
      <c r="BJ76" s="5">
        <v>6.6321188329039192E-4</v>
      </c>
      <c r="BK76" s="5">
        <v>2.1816749424883376E-3</v>
      </c>
      <c r="BL76" s="5">
        <v>9.0776552921689193E-4</v>
      </c>
      <c r="BM76" s="5">
        <v>1.4575480748337727E-2</v>
      </c>
      <c r="BN76" s="5">
        <v>3.1317856275236517E-3</v>
      </c>
      <c r="BO76" s="5">
        <v>1.0235186826385515E-3</v>
      </c>
      <c r="BP76" s="5">
        <v>8.4588829676512987E-4</v>
      </c>
      <c r="BQ76" s="5">
        <v>5.5087940769453177E-2</v>
      </c>
      <c r="BR76" s="5">
        <v>0.1010447113402895</v>
      </c>
      <c r="BS76" s="5">
        <v>6.6655129426660504E-3</v>
      </c>
      <c r="BT76" s="5">
        <v>1.539428167886152E-3</v>
      </c>
      <c r="BU76" s="5">
        <v>4.6816267578632014E-3</v>
      </c>
      <c r="BV76" s="5">
        <v>6.5589286922315138E-3</v>
      </c>
      <c r="BW76" s="5">
        <v>2.8319095340163403E-3</v>
      </c>
      <c r="BX76" s="5">
        <v>1.0080644203563251E-2</v>
      </c>
      <c r="BY76" s="5">
        <v>1.5782936751718216E-3</v>
      </c>
    </row>
    <row r="77" spans="1:77" x14ac:dyDescent="0.2">
      <c r="A77" s="3" t="s">
        <v>6</v>
      </c>
      <c r="B77" s="3">
        <f t="shared" ref="B77:Z77" si="6">B36/B$56</f>
        <v>0</v>
      </c>
      <c r="C77" s="3">
        <f t="shared" si="6"/>
        <v>1.4745567313147614E-6</v>
      </c>
      <c r="D77" s="3">
        <f t="shared" si="6"/>
        <v>0</v>
      </c>
      <c r="E77" s="3">
        <f t="shared" si="6"/>
        <v>3.6651025675156659E-3</v>
      </c>
      <c r="F77" s="3">
        <f t="shared" si="6"/>
        <v>1.4300549841224175E-3</v>
      </c>
      <c r="G77" s="3">
        <f t="shared" si="6"/>
        <v>1.3403431959792201E-2</v>
      </c>
      <c r="H77" s="3">
        <f t="shared" si="6"/>
        <v>7.5084683997013837E-4</v>
      </c>
      <c r="I77" s="3">
        <f t="shared" si="6"/>
        <v>2.2255271971088645E-3</v>
      </c>
      <c r="J77" s="3">
        <f t="shared" si="6"/>
        <v>1.3947271007807717E-2</v>
      </c>
      <c r="K77" s="3">
        <f t="shared" si="6"/>
        <v>1.227813935953534E-3</v>
      </c>
      <c r="L77" s="3">
        <f t="shared" si="6"/>
        <v>1.7114658463130342E-4</v>
      </c>
      <c r="M77" s="3">
        <f t="shared" si="6"/>
        <v>3.5152352985953175E-4</v>
      </c>
      <c r="N77" s="3">
        <f t="shared" si="6"/>
        <v>0</v>
      </c>
      <c r="O77" s="3">
        <f t="shared" si="6"/>
        <v>1.1977897586721614E-3</v>
      </c>
      <c r="P77" s="3">
        <f t="shared" si="6"/>
        <v>1.0401141931189338E-3</v>
      </c>
      <c r="Q77" s="3">
        <f t="shared" si="6"/>
        <v>1.779737743520163E-3</v>
      </c>
      <c r="R77" s="3">
        <f t="shared" si="6"/>
        <v>1.1161941196973773E-3</v>
      </c>
      <c r="S77" s="3">
        <f t="shared" si="6"/>
        <v>2.132018432329125E-3</v>
      </c>
      <c r="T77" s="3">
        <f t="shared" si="6"/>
        <v>8.2704338963076305E-4</v>
      </c>
      <c r="U77" s="3">
        <f t="shared" si="6"/>
        <v>2.7715176332843475E-3</v>
      </c>
      <c r="V77" s="3">
        <f t="shared" si="6"/>
        <v>6.8195445570725072E-2</v>
      </c>
      <c r="W77" s="3">
        <f t="shared" si="6"/>
        <v>0</v>
      </c>
      <c r="X77" s="3">
        <f t="shared" si="6"/>
        <v>1.3569109510342813E-4</v>
      </c>
      <c r="Y77" s="3">
        <f t="shared" si="6"/>
        <v>0</v>
      </c>
      <c r="Z77" s="3">
        <f t="shared" si="6"/>
        <v>1.2573114586421638E-3</v>
      </c>
      <c r="AC77" s="3" t="s">
        <v>5</v>
      </c>
      <c r="AD77" s="19">
        <v>7.8418707243566296E-2</v>
      </c>
      <c r="AE77" s="19">
        <v>3.3204436067149387E-2</v>
      </c>
      <c r="AF77" s="19">
        <v>8.8252766565631979E-3</v>
      </c>
      <c r="AG77" s="19">
        <v>3.3681374651742466E-2</v>
      </c>
      <c r="AH77" s="19">
        <v>2.0633200005845655E-2</v>
      </c>
      <c r="AI77" s="19">
        <v>2.58817662474367E-2</v>
      </c>
      <c r="AJ77" s="19">
        <v>1.8447383243104111E-2</v>
      </c>
      <c r="AK77" s="19">
        <v>3.3670939648711797E-2</v>
      </c>
      <c r="AL77" s="19">
        <v>6.2249520053057499E-2</v>
      </c>
      <c r="AM77" s="19">
        <v>3.9847835786604155E-2</v>
      </c>
      <c r="AN77" s="19">
        <v>7.3968997953351504E-3</v>
      </c>
      <c r="AO77" s="19">
        <v>1.1894912604091758E-2</v>
      </c>
      <c r="AP77" s="19">
        <v>1.8756551048557033E-3</v>
      </c>
      <c r="AQ77" s="19">
        <v>1.8799218728975272E-2</v>
      </c>
      <c r="AR77" s="19">
        <v>1.9712022847541387E-2</v>
      </c>
      <c r="AS77" s="19">
        <v>2.7069007207599957E-2</v>
      </c>
      <c r="AT77" s="19">
        <v>1.4386727313903273E-2</v>
      </c>
      <c r="AU77" s="19">
        <v>2.365020283819309E-2</v>
      </c>
      <c r="AV77" s="19">
        <v>1.3269754199699935E-2</v>
      </c>
      <c r="AW77" s="19">
        <v>2.8515966602031161E-2</v>
      </c>
      <c r="AX77" s="3"/>
      <c r="AY77" s="3"/>
      <c r="AZ77" s="3"/>
      <c r="BA77" s="3"/>
      <c r="BB77" s="3"/>
      <c r="BC77" s="3"/>
      <c r="BE77" s="3" t="s">
        <v>5</v>
      </c>
      <c r="BF77" s="5">
        <v>7.8418746342648088E-2</v>
      </c>
      <c r="BG77" s="5">
        <v>3.3204436065870049E-2</v>
      </c>
      <c r="BH77" s="5">
        <v>8.8252756947952947E-3</v>
      </c>
      <c r="BI77" s="5">
        <v>3.368137454026867E-2</v>
      </c>
      <c r="BJ77" s="5">
        <v>2.0633199981703737E-2</v>
      </c>
      <c r="BK77" s="5">
        <v>2.5881766118207455E-2</v>
      </c>
      <c r="BL77" s="5">
        <v>1.844738312288759E-2</v>
      </c>
      <c r="BM77" s="5">
        <v>3.3670942193027818E-2</v>
      </c>
      <c r="BN77" s="5">
        <v>6.224951948855334E-2</v>
      </c>
      <c r="BO77" s="5">
        <v>3.9847835744347831E-2</v>
      </c>
      <c r="BP77" s="5">
        <v>7.3968996412273648E-3</v>
      </c>
      <c r="BQ77" s="5">
        <v>1.189491379371996E-2</v>
      </c>
      <c r="BR77" s="5">
        <v>1.8756536568412714E-3</v>
      </c>
      <c r="BS77" s="5">
        <v>1.8799217853986156E-2</v>
      </c>
      <c r="BT77" s="5">
        <v>1.9712024189795469E-2</v>
      </c>
      <c r="BU77" s="5">
        <v>2.7069007086296438E-2</v>
      </c>
      <c r="BV77" s="5">
        <v>1.4386729487432954E-2</v>
      </c>
      <c r="BW77" s="5">
        <v>2.3650205768589398E-2</v>
      </c>
      <c r="BX77" s="5">
        <v>1.3269758365153664E-2</v>
      </c>
      <c r="BY77" s="5">
        <v>2.851596778891817E-2</v>
      </c>
    </row>
    <row r="78" spans="1:77" x14ac:dyDescent="0.2">
      <c r="A78" s="3" t="s">
        <v>7</v>
      </c>
      <c r="B78" s="3">
        <f t="shared" ref="B78:Z78" si="7">B37/B$56</f>
        <v>3.514966200744853E-3</v>
      </c>
      <c r="C78" s="3">
        <f t="shared" si="7"/>
        <v>6.6774256715249475E-3</v>
      </c>
      <c r="D78" s="3">
        <f t="shared" si="7"/>
        <v>4.1560782267659789E-3</v>
      </c>
      <c r="E78" s="3">
        <f t="shared" si="7"/>
        <v>3.1043376825244193E-3</v>
      </c>
      <c r="F78" s="3">
        <f t="shared" si="7"/>
        <v>8.3210937416588998E-2</v>
      </c>
      <c r="G78" s="3">
        <f t="shared" si="7"/>
        <v>4.6228274331046683E-2</v>
      </c>
      <c r="H78" s="3">
        <f t="shared" si="7"/>
        <v>0.28169808905786053</v>
      </c>
      <c r="I78" s="3">
        <f t="shared" si="7"/>
        <v>1.8208260928975727E-3</v>
      </c>
      <c r="J78" s="3">
        <f t="shared" si="7"/>
        <v>7.0212850674741655E-3</v>
      </c>
      <c r="K78" s="3">
        <f t="shared" si="7"/>
        <v>7.6821486820462942E-3</v>
      </c>
      <c r="L78" s="3">
        <f t="shared" si="7"/>
        <v>5.1744672779990295E-3</v>
      </c>
      <c r="M78" s="3">
        <f t="shared" si="7"/>
        <v>4.8409812559784627E-3</v>
      </c>
      <c r="N78" s="3">
        <f t="shared" si="7"/>
        <v>0</v>
      </c>
      <c r="O78" s="3">
        <f t="shared" si="7"/>
        <v>4.2058499201065719E-3</v>
      </c>
      <c r="P78" s="3">
        <f t="shared" si="7"/>
        <v>7.6110845128120322E-3</v>
      </c>
      <c r="Q78" s="3">
        <f t="shared" si="7"/>
        <v>5.5184228105460607E-2</v>
      </c>
      <c r="R78" s="3">
        <f t="shared" si="7"/>
        <v>3.7385060864505047E-3</v>
      </c>
      <c r="S78" s="3">
        <f t="shared" si="7"/>
        <v>2.034574688014385E-3</v>
      </c>
      <c r="T78" s="3">
        <f t="shared" si="7"/>
        <v>3.6540436555679312E-3</v>
      </c>
      <c r="U78" s="3">
        <f t="shared" si="7"/>
        <v>4.0739332675558395E-3</v>
      </c>
      <c r="V78" s="3">
        <f t="shared" si="7"/>
        <v>3.956553686959377E-2</v>
      </c>
      <c r="W78" s="3">
        <f t="shared" si="7"/>
        <v>4.6089140130887144E-4</v>
      </c>
      <c r="X78" s="3">
        <f t="shared" si="7"/>
        <v>0</v>
      </c>
      <c r="Y78" s="3">
        <f t="shared" si="7"/>
        <v>0</v>
      </c>
      <c r="Z78" s="3">
        <f t="shared" si="7"/>
        <v>0.14454286001914643</v>
      </c>
      <c r="AC78" s="3" t="s">
        <v>6</v>
      </c>
      <c r="AD78" s="19">
        <v>1.9444442996147113E-4</v>
      </c>
      <c r="AE78" s="19">
        <v>1.2944813684134709E-4</v>
      </c>
      <c r="AF78" s="19">
        <v>1.4474208196469491E-4</v>
      </c>
      <c r="AG78" s="19">
        <v>3.4082200596619451E-3</v>
      </c>
      <c r="AH78" s="19">
        <v>1.5588592569319821E-3</v>
      </c>
      <c r="AI78" s="19">
        <v>1.3163182832000589E-2</v>
      </c>
      <c r="AJ78" s="19">
        <v>7.8407131679568138E-4</v>
      </c>
      <c r="AK78" s="19">
        <v>2.8797504147143331E-3</v>
      </c>
      <c r="AL78" s="19">
        <v>1.3248391595969893E-2</v>
      </c>
      <c r="AM78" s="19">
        <v>1.6268966604891827E-3</v>
      </c>
      <c r="AN78" s="19">
        <v>4.5041175695600385E-4</v>
      </c>
      <c r="AO78" s="19">
        <v>1.0087931246463805E-3</v>
      </c>
      <c r="AP78" s="19">
        <v>1.4693967731174441E-4</v>
      </c>
      <c r="AQ78" s="19">
        <v>1.5785502427301974E-3</v>
      </c>
      <c r="AR78" s="19">
        <v>1.3976362590230672E-3</v>
      </c>
      <c r="AS78" s="19">
        <v>2.0997669771376784E-3</v>
      </c>
      <c r="AT78" s="19">
        <v>1.455211174348594E-3</v>
      </c>
      <c r="AU78" s="19">
        <v>2.3760824607980966E-3</v>
      </c>
      <c r="AV78" s="19">
        <v>1.6181826607040903E-3</v>
      </c>
      <c r="AW78" s="19">
        <v>3.3059673852115215E-3</v>
      </c>
      <c r="AX78" s="3"/>
      <c r="AY78" s="3"/>
      <c r="AZ78" s="3"/>
      <c r="BA78" s="3"/>
      <c r="BB78" s="3"/>
      <c r="BC78" s="3"/>
      <c r="BE78" s="3" t="s">
        <v>6</v>
      </c>
      <c r="BF78" s="5">
        <v>1.9447476046450762E-4</v>
      </c>
      <c r="BG78" s="5">
        <v>1.2944816308899576E-4</v>
      </c>
      <c r="BH78" s="5">
        <v>1.4474118887070425E-4</v>
      </c>
      <c r="BI78" s="5">
        <v>3.4082201435935685E-3</v>
      </c>
      <c r="BJ78" s="5">
        <v>1.5588593386438865E-3</v>
      </c>
      <c r="BK78" s="5">
        <v>1.3163181915918795E-2</v>
      </c>
      <c r="BL78" s="5">
        <v>7.8407149489195739E-4</v>
      </c>
      <c r="BM78" s="5">
        <v>2.8797457980845125E-3</v>
      </c>
      <c r="BN78" s="5">
        <v>1.3248388235112764E-2</v>
      </c>
      <c r="BO78" s="5">
        <v>1.6268968890607719E-3</v>
      </c>
      <c r="BP78" s="5">
        <v>4.5041198780285325E-4</v>
      </c>
      <c r="BQ78" s="5">
        <v>1.008791569033292E-3</v>
      </c>
      <c r="BR78" s="5">
        <v>1.4694044145578572E-4</v>
      </c>
      <c r="BS78" s="5">
        <v>1.5785507874140619E-3</v>
      </c>
      <c r="BT78" s="5">
        <v>1.3976377300106634E-3</v>
      </c>
      <c r="BU78" s="5">
        <v>2.0997657260168412E-3</v>
      </c>
      <c r="BV78" s="5">
        <v>1.4552084654585842E-3</v>
      </c>
      <c r="BW78" s="5">
        <v>2.3760819203925867E-3</v>
      </c>
      <c r="BX78" s="5">
        <v>1.6181812643632921E-3</v>
      </c>
      <c r="BY78" s="5">
        <v>3.3059692017263602E-3</v>
      </c>
    </row>
    <row r="79" spans="1:77" x14ac:dyDescent="0.2">
      <c r="A79" s="3" t="s">
        <v>8</v>
      </c>
      <c r="B79" s="3">
        <f t="shared" ref="B79:Z79" si="8">B38/B$56</f>
        <v>0</v>
      </c>
      <c r="C79" s="3">
        <f t="shared" si="8"/>
        <v>7.1374168749589956E-5</v>
      </c>
      <c r="D79" s="3">
        <f t="shared" si="8"/>
        <v>2.9163087976370804E-4</v>
      </c>
      <c r="E79" s="3">
        <f t="shared" si="8"/>
        <v>5.3339204084855527E-4</v>
      </c>
      <c r="F79" s="3">
        <f t="shared" si="8"/>
        <v>3.8488091773570757E-4</v>
      </c>
      <c r="G79" s="3">
        <f t="shared" si="8"/>
        <v>1.1754024149540564E-3</v>
      </c>
      <c r="H79" s="3">
        <f t="shared" si="8"/>
        <v>7.1103516536184406E-4</v>
      </c>
      <c r="I79" s="3">
        <f t="shared" si="8"/>
        <v>7.5883177902686435E-4</v>
      </c>
      <c r="J79" s="3">
        <f t="shared" si="8"/>
        <v>1.3249238999603319E-3</v>
      </c>
      <c r="K79" s="3">
        <f t="shared" si="8"/>
        <v>2.2847853244749639E-4</v>
      </c>
      <c r="L79" s="3">
        <f t="shared" si="8"/>
        <v>6.0696782962015299E-4</v>
      </c>
      <c r="M79" s="3">
        <f t="shared" si="8"/>
        <v>8.2183532677942251E-5</v>
      </c>
      <c r="N79" s="3">
        <f t="shared" si="8"/>
        <v>0</v>
      </c>
      <c r="O79" s="3">
        <f t="shared" si="8"/>
        <v>7.9363316453425197E-4</v>
      </c>
      <c r="P79" s="3">
        <f t="shared" si="8"/>
        <v>9.0640725285685462E-4</v>
      </c>
      <c r="Q79" s="3">
        <f t="shared" si="8"/>
        <v>1.9113349720995729E-3</v>
      </c>
      <c r="R79" s="3">
        <f t="shared" si="8"/>
        <v>4.3602216327433052E-4</v>
      </c>
      <c r="S79" s="3">
        <f t="shared" si="8"/>
        <v>1.3737174099168317E-4</v>
      </c>
      <c r="T79" s="3">
        <f t="shared" si="8"/>
        <v>5.9885393628429087E-4</v>
      </c>
      <c r="U79" s="3">
        <f t="shared" si="8"/>
        <v>1.1914029484587432E-3</v>
      </c>
      <c r="V79" s="3">
        <f t="shared" si="8"/>
        <v>1.7110622684437886E-3</v>
      </c>
      <c r="W79" s="3">
        <f t="shared" si="8"/>
        <v>0</v>
      </c>
      <c r="X79" s="3">
        <f t="shared" si="8"/>
        <v>0</v>
      </c>
      <c r="Y79" s="3">
        <f t="shared" si="8"/>
        <v>0</v>
      </c>
      <c r="Z79" s="3">
        <f t="shared" si="8"/>
        <v>2.5341063990830851E-3</v>
      </c>
      <c r="AC79" s="3" t="s">
        <v>7</v>
      </c>
      <c r="AD79" s="19">
        <v>3.8498805481682933E-3</v>
      </c>
      <c r="AE79" s="19">
        <v>7.5138715449911339E-3</v>
      </c>
      <c r="AF79" s="19">
        <v>5.8496093916264391E-3</v>
      </c>
      <c r="AG79" s="19">
        <v>4.5409601004417688E-3</v>
      </c>
      <c r="AH79" s="19">
        <v>8.1882929702047511E-2</v>
      </c>
      <c r="AI79" s="19">
        <v>5.1063283136354359E-2</v>
      </c>
      <c r="AJ79" s="19">
        <v>0.27071325159920151</v>
      </c>
      <c r="AK79" s="19">
        <v>5.7815444367548844E-3</v>
      </c>
      <c r="AL79" s="19">
        <v>1.1374524863167196E-2</v>
      </c>
      <c r="AM79" s="19">
        <v>1.0732496220324766E-2</v>
      </c>
      <c r="AN79" s="19">
        <v>6.6734186033448675E-3</v>
      </c>
      <c r="AO79" s="19">
        <v>1.3036569153536898E-2</v>
      </c>
      <c r="AP79" s="19">
        <v>1.9949757058941018E-3</v>
      </c>
      <c r="AQ79" s="19">
        <v>6.6669291658809256E-3</v>
      </c>
      <c r="AR79" s="19">
        <v>1.7074134054456756E-2</v>
      </c>
      <c r="AS79" s="19">
        <v>5.6550155267734478E-2</v>
      </c>
      <c r="AT79" s="19">
        <v>6.2229019922099421E-3</v>
      </c>
      <c r="AU79" s="19">
        <v>6.2443460634215688E-3</v>
      </c>
      <c r="AV79" s="19">
        <v>7.9164174511027665E-3</v>
      </c>
      <c r="AW79" s="19">
        <v>7.6354961343033231E-3</v>
      </c>
      <c r="AX79" s="3"/>
      <c r="AY79" s="3"/>
      <c r="AZ79" s="3"/>
      <c r="BA79" s="3"/>
      <c r="BB79" s="3"/>
      <c r="BC79" s="3"/>
      <c r="BE79" s="3" t="s">
        <v>7</v>
      </c>
      <c r="BF79" s="5">
        <v>3.8498724930208761E-3</v>
      </c>
      <c r="BG79" s="5">
        <v>7.5138715441623967E-3</v>
      </c>
      <c r="BH79" s="5">
        <v>5.8496087701366724E-3</v>
      </c>
      <c r="BI79" s="5">
        <v>4.540960428273004E-3</v>
      </c>
      <c r="BJ79" s="5">
        <v>8.1882929609938315E-2</v>
      </c>
      <c r="BK79" s="5">
        <v>5.1063284140353944E-2</v>
      </c>
      <c r="BL79" s="5">
        <v>0.27071325167499649</v>
      </c>
      <c r="BM79" s="5">
        <v>5.7815492365769581E-3</v>
      </c>
      <c r="BN79" s="5">
        <v>1.1374525427868537E-2</v>
      </c>
      <c r="BO79" s="5">
        <v>1.0732496251965347E-2</v>
      </c>
      <c r="BP79" s="5">
        <v>6.6734186016539805E-3</v>
      </c>
      <c r="BQ79" s="5">
        <v>1.3036568227192208E-2</v>
      </c>
      <c r="BR79" s="5">
        <v>1.9949768441811407E-3</v>
      </c>
      <c r="BS79" s="5">
        <v>6.6669282870372854E-3</v>
      </c>
      <c r="BT79" s="5">
        <v>1.7074133733450691E-2</v>
      </c>
      <c r="BU79" s="5">
        <v>5.6550154936910915E-2</v>
      </c>
      <c r="BV79" s="5">
        <v>6.2229012369169343E-3</v>
      </c>
      <c r="BW79" s="5">
        <v>6.2443486236673108E-3</v>
      </c>
      <c r="BX79" s="5">
        <v>7.9164187276353042E-3</v>
      </c>
      <c r="BY79" s="5">
        <v>7.6355033216052763E-3</v>
      </c>
    </row>
    <row r="80" spans="1:77" x14ac:dyDescent="0.2">
      <c r="A80" s="3" t="s">
        <v>9</v>
      </c>
      <c r="B80" s="3">
        <f t="shared" ref="B80:Z80" si="9">B39/B$56</f>
        <v>4.0566114275687309E-4</v>
      </c>
      <c r="C80" s="3">
        <f t="shared" si="9"/>
        <v>2.1403648344571932E-4</v>
      </c>
      <c r="D80" s="3">
        <f t="shared" si="9"/>
        <v>1.1226991035356464E-3</v>
      </c>
      <c r="E80" s="3">
        <f t="shared" si="9"/>
        <v>9.2092922233035152E-4</v>
      </c>
      <c r="F80" s="3">
        <f t="shared" si="9"/>
        <v>3.198506619422622E-3</v>
      </c>
      <c r="G80" s="3">
        <f t="shared" si="9"/>
        <v>5.0130512958072269E-3</v>
      </c>
      <c r="H80" s="3">
        <f t="shared" si="9"/>
        <v>2.4259886053905194E-3</v>
      </c>
      <c r="I80" s="3">
        <f t="shared" si="9"/>
        <v>2.2574970087958128E-3</v>
      </c>
      <c r="J80" s="3">
        <f t="shared" si="9"/>
        <v>8.4648906138671594E-3</v>
      </c>
      <c r="K80" s="3">
        <f t="shared" si="9"/>
        <v>1.34988045655572E-3</v>
      </c>
      <c r="L80" s="3">
        <f t="shared" si="9"/>
        <v>4.6612443816719832E-3</v>
      </c>
      <c r="M80" s="3">
        <f t="shared" si="9"/>
        <v>2.0146157416468034E-3</v>
      </c>
      <c r="N80" s="3">
        <f t="shared" si="9"/>
        <v>0</v>
      </c>
      <c r="O80" s="3">
        <f t="shared" si="9"/>
        <v>2.7622538881336856E-3</v>
      </c>
      <c r="P80" s="3">
        <f t="shared" si="9"/>
        <v>4.2395446807670613E-3</v>
      </c>
      <c r="Q80" s="3">
        <f t="shared" si="9"/>
        <v>2.5425389822981582E-3</v>
      </c>
      <c r="R80" s="3">
        <f t="shared" si="9"/>
        <v>2.0150383777801251E-3</v>
      </c>
      <c r="S80" s="3">
        <f t="shared" si="9"/>
        <v>1.2833143985728098E-3</v>
      </c>
      <c r="T80" s="3">
        <f t="shared" si="9"/>
        <v>8.5771311808739911E-3</v>
      </c>
      <c r="U80" s="3">
        <f t="shared" si="9"/>
        <v>2.4320715905238712E-3</v>
      </c>
      <c r="V80" s="3">
        <f t="shared" si="9"/>
        <v>5.1933850907626464E-2</v>
      </c>
      <c r="W80" s="3">
        <f t="shared" si="9"/>
        <v>3.795524555487117E-3</v>
      </c>
      <c r="X80" s="3">
        <f t="shared" si="9"/>
        <v>0</v>
      </c>
      <c r="Y80" s="3">
        <f t="shared" si="9"/>
        <v>0</v>
      </c>
      <c r="Z80" s="3">
        <f t="shared" si="9"/>
        <v>1.6514671810516578E-3</v>
      </c>
      <c r="AC80" s="3" t="s">
        <v>8</v>
      </c>
      <c r="AD80" s="19">
        <v>4.8303201276574971E-5</v>
      </c>
      <c r="AE80" s="19">
        <v>1.0843645013327456E-4</v>
      </c>
      <c r="AF80" s="19">
        <v>4.4645403845696514E-4</v>
      </c>
      <c r="AG80" s="19">
        <v>6.5358492622791589E-4</v>
      </c>
      <c r="AH80" s="19">
        <v>8.06970758257412E-4</v>
      </c>
      <c r="AI80" s="19">
        <v>2.5605594274734174E-3</v>
      </c>
      <c r="AJ80" s="19">
        <v>9.8833238494689312E-4</v>
      </c>
      <c r="AK80" s="19">
        <v>1.2978081799353209E-3</v>
      </c>
      <c r="AL80" s="19">
        <v>2.7811975070166366E-3</v>
      </c>
      <c r="AM80" s="19">
        <v>4.7264824102814595E-4</v>
      </c>
      <c r="AN80" s="19">
        <v>1.2021927252708314E-3</v>
      </c>
      <c r="AO80" s="19">
        <v>5.3569400504910347E-4</v>
      </c>
      <c r="AP80" s="19">
        <v>1.1345740662682211E-5</v>
      </c>
      <c r="AQ80" s="19">
        <v>1.2030968422010867E-3</v>
      </c>
      <c r="AR80" s="19">
        <v>1.4712312851451407E-3</v>
      </c>
      <c r="AS80" s="19">
        <v>2.2183515914218901E-3</v>
      </c>
      <c r="AT80" s="19">
        <v>8.6231701855971185E-4</v>
      </c>
      <c r="AU80" s="19">
        <v>4.5816090192533036E-4</v>
      </c>
      <c r="AV80" s="19">
        <v>2.0760707680479952E-3</v>
      </c>
      <c r="AW80" s="19">
        <v>1.7817427559562416E-3</v>
      </c>
      <c r="AX80" s="3"/>
      <c r="AY80" s="3"/>
      <c r="AZ80" s="3"/>
      <c r="BA80" s="3"/>
      <c r="BB80" s="3"/>
      <c r="BC80" s="3"/>
      <c r="BE80" s="3" t="s">
        <v>8</v>
      </c>
      <c r="BF80" s="5">
        <v>4.824806947075102E-5</v>
      </c>
      <c r="BG80" s="5">
        <v>1.0843635910290468E-4</v>
      </c>
      <c r="BH80" s="5">
        <v>4.4645285687549397E-4</v>
      </c>
      <c r="BI80" s="5">
        <v>6.5358468298584672E-4</v>
      </c>
      <c r="BJ80" s="5">
        <v>8.0697063927083262E-4</v>
      </c>
      <c r="BK80" s="5">
        <v>2.5605577982385397E-3</v>
      </c>
      <c r="BL80" s="5">
        <v>9.883322016245445E-4</v>
      </c>
      <c r="BM80" s="5">
        <v>1.2978060923233398E-3</v>
      </c>
      <c r="BN80" s="5">
        <v>2.781196384323838E-3</v>
      </c>
      <c r="BO80" s="5">
        <v>4.7264825064899108E-4</v>
      </c>
      <c r="BP80" s="5">
        <v>1.2021929398519922E-3</v>
      </c>
      <c r="BQ80" s="5">
        <v>5.3569462927995656E-4</v>
      </c>
      <c r="BR80" s="5">
        <v>1.1347563587575871E-5</v>
      </c>
      <c r="BS80" s="5">
        <v>1.2030966578935223E-3</v>
      </c>
      <c r="BT80" s="5">
        <v>1.4712329628872299E-3</v>
      </c>
      <c r="BU80" s="5">
        <v>2.2183514692039369E-3</v>
      </c>
      <c r="BV80" s="5">
        <v>8.623175520102559E-4</v>
      </c>
      <c r="BW80" s="5">
        <v>4.581616166035466E-4</v>
      </c>
      <c r="BX80" s="5">
        <v>2.0760779582300569E-3</v>
      </c>
      <c r="BY80" s="5">
        <v>1.7817349050333129E-3</v>
      </c>
    </row>
    <row r="81" spans="1:77" x14ac:dyDescent="0.2">
      <c r="A81" s="3" t="s">
        <v>10</v>
      </c>
      <c r="B81" s="3">
        <f t="shared" ref="B81:Z81" si="10">B40/B$56</f>
        <v>2.2466349666967024E-4</v>
      </c>
      <c r="C81" s="3">
        <f t="shared" si="10"/>
        <v>1.820673255999393E-3</v>
      </c>
      <c r="D81" s="3">
        <f t="shared" si="10"/>
        <v>6.6120086914571042E-3</v>
      </c>
      <c r="E81" s="3">
        <f t="shared" si="10"/>
        <v>9.6919675524123074E-4</v>
      </c>
      <c r="F81" s="3">
        <f t="shared" si="10"/>
        <v>1.3743455352628676E-2</v>
      </c>
      <c r="G81" s="3">
        <f t="shared" si="10"/>
        <v>1.5392111550122954E-2</v>
      </c>
      <c r="H81" s="3">
        <f t="shared" si="10"/>
        <v>3.699063224596373E-3</v>
      </c>
      <c r="I81" s="3">
        <f t="shared" si="10"/>
        <v>8.3641593447002383E-3</v>
      </c>
      <c r="J81" s="3">
        <f t="shared" si="10"/>
        <v>4.7263208458008877E-3</v>
      </c>
      <c r="K81" s="3">
        <f t="shared" si="10"/>
        <v>0.23658702385019781</v>
      </c>
      <c r="L81" s="3">
        <f t="shared" si="10"/>
        <v>3.4675071779957753E-2</v>
      </c>
      <c r="M81" s="3">
        <f t="shared" si="10"/>
        <v>8.1348400540216057E-3</v>
      </c>
      <c r="N81" s="3">
        <f t="shared" si="10"/>
        <v>0</v>
      </c>
      <c r="O81" s="3">
        <f t="shared" si="10"/>
        <v>3.7656206674544432E-2</v>
      </c>
      <c r="P81" s="3">
        <f t="shared" si="10"/>
        <v>1.0102353623988819E-2</v>
      </c>
      <c r="Q81" s="3">
        <f t="shared" si="10"/>
        <v>6.7054870772477362E-2</v>
      </c>
      <c r="R81" s="3">
        <f t="shared" si="10"/>
        <v>2.2454475628467398E-2</v>
      </c>
      <c r="S81" s="3">
        <f t="shared" si="10"/>
        <v>2.4568444081164528E-2</v>
      </c>
      <c r="T81" s="3">
        <f t="shared" si="10"/>
        <v>2.5883160673842356E-2</v>
      </c>
      <c r="U81" s="3">
        <f t="shared" si="10"/>
        <v>1.550001091129298E-2</v>
      </c>
      <c r="V81" s="3">
        <f t="shared" si="10"/>
        <v>2.5694410959026161E-2</v>
      </c>
      <c r="W81" s="3">
        <f t="shared" si="10"/>
        <v>7.6064964344995035E-5</v>
      </c>
      <c r="X81" s="3">
        <f t="shared" si="10"/>
        <v>5.5462349112871435E-2</v>
      </c>
      <c r="Y81" s="3">
        <f t="shared" si="10"/>
        <v>0</v>
      </c>
      <c r="Z81" s="3">
        <f t="shared" si="10"/>
        <v>7.709871875906954E-2</v>
      </c>
      <c r="AC81" s="3" t="s">
        <v>9</v>
      </c>
      <c r="AD81" s="19">
        <v>3.633757335745494E-4</v>
      </c>
      <c r="AE81" s="19">
        <v>2.2146820313994334E-4</v>
      </c>
      <c r="AF81" s="19">
        <v>1.0498508628942551E-3</v>
      </c>
      <c r="AG81" s="19">
        <v>8.7253790443718665E-4</v>
      </c>
      <c r="AH81" s="19">
        <v>2.8832733986157801E-3</v>
      </c>
      <c r="AI81" s="19">
        <v>5.3829048399786413E-3</v>
      </c>
      <c r="AJ81" s="19">
        <v>2.139465953256823E-3</v>
      </c>
      <c r="AK81" s="19">
        <v>2.334253072960315E-3</v>
      </c>
      <c r="AL81" s="19">
        <v>8.0051234330128906E-3</v>
      </c>
      <c r="AM81" s="19">
        <v>1.3307468426590964E-3</v>
      </c>
      <c r="AN81" s="19">
        <v>4.1291036924306496E-3</v>
      </c>
      <c r="AO81" s="19">
        <v>2.1630176725234195E-3</v>
      </c>
      <c r="AP81" s="19">
        <v>5.2456717610258977E-5</v>
      </c>
      <c r="AQ81" s="19">
        <v>2.5622339466146796E-3</v>
      </c>
      <c r="AR81" s="19">
        <v>3.9930108991321749E-3</v>
      </c>
      <c r="AS81" s="19">
        <v>2.3678742201279713E-3</v>
      </c>
      <c r="AT81" s="19">
        <v>1.9178032265441268E-3</v>
      </c>
      <c r="AU81" s="19">
        <v>1.3695236810325024E-3</v>
      </c>
      <c r="AV81" s="19">
        <v>7.666855123509504E-3</v>
      </c>
      <c r="AW81" s="19">
        <v>2.5247473693035321E-3</v>
      </c>
      <c r="AX81" s="3"/>
      <c r="AY81" s="3"/>
      <c r="AZ81" s="3"/>
      <c r="BA81" s="3"/>
      <c r="BB81" s="3"/>
      <c r="BC81" s="3"/>
      <c r="BE81" s="3" t="s">
        <v>9</v>
      </c>
      <c r="BF81" s="5">
        <v>3.6334300361213622E-4</v>
      </c>
      <c r="BG81" s="5">
        <v>2.2146822419413995E-4</v>
      </c>
      <c r="BH81" s="5">
        <v>1.0498510642064501E-3</v>
      </c>
      <c r="BI81" s="5">
        <v>8.7253789405075221E-4</v>
      </c>
      <c r="BJ81" s="5">
        <v>2.88327315266294E-3</v>
      </c>
      <c r="BK81" s="5">
        <v>5.3829034930372851E-3</v>
      </c>
      <c r="BL81" s="5">
        <v>2.1394657433757452E-3</v>
      </c>
      <c r="BM81" s="5">
        <v>2.3342551499657212E-3</v>
      </c>
      <c r="BN81" s="5">
        <v>8.0051266798116978E-3</v>
      </c>
      <c r="BO81" s="5">
        <v>1.330746559833019E-3</v>
      </c>
      <c r="BP81" s="5">
        <v>4.1291036090703838E-3</v>
      </c>
      <c r="BQ81" s="5">
        <v>2.1630163660588848E-3</v>
      </c>
      <c r="BR81" s="5">
        <v>5.2458234661795724E-5</v>
      </c>
      <c r="BS81" s="5">
        <v>2.5622343905448474E-3</v>
      </c>
      <c r="BT81" s="5">
        <v>3.9930095845002152E-3</v>
      </c>
      <c r="BU81" s="5">
        <v>2.3678746463727585E-3</v>
      </c>
      <c r="BV81" s="5">
        <v>1.9178025533626787E-3</v>
      </c>
      <c r="BW81" s="5">
        <v>1.369524653432769E-3</v>
      </c>
      <c r="BX81" s="5">
        <v>7.6668528060773958E-3</v>
      </c>
      <c r="BY81" s="5">
        <v>2.5247462169582595E-3</v>
      </c>
    </row>
    <row r="82" spans="1:77" x14ac:dyDescent="0.2">
      <c r="A82" s="3" t="s">
        <v>11</v>
      </c>
      <c r="B82" s="3">
        <f t="shared" ref="B82:Z82" si="11">B41/B$56</f>
        <v>4.9863975484589866E-3</v>
      </c>
      <c r="C82" s="3">
        <f t="shared" si="11"/>
        <v>5.4118233643010525E-3</v>
      </c>
      <c r="D82" s="3">
        <f t="shared" si="11"/>
        <v>1.377998102123042E-2</v>
      </c>
      <c r="E82" s="3">
        <f t="shared" si="11"/>
        <v>7.9717225830980704E-3</v>
      </c>
      <c r="F82" s="3">
        <f t="shared" si="11"/>
        <v>2.2135582880931655E-2</v>
      </c>
      <c r="G82" s="3">
        <f t="shared" si="11"/>
        <v>3.3423032715391029E-2</v>
      </c>
      <c r="H82" s="3">
        <f t="shared" si="11"/>
        <v>5.2936957916048487E-3</v>
      </c>
      <c r="I82" s="3">
        <f t="shared" si="11"/>
        <v>2.3762487978241806E-2</v>
      </c>
      <c r="J82" s="3">
        <f t="shared" si="11"/>
        <v>1.0927138091520936E-2</v>
      </c>
      <c r="K82" s="3">
        <f t="shared" si="11"/>
        <v>9.7574339041220943E-3</v>
      </c>
      <c r="L82" s="3">
        <f t="shared" si="11"/>
        <v>0.1554665132231238</v>
      </c>
      <c r="M82" s="3">
        <f t="shared" si="11"/>
        <v>0.1268439038128821</v>
      </c>
      <c r="N82" s="3">
        <f t="shared" si="11"/>
        <v>2.5799401100810655E-2</v>
      </c>
      <c r="O82" s="3">
        <f t="shared" si="11"/>
        <v>1.3971076204805958E-2</v>
      </c>
      <c r="P82" s="3">
        <f t="shared" si="11"/>
        <v>1.7234718385998372E-2</v>
      </c>
      <c r="Q82" s="3">
        <f t="shared" si="11"/>
        <v>0.1335340049915805</v>
      </c>
      <c r="R82" s="3">
        <f t="shared" si="11"/>
        <v>7.1523166607312663E-3</v>
      </c>
      <c r="S82" s="3">
        <f t="shared" si="11"/>
        <v>1.0163136106373422E-2</v>
      </c>
      <c r="T82" s="3">
        <f t="shared" si="11"/>
        <v>1.5039382348211637E-2</v>
      </c>
      <c r="U82" s="3">
        <f t="shared" si="11"/>
        <v>9.8617220748883228E-3</v>
      </c>
      <c r="V82" s="3">
        <f t="shared" si="11"/>
        <v>0.14047981987550806</v>
      </c>
      <c r="W82" s="3">
        <f t="shared" si="11"/>
        <v>7.4755950132888525E-3</v>
      </c>
      <c r="X82" s="3">
        <f t="shared" si="11"/>
        <v>0</v>
      </c>
      <c r="Y82" s="3">
        <f t="shared" si="11"/>
        <v>0</v>
      </c>
      <c r="Z82" s="3">
        <f t="shared" si="11"/>
        <v>5.604664825254578E-2</v>
      </c>
      <c r="AC82" s="3" t="s">
        <v>10</v>
      </c>
      <c r="AD82" s="19">
        <v>2.7829559291777249E-3</v>
      </c>
      <c r="AE82" s="19">
        <v>4.2423740040878977E-3</v>
      </c>
      <c r="AF82" s="19">
        <v>9.3043734895894067E-3</v>
      </c>
      <c r="AG82" s="19">
        <v>4.5554599171231929E-3</v>
      </c>
      <c r="AH82" s="19">
        <v>2.0381249529060782E-2</v>
      </c>
      <c r="AI82" s="19">
        <v>2.4789083819284151E-2</v>
      </c>
      <c r="AJ82" s="19">
        <v>6.1001162984472782E-3</v>
      </c>
      <c r="AK82" s="19">
        <v>2.0808063366359056E-2</v>
      </c>
      <c r="AL82" s="19">
        <v>1.088637681259297E-2</v>
      </c>
      <c r="AM82" s="19">
        <v>0.21847930729196377</v>
      </c>
      <c r="AN82" s="19">
        <v>3.7399704820443677E-2</v>
      </c>
      <c r="AO82" s="19">
        <v>2.8872350926803222E-2</v>
      </c>
      <c r="AP82" s="19">
        <v>4.5549193978664275E-3</v>
      </c>
      <c r="AQ82" s="19">
        <v>4.7130740232801602E-2</v>
      </c>
      <c r="AR82" s="19">
        <v>2.5223361114553793E-2</v>
      </c>
      <c r="AS82" s="19">
        <v>6.9289402885003223E-2</v>
      </c>
      <c r="AT82" s="19">
        <v>2.6750816121343984E-2</v>
      </c>
      <c r="AU82" s="19">
        <v>2.881255313697114E-2</v>
      </c>
      <c r="AV82" s="19">
        <v>3.5250283741712095E-2</v>
      </c>
      <c r="AW82" s="19">
        <v>2.2249838354297603E-2</v>
      </c>
      <c r="AX82" s="3"/>
      <c r="AY82" s="3"/>
      <c r="AZ82" s="3"/>
      <c r="BA82" s="3"/>
      <c r="BB82" s="3"/>
      <c r="BC82" s="3"/>
      <c r="BE82" s="3" t="s">
        <v>10</v>
      </c>
      <c r="BF82" s="5">
        <v>2.7830241189134319E-3</v>
      </c>
      <c r="BG82" s="5">
        <v>4.2423739893395927E-3</v>
      </c>
      <c r="BH82" s="5">
        <v>9.3043748933156704E-3</v>
      </c>
      <c r="BI82" s="5">
        <v>4.5554599608343535E-3</v>
      </c>
      <c r="BJ82" s="5">
        <v>2.0381249327093464E-2</v>
      </c>
      <c r="BK82" s="5">
        <v>2.4789086202130071E-2</v>
      </c>
      <c r="BL82" s="5">
        <v>6.1001162371582063E-3</v>
      </c>
      <c r="BM82" s="5">
        <v>2.080806437123113E-2</v>
      </c>
      <c r="BN82" s="5">
        <v>1.088637566906466E-2</v>
      </c>
      <c r="BO82" s="5">
        <v>0.21847930680838923</v>
      </c>
      <c r="BP82" s="5">
        <v>3.7399705017962526E-2</v>
      </c>
      <c r="BQ82" s="5">
        <v>2.887235131825585E-2</v>
      </c>
      <c r="BR82" s="5">
        <v>4.554919298132178E-3</v>
      </c>
      <c r="BS82" s="5">
        <v>4.713074023364703E-2</v>
      </c>
      <c r="BT82" s="5">
        <v>2.5223361465603566E-2</v>
      </c>
      <c r="BU82" s="5">
        <v>6.9289403598128879E-2</v>
      </c>
      <c r="BV82" s="5">
        <v>2.6750814286757577E-2</v>
      </c>
      <c r="BW82" s="5">
        <v>2.8812555671515645E-2</v>
      </c>
      <c r="BX82" s="5">
        <v>3.5250282699447286E-2</v>
      </c>
      <c r="BY82" s="5">
        <v>2.2249844040366451E-2</v>
      </c>
    </row>
    <row r="83" spans="1:77" x14ac:dyDescent="0.2">
      <c r="A83" s="3" t="s">
        <v>12</v>
      </c>
      <c r="B83" s="3">
        <f t="shared" ref="B83:Z83" si="12">B42/B$56</f>
        <v>2.2951525784549998E-4</v>
      </c>
      <c r="C83" s="3">
        <f t="shared" si="12"/>
        <v>3.1312510122103914E-3</v>
      </c>
      <c r="D83" s="3">
        <f t="shared" si="12"/>
        <v>8.5391103026321736E-3</v>
      </c>
      <c r="E83" s="3">
        <f t="shared" si="12"/>
        <v>5.9286797830804651E-3</v>
      </c>
      <c r="F83" s="3">
        <f t="shared" si="12"/>
        <v>1.576060286104514E-2</v>
      </c>
      <c r="G83" s="3">
        <f t="shared" si="12"/>
        <v>0.19003267705388846</v>
      </c>
      <c r="H83" s="3">
        <f t="shared" si="12"/>
        <v>3.4267523698233923E-3</v>
      </c>
      <c r="I83" s="3">
        <f t="shared" si="12"/>
        <v>6.28025229474031E-2</v>
      </c>
      <c r="J83" s="3">
        <f t="shared" si="12"/>
        <v>0.12611783448756303</v>
      </c>
      <c r="K83" s="3">
        <f t="shared" si="12"/>
        <v>1.7688621038883422E-2</v>
      </c>
      <c r="L83" s="3">
        <f t="shared" si="12"/>
        <v>1.8595476840616888E-2</v>
      </c>
      <c r="M83" s="3">
        <f t="shared" si="12"/>
        <v>4.8761710864624518E-2</v>
      </c>
      <c r="N83" s="3">
        <f t="shared" si="12"/>
        <v>0</v>
      </c>
      <c r="O83" s="3">
        <f t="shared" si="12"/>
        <v>2.6963527827786292E-2</v>
      </c>
      <c r="P83" s="3">
        <f t="shared" si="12"/>
        <v>2.2127117172418873E-2</v>
      </c>
      <c r="Q83" s="3">
        <f t="shared" si="12"/>
        <v>1.7505808508516709E-2</v>
      </c>
      <c r="R83" s="3">
        <f t="shared" si="12"/>
        <v>2.5550754667512235E-2</v>
      </c>
      <c r="S83" s="3">
        <f t="shared" si="12"/>
        <v>3.3291444023141846E-2</v>
      </c>
      <c r="T83" s="3">
        <f t="shared" si="12"/>
        <v>4.0563151874384321E-2</v>
      </c>
      <c r="U83" s="3">
        <f t="shared" si="12"/>
        <v>7.3437460765239632E-2</v>
      </c>
      <c r="V83" s="3">
        <f t="shared" si="12"/>
        <v>1.3735377747153374E-2</v>
      </c>
      <c r="W83" s="3">
        <f t="shared" si="12"/>
        <v>1.5685508304178193E-3</v>
      </c>
      <c r="X83" s="3">
        <f t="shared" si="12"/>
        <v>8.1750854038215234E-2</v>
      </c>
      <c r="Y83" s="3">
        <f t="shared" si="12"/>
        <v>0</v>
      </c>
      <c r="Z83" s="3">
        <f t="shared" si="12"/>
        <v>1.8553957103755093E-4</v>
      </c>
      <c r="AC83" s="3" t="s">
        <v>11</v>
      </c>
      <c r="AD83" s="19">
        <v>5.5529274409278958E-3</v>
      </c>
      <c r="AE83" s="19">
        <v>6.4283901028178228E-3</v>
      </c>
      <c r="AF83" s="19">
        <v>1.562079879005814E-2</v>
      </c>
      <c r="AG83" s="19">
        <v>9.5278536713400194E-3</v>
      </c>
      <c r="AH83" s="19">
        <v>2.6038790554498346E-2</v>
      </c>
      <c r="AI83" s="19">
        <v>4.7192192087035199E-2</v>
      </c>
      <c r="AJ83" s="19">
        <v>6.5724194070026368E-3</v>
      </c>
      <c r="AK83" s="19">
        <v>3.1755623219767139E-2</v>
      </c>
      <c r="AL83" s="19">
        <v>1.9544221221638836E-2</v>
      </c>
      <c r="AM83" s="19">
        <v>1.7293258137929566E-2</v>
      </c>
      <c r="AN83" s="19">
        <v>0.15876337924091224</v>
      </c>
      <c r="AO83" s="19">
        <v>0.13731343834994109</v>
      </c>
      <c r="AP83" s="19">
        <v>2.7517948067911514E-2</v>
      </c>
      <c r="AQ83" s="19">
        <v>2.07280609239224E-2</v>
      </c>
      <c r="AR83" s="19">
        <v>2.5175609051256015E-2</v>
      </c>
      <c r="AS83" s="19">
        <v>0.13858953006531499</v>
      </c>
      <c r="AT83" s="19">
        <v>1.1348798047284607E-2</v>
      </c>
      <c r="AU83" s="19">
        <v>1.4929403852269107E-2</v>
      </c>
      <c r="AV83" s="19">
        <v>2.2247867271547053E-2</v>
      </c>
      <c r="AW83" s="19">
        <v>1.6826804087128385E-2</v>
      </c>
      <c r="AX83" s="3"/>
      <c r="AY83" s="3"/>
      <c r="AZ83" s="3"/>
      <c r="BA83" s="3"/>
      <c r="BB83" s="3"/>
      <c r="BC83" s="3"/>
      <c r="BE83" s="3" t="s">
        <v>11</v>
      </c>
      <c r="BF83" s="5">
        <v>5.5529754368808786E-3</v>
      </c>
      <c r="BG83" s="5">
        <v>6.4283902861288376E-3</v>
      </c>
      <c r="BH83" s="5">
        <v>1.5620799126238989E-2</v>
      </c>
      <c r="BI83" s="5">
        <v>9.5278542829248785E-3</v>
      </c>
      <c r="BJ83" s="5">
        <v>2.6038790513058463E-2</v>
      </c>
      <c r="BK83" s="5">
        <v>4.7192191462819048E-2</v>
      </c>
      <c r="BL83" s="5">
        <v>6.5724194174035461E-3</v>
      </c>
      <c r="BM83" s="5">
        <v>3.1755629245206661E-2</v>
      </c>
      <c r="BN83" s="5">
        <v>1.9544221019809911E-2</v>
      </c>
      <c r="BO83" s="5">
        <v>1.729325779018584E-2</v>
      </c>
      <c r="BP83" s="5">
        <v>0.15876337936569102</v>
      </c>
      <c r="BQ83" s="5">
        <v>0.13731344054433919</v>
      </c>
      <c r="BR83" s="5">
        <v>2.7517946769904707E-2</v>
      </c>
      <c r="BS83" s="5">
        <v>2.072806123591454E-2</v>
      </c>
      <c r="BT83" s="5">
        <v>2.5175608277901263E-2</v>
      </c>
      <c r="BU83" s="5">
        <v>0.13858952850796569</v>
      </c>
      <c r="BV83" s="5">
        <v>1.1348797415204288E-2</v>
      </c>
      <c r="BW83" s="5">
        <v>1.4929402535298944E-2</v>
      </c>
      <c r="BX83" s="5">
        <v>2.2247863427795347E-2</v>
      </c>
      <c r="BY83" s="5">
        <v>1.6826798545038879E-2</v>
      </c>
    </row>
    <row r="84" spans="1:77" x14ac:dyDescent="0.2">
      <c r="A84" s="3" t="s">
        <v>13</v>
      </c>
      <c r="B84" s="3">
        <f t="shared" ref="B84:Z84" si="13">B43/B$56</f>
        <v>0</v>
      </c>
      <c r="C84" s="3">
        <f t="shared" si="13"/>
        <v>0</v>
      </c>
      <c r="D84" s="3">
        <f t="shared" si="13"/>
        <v>0</v>
      </c>
      <c r="E84" s="3">
        <f t="shared" si="13"/>
        <v>0</v>
      </c>
      <c r="F84" s="3">
        <f t="shared" si="13"/>
        <v>0</v>
      </c>
      <c r="G84" s="3">
        <f t="shared" si="13"/>
        <v>0</v>
      </c>
      <c r="H84" s="3">
        <f t="shared" si="13"/>
        <v>0</v>
      </c>
      <c r="I84" s="3">
        <f t="shared" si="13"/>
        <v>0</v>
      </c>
      <c r="J84" s="3">
        <f t="shared" si="13"/>
        <v>0</v>
      </c>
      <c r="K84" s="3">
        <f t="shared" si="13"/>
        <v>0</v>
      </c>
      <c r="L84" s="3">
        <f t="shared" si="13"/>
        <v>0</v>
      </c>
      <c r="M84" s="3">
        <f t="shared" si="13"/>
        <v>0</v>
      </c>
      <c r="N84" s="3">
        <f t="shared" si="13"/>
        <v>0</v>
      </c>
      <c r="O84" s="3">
        <f t="shared" si="13"/>
        <v>0</v>
      </c>
      <c r="P84" s="3">
        <f t="shared" si="13"/>
        <v>0</v>
      </c>
      <c r="Q84" s="3">
        <f t="shared" si="13"/>
        <v>0</v>
      </c>
      <c r="R84" s="3">
        <f t="shared" si="13"/>
        <v>0</v>
      </c>
      <c r="S84" s="3">
        <f t="shared" si="13"/>
        <v>0</v>
      </c>
      <c r="T84" s="3">
        <f t="shared" si="13"/>
        <v>0</v>
      </c>
      <c r="U84" s="3">
        <f t="shared" si="13"/>
        <v>0</v>
      </c>
      <c r="V84" s="3">
        <f t="shared" si="13"/>
        <v>0.12224958006635833</v>
      </c>
      <c r="W84" s="3">
        <f t="shared" si="13"/>
        <v>0</v>
      </c>
      <c r="X84" s="3">
        <f t="shared" si="13"/>
        <v>0</v>
      </c>
      <c r="Y84" s="3">
        <f t="shared" si="13"/>
        <v>0</v>
      </c>
      <c r="Z84" s="3">
        <f t="shared" si="13"/>
        <v>3.7901428702838267E-4</v>
      </c>
      <c r="AC84" s="3" t="s">
        <v>12</v>
      </c>
      <c r="AD84" s="19">
        <v>3.8512028154219784E-4</v>
      </c>
      <c r="AE84" s="19">
        <v>2.841918202014051E-3</v>
      </c>
      <c r="AF84" s="19">
        <v>7.415299900976789E-3</v>
      </c>
      <c r="AG84" s="19">
        <v>5.2904820304355664E-3</v>
      </c>
      <c r="AH84" s="19">
        <v>1.4132154005932686E-2</v>
      </c>
      <c r="AI84" s="19">
        <v>0.15825208091054616</v>
      </c>
      <c r="AJ84" s="19">
        <v>3.6123049211075572E-3</v>
      </c>
      <c r="AK84" s="19">
        <v>5.3415395295903161E-2</v>
      </c>
      <c r="AL84" s="19">
        <v>0.10492769125920585</v>
      </c>
      <c r="AM84" s="19">
        <v>1.5912899272297259E-2</v>
      </c>
      <c r="AN84" s="19">
        <v>1.6240837222640983E-2</v>
      </c>
      <c r="AO84" s="19">
        <v>4.2622756235634392E-2</v>
      </c>
      <c r="AP84" s="19">
        <v>4.6651303636800382E-4</v>
      </c>
      <c r="AQ84" s="19">
        <v>2.4030455422651056E-2</v>
      </c>
      <c r="AR84" s="19">
        <v>1.9876449632638855E-2</v>
      </c>
      <c r="AS84" s="19">
        <v>1.5791551723272273E-2</v>
      </c>
      <c r="AT84" s="19">
        <v>2.1860361181278303E-2</v>
      </c>
      <c r="AU84" s="19">
        <v>2.8192411769248537E-2</v>
      </c>
      <c r="AV84" s="19">
        <v>3.4807500712660366E-2</v>
      </c>
      <c r="AW84" s="19">
        <v>6.1622834099174455E-2</v>
      </c>
      <c r="AX84" s="3"/>
      <c r="AY84" s="3"/>
      <c r="AZ84" s="3"/>
      <c r="BA84" s="3"/>
      <c r="BB84" s="3"/>
      <c r="BC84" s="3"/>
      <c r="BE84" s="3" t="s">
        <v>12</v>
      </c>
      <c r="BF84" s="5">
        <v>3.8517592890336988E-4</v>
      </c>
      <c r="BG84" s="5">
        <v>2.8419181398194079E-3</v>
      </c>
      <c r="BH84" s="5">
        <v>7.4153013491239945E-3</v>
      </c>
      <c r="BI84" s="5">
        <v>5.2904808949547598E-3</v>
      </c>
      <c r="BJ84" s="5">
        <v>1.4132153977804131E-2</v>
      </c>
      <c r="BK84" s="5">
        <v>0.15825208121854006</v>
      </c>
      <c r="BL84" s="5">
        <v>3.6123049785816786E-3</v>
      </c>
      <c r="BM84" s="5">
        <v>5.3415390814962965E-2</v>
      </c>
      <c r="BN84" s="5">
        <v>0.10492769477508591</v>
      </c>
      <c r="BO84" s="5">
        <v>1.5912899296439232E-2</v>
      </c>
      <c r="BP84" s="5">
        <v>1.624083737960727E-2</v>
      </c>
      <c r="BQ84" s="5">
        <v>4.2622755504087825E-2</v>
      </c>
      <c r="BR84" s="5">
        <v>4.6651498864435406E-4</v>
      </c>
      <c r="BS84" s="5">
        <v>2.4030455231196603E-2</v>
      </c>
      <c r="BT84" s="5">
        <v>1.9876450406292868E-2</v>
      </c>
      <c r="BU84" s="5">
        <v>1.5791551123386441E-2</v>
      </c>
      <c r="BV84" s="5">
        <v>2.1860358037873815E-2</v>
      </c>
      <c r="BW84" s="5">
        <v>2.819241143182127E-2</v>
      </c>
      <c r="BX84" s="5">
        <v>3.480750594651056E-2</v>
      </c>
      <c r="BY84" s="5">
        <v>6.1622838721157869E-2</v>
      </c>
    </row>
    <row r="85" spans="1:77" x14ac:dyDescent="0.2">
      <c r="A85" s="3" t="s">
        <v>14</v>
      </c>
      <c r="B85" s="3">
        <f t="shared" ref="B85:Z85" si="14">B44/B$56</f>
        <v>9.6017701381107736E-3</v>
      </c>
      <c r="C85" s="3">
        <f t="shared" si="14"/>
        <v>1.0222315234086616E-2</v>
      </c>
      <c r="D85" s="3">
        <f t="shared" si="14"/>
        <v>1.1461127498429867E-2</v>
      </c>
      <c r="E85" s="3">
        <f t="shared" si="14"/>
        <v>1.3018873833474482E-2</v>
      </c>
      <c r="F85" s="3">
        <f t="shared" si="14"/>
        <v>4.1616243091910206E-2</v>
      </c>
      <c r="G85" s="3">
        <f t="shared" si="14"/>
        <v>4.6039356764707356E-2</v>
      </c>
      <c r="H85" s="3">
        <f t="shared" si="14"/>
        <v>8.4876016384196912E-3</v>
      </c>
      <c r="I85" s="3">
        <f t="shared" si="14"/>
        <v>6.9294444458976173E-2</v>
      </c>
      <c r="J85" s="3">
        <f t="shared" si="14"/>
        <v>2.2523361942269941E-2</v>
      </c>
      <c r="K85" s="3">
        <f t="shared" si="14"/>
        <v>5.6832198222514806E-2</v>
      </c>
      <c r="L85" s="3">
        <f t="shared" si="14"/>
        <v>3.777504598398411E-2</v>
      </c>
      <c r="M85" s="3">
        <f t="shared" si="14"/>
        <v>9.5738717603289156E-2</v>
      </c>
      <c r="N85" s="3">
        <f t="shared" si="14"/>
        <v>1.7243839259013793E-2</v>
      </c>
      <c r="O85" s="3">
        <f t="shared" si="14"/>
        <v>8.2653649197354934E-2</v>
      </c>
      <c r="P85" s="3">
        <f t="shared" si="14"/>
        <v>4.4845017909463776E-2</v>
      </c>
      <c r="Q85" s="3">
        <f t="shared" si="14"/>
        <v>4.726081080294086E-2</v>
      </c>
      <c r="R85" s="3">
        <f t="shared" si="14"/>
        <v>3.0063134427786235E-2</v>
      </c>
      <c r="S85" s="3">
        <f t="shared" si="14"/>
        <v>2.25319085490178E-2</v>
      </c>
      <c r="T85" s="3">
        <f t="shared" si="14"/>
        <v>4.9651939539098557E-2</v>
      </c>
      <c r="U85" s="3">
        <f t="shared" si="14"/>
        <v>3.9208552587407158E-2</v>
      </c>
      <c r="V85" s="3">
        <f t="shared" si="14"/>
        <v>4.678969421244703E-3</v>
      </c>
      <c r="W85" s="3">
        <f t="shared" si="14"/>
        <v>2.580133148806369E-2</v>
      </c>
      <c r="X85" s="3">
        <f t="shared" si="14"/>
        <v>6.4094798884624271E-2</v>
      </c>
      <c r="Y85" s="3">
        <f t="shared" si="14"/>
        <v>0</v>
      </c>
      <c r="Z85" s="3">
        <f t="shared" si="14"/>
        <v>2.6568955539458688E-2</v>
      </c>
      <c r="AC85" s="3" t="s">
        <v>13</v>
      </c>
      <c r="AD85" s="19">
        <v>0</v>
      </c>
      <c r="AE85" s="19">
        <v>0</v>
      </c>
      <c r="AF85" s="19">
        <v>0</v>
      </c>
      <c r="AG85" s="19">
        <v>0</v>
      </c>
      <c r="AH85" s="19">
        <v>0</v>
      </c>
      <c r="AI85" s="19">
        <v>0</v>
      </c>
      <c r="AJ85" s="19">
        <v>0</v>
      </c>
      <c r="AK85" s="19">
        <v>0</v>
      </c>
      <c r="AL85" s="19">
        <v>0</v>
      </c>
      <c r="AM85" s="19">
        <v>0</v>
      </c>
      <c r="AN85" s="19">
        <v>0</v>
      </c>
      <c r="AO85" s="19">
        <v>0</v>
      </c>
      <c r="AP85" s="19">
        <v>0</v>
      </c>
      <c r="AQ85" s="19">
        <v>0</v>
      </c>
      <c r="AR85" s="19">
        <v>0</v>
      </c>
      <c r="AS85" s="19">
        <v>0</v>
      </c>
      <c r="AT85" s="19">
        <v>0</v>
      </c>
      <c r="AU85" s="19">
        <v>0</v>
      </c>
      <c r="AV85" s="19">
        <v>0</v>
      </c>
      <c r="AW85" s="19">
        <v>0</v>
      </c>
      <c r="AX85" s="3"/>
      <c r="AY85" s="3"/>
      <c r="AZ85" s="3"/>
      <c r="BA85" s="3"/>
      <c r="BB85" s="3"/>
      <c r="BC85" s="3"/>
      <c r="BE85" s="3" t="s">
        <v>13</v>
      </c>
      <c r="BF85" s="5">
        <v>0</v>
      </c>
      <c r="BG85" s="5">
        <v>0</v>
      </c>
      <c r="BH85" s="5">
        <v>0</v>
      </c>
      <c r="BI85" s="5">
        <v>0</v>
      </c>
      <c r="BJ85" s="5">
        <v>0</v>
      </c>
      <c r="BK85" s="5">
        <v>0</v>
      </c>
      <c r="BL85" s="5">
        <v>0</v>
      </c>
      <c r="BM85" s="5">
        <v>0</v>
      </c>
      <c r="BN85" s="5">
        <v>0</v>
      </c>
      <c r="BO85" s="5">
        <v>0</v>
      </c>
      <c r="BP85" s="5">
        <v>0</v>
      </c>
      <c r="BQ85" s="5">
        <v>0</v>
      </c>
      <c r="BR85" s="5">
        <v>0</v>
      </c>
      <c r="BS85" s="5">
        <v>0</v>
      </c>
      <c r="BT85" s="5">
        <v>0</v>
      </c>
      <c r="BU85" s="5">
        <v>0</v>
      </c>
      <c r="BV85" s="5">
        <v>0</v>
      </c>
      <c r="BW85" s="5">
        <v>0</v>
      </c>
      <c r="BX85" s="5">
        <v>0</v>
      </c>
      <c r="BY85" s="5">
        <v>0</v>
      </c>
    </row>
    <row r="86" spans="1:77" x14ac:dyDescent="0.2">
      <c r="A86" s="3" t="s">
        <v>15</v>
      </c>
      <c r="B86" s="3">
        <f t="shared" ref="B86:Z86" si="15">B45/B$56</f>
        <v>2.5808674032538605E-4</v>
      </c>
      <c r="C86" s="3">
        <f t="shared" si="15"/>
        <v>6.4447629432899285E-3</v>
      </c>
      <c r="D86" s="3">
        <f t="shared" si="15"/>
        <v>1.6654015005196757E-2</v>
      </c>
      <c r="E86" s="3">
        <f t="shared" si="15"/>
        <v>1.1779672345226817E-2</v>
      </c>
      <c r="F86" s="3">
        <f t="shared" si="15"/>
        <v>1.8122022777742473E-2</v>
      </c>
      <c r="G86" s="3">
        <f t="shared" si="15"/>
        <v>2.5245536283007148E-2</v>
      </c>
      <c r="H86" s="3">
        <f t="shared" si="15"/>
        <v>1.3600735063418716E-2</v>
      </c>
      <c r="I86" s="3">
        <f t="shared" si="15"/>
        <v>2.2174995620977109E-2</v>
      </c>
      <c r="J86" s="3">
        <f t="shared" si="15"/>
        <v>1.4485041943128271E-2</v>
      </c>
      <c r="K86" s="3">
        <f t="shared" si="15"/>
        <v>2.4275860631936985E-2</v>
      </c>
      <c r="L86" s="3">
        <f t="shared" si="15"/>
        <v>1.1351514819846647E-2</v>
      </c>
      <c r="M86" s="3">
        <f t="shared" si="15"/>
        <v>7.1883499482633409E-2</v>
      </c>
      <c r="N86" s="3">
        <f t="shared" si="15"/>
        <v>2.0028849806428668E-2</v>
      </c>
      <c r="O86" s="3">
        <f t="shared" si="15"/>
        <v>1.4770736784162535E-2</v>
      </c>
      <c r="P86" s="3">
        <f t="shared" si="15"/>
        <v>9.4558035214680328E-2</v>
      </c>
      <c r="Q86" s="3">
        <f t="shared" si="15"/>
        <v>3.1097416253116912E-2</v>
      </c>
      <c r="R86" s="3">
        <f t="shared" si="15"/>
        <v>1.8677272210215253E-2</v>
      </c>
      <c r="S86" s="3">
        <f t="shared" si="15"/>
        <v>3.409203520814276E-2</v>
      </c>
      <c r="T86" s="3">
        <f t="shared" si="15"/>
        <v>3.2931775895224766E-2</v>
      </c>
      <c r="U86" s="3">
        <f t="shared" si="15"/>
        <v>1.8127560505678826E-2</v>
      </c>
      <c r="V86" s="3">
        <f t="shared" si="15"/>
        <v>3.2881998976626724E-3</v>
      </c>
      <c r="W86" s="3">
        <f t="shared" si="15"/>
        <v>4.6089140130887144E-4</v>
      </c>
      <c r="X86" s="3">
        <f t="shared" si="15"/>
        <v>0</v>
      </c>
      <c r="Y86" s="3">
        <f t="shared" si="15"/>
        <v>0</v>
      </c>
      <c r="Z86" s="3">
        <f t="shared" si="15"/>
        <v>9.0578943637853546E-3</v>
      </c>
      <c r="AC86" s="3" t="s">
        <v>14</v>
      </c>
      <c r="AD86" s="19">
        <v>6.9095101914653208E-3</v>
      </c>
      <c r="AE86" s="19">
        <v>8.1945715652623433E-3</v>
      </c>
      <c r="AF86" s="19">
        <v>8.2604764483029409E-3</v>
      </c>
      <c r="AG86" s="19">
        <v>2.2830013373553403E-2</v>
      </c>
      <c r="AH86" s="19">
        <v>2.8069588132972747E-2</v>
      </c>
      <c r="AI86" s="19">
        <v>3.1884371579239429E-2</v>
      </c>
      <c r="AJ86" s="19">
        <v>6.3450214410932029E-3</v>
      </c>
      <c r="AK86" s="19">
        <v>4.7226452892675554E-2</v>
      </c>
      <c r="AL86" s="19">
        <v>1.6640522073419615E-2</v>
      </c>
      <c r="AM86" s="19">
        <v>4.0106761046966345E-2</v>
      </c>
      <c r="AN86" s="19">
        <v>2.5552238357144413E-2</v>
      </c>
      <c r="AO86" s="19">
        <v>6.7138804328909757E-2</v>
      </c>
      <c r="AP86" s="19">
        <v>1.5768850086319335E-2</v>
      </c>
      <c r="AQ86" s="19">
        <v>5.5969227453446763E-2</v>
      </c>
      <c r="AR86" s="19">
        <v>3.2076318263005867E-2</v>
      </c>
      <c r="AS86" s="19">
        <v>3.2959236631988263E-2</v>
      </c>
      <c r="AT86" s="19">
        <v>2.0962116473134108E-2</v>
      </c>
      <c r="AU86" s="19">
        <v>1.6519913213770464E-2</v>
      </c>
      <c r="AV86" s="19">
        <v>3.4312563184667404E-2</v>
      </c>
      <c r="AW86" s="19">
        <v>2.7008885759895313E-2</v>
      </c>
      <c r="AX86" s="3"/>
      <c r="AY86" s="3"/>
      <c r="AZ86" s="3"/>
      <c r="BA86" s="3"/>
      <c r="BB86" s="3"/>
      <c r="BC86" s="3"/>
      <c r="BE86" s="3" t="s">
        <v>14</v>
      </c>
      <c r="BF86" s="5">
        <v>6.909446998956602E-3</v>
      </c>
      <c r="BG86" s="5">
        <v>8.1945716631948769E-3</v>
      </c>
      <c r="BH86" s="5">
        <v>8.2604751378298601E-3</v>
      </c>
      <c r="BI86" s="5">
        <v>2.283001271623214E-2</v>
      </c>
      <c r="BJ86" s="5">
        <v>2.806958810548121E-2</v>
      </c>
      <c r="BK86" s="5">
        <v>3.18843680432081E-2</v>
      </c>
      <c r="BL86" s="5">
        <v>6.3450213667200737E-3</v>
      </c>
      <c r="BM86" s="5">
        <v>4.7226448279506339E-2</v>
      </c>
      <c r="BN86" s="5">
        <v>1.6640521300945035E-2</v>
      </c>
      <c r="BO86" s="5">
        <v>4.0106761111167767E-2</v>
      </c>
      <c r="BP86" s="5">
        <v>2.5552238121271581E-2</v>
      </c>
      <c r="BQ86" s="5">
        <v>6.7138804593182597E-2</v>
      </c>
      <c r="BR86" s="5">
        <v>1.5768849968074875E-2</v>
      </c>
      <c r="BS86" s="5">
        <v>5.5969228050180946E-2</v>
      </c>
      <c r="BT86" s="5">
        <v>3.2076317799872994E-2</v>
      </c>
      <c r="BU86" s="5">
        <v>3.2959236528245735E-2</v>
      </c>
      <c r="BV86" s="5">
        <v>2.0962115718018478E-2</v>
      </c>
      <c r="BW86" s="5">
        <v>1.6519914674483646E-2</v>
      </c>
      <c r="BX86" s="5">
        <v>3.4312568293905603E-2</v>
      </c>
      <c r="BY86" s="5">
        <v>2.7008880512856954E-2</v>
      </c>
    </row>
    <row r="87" spans="1:77" x14ac:dyDescent="0.2">
      <c r="A87" s="3" t="s">
        <v>16</v>
      </c>
      <c r="B87" s="3">
        <f t="shared" ref="B87:Z87" si="16">B46/B$56</f>
        <v>1.7520248690496182E-6</v>
      </c>
      <c r="C87" s="3">
        <f t="shared" si="16"/>
        <v>2.8264365530108913E-5</v>
      </c>
      <c r="D87" s="3">
        <f t="shared" si="16"/>
        <v>3.0854248047724688E-4</v>
      </c>
      <c r="E87" s="3">
        <f t="shared" si="16"/>
        <v>1.1724560897897489E-3</v>
      </c>
      <c r="F87" s="3">
        <f t="shared" si="16"/>
        <v>1.4862627759116695E-3</v>
      </c>
      <c r="G87" s="3">
        <f t="shared" si="16"/>
        <v>3.0570713806585088E-3</v>
      </c>
      <c r="H87" s="3">
        <f t="shared" si="16"/>
        <v>2.479365704788454E-4</v>
      </c>
      <c r="I87" s="3">
        <f t="shared" si="16"/>
        <v>1.6947365437418229E-3</v>
      </c>
      <c r="J87" s="3">
        <f t="shared" si="16"/>
        <v>5.0470590587407707E-4</v>
      </c>
      <c r="K87" s="3">
        <f t="shared" si="16"/>
        <v>1.4715900607082965E-3</v>
      </c>
      <c r="L87" s="3">
        <f t="shared" si="16"/>
        <v>1.410024989069038E-3</v>
      </c>
      <c r="M87" s="3">
        <f t="shared" si="16"/>
        <v>8.1837430550538229E-3</v>
      </c>
      <c r="N87" s="3">
        <f t="shared" si="16"/>
        <v>0</v>
      </c>
      <c r="O87" s="3">
        <f t="shared" si="16"/>
        <v>2.7893226703189235E-3</v>
      </c>
      <c r="P87" s="3">
        <f t="shared" si="16"/>
        <v>6.4935335228668114E-4</v>
      </c>
      <c r="Q87" s="3">
        <f t="shared" si="16"/>
        <v>1.7015812843606145E-2</v>
      </c>
      <c r="R87" s="3">
        <f t="shared" si="16"/>
        <v>9.1480930152342124E-5</v>
      </c>
      <c r="S87" s="3">
        <f t="shared" si="16"/>
        <v>2.184774644478717E-4</v>
      </c>
      <c r="T87" s="3">
        <f t="shared" si="16"/>
        <v>8.0414449978085355E-3</v>
      </c>
      <c r="U87" s="3">
        <f t="shared" si="16"/>
        <v>8.5272468274148337E-4</v>
      </c>
      <c r="V87" s="3">
        <f t="shared" si="16"/>
        <v>1.8486299217018098E-3</v>
      </c>
      <c r="W87" s="3">
        <f t="shared" si="16"/>
        <v>0.62042924661866139</v>
      </c>
      <c r="X87" s="3">
        <f t="shared" si="16"/>
        <v>0</v>
      </c>
      <c r="Y87" s="3">
        <f t="shared" si="16"/>
        <v>0</v>
      </c>
      <c r="Z87" s="3">
        <f t="shared" si="16"/>
        <v>3.0727031775047522E-6</v>
      </c>
      <c r="AC87" s="3" t="s">
        <v>15</v>
      </c>
      <c r="AD87" s="19">
        <v>2.9621686366447384E-4</v>
      </c>
      <c r="AE87" s="19">
        <v>4.1951249762344428E-3</v>
      </c>
      <c r="AF87" s="19">
        <v>1.0533376583007226E-2</v>
      </c>
      <c r="AG87" s="19">
        <v>7.7444103272111776E-3</v>
      </c>
      <c r="AH87" s="19">
        <v>1.1880057236117382E-2</v>
      </c>
      <c r="AI87" s="19">
        <v>1.6938029675175513E-2</v>
      </c>
      <c r="AJ87" s="19">
        <v>8.7790754023164535E-3</v>
      </c>
      <c r="AK87" s="19">
        <v>1.4853301679435419E-2</v>
      </c>
      <c r="AL87" s="19">
        <v>9.864070968329787E-3</v>
      </c>
      <c r="AM87" s="19">
        <v>1.595893223311106E-2</v>
      </c>
      <c r="AN87" s="19">
        <v>7.63634164194956E-3</v>
      </c>
      <c r="AO87" s="19">
        <v>4.6006957930158007E-2</v>
      </c>
      <c r="AP87" s="19">
        <v>1.2732606428458016E-2</v>
      </c>
      <c r="AQ87" s="19">
        <v>1.0264918091511446E-2</v>
      </c>
      <c r="AR87" s="19">
        <v>5.9467530980045966E-2</v>
      </c>
      <c r="AS87" s="19">
        <v>2.0159503409522758E-2</v>
      </c>
      <c r="AT87" s="19">
        <v>1.2128496321267897E-2</v>
      </c>
      <c r="AU87" s="19">
        <v>2.1663316147291663E-2</v>
      </c>
      <c r="AV87" s="19">
        <v>2.1334717778510204E-2</v>
      </c>
      <c r="AW87" s="19">
        <v>1.2022419367554819E-2</v>
      </c>
      <c r="AX87" s="3"/>
      <c r="AY87" s="3"/>
      <c r="AZ87" s="3"/>
      <c r="BA87" s="3"/>
      <c r="BB87" s="3"/>
      <c r="BC87" s="3"/>
      <c r="BE87" s="3" t="s">
        <v>15</v>
      </c>
      <c r="BF87" s="5">
        <v>2.962269740131585E-4</v>
      </c>
      <c r="BG87" s="5">
        <v>4.1951250206113781E-3</v>
      </c>
      <c r="BH87" s="5">
        <v>1.053337668365445E-2</v>
      </c>
      <c r="BI87" s="5">
        <v>7.7444103711134466E-3</v>
      </c>
      <c r="BJ87" s="5">
        <v>1.1880057190909203E-2</v>
      </c>
      <c r="BK87" s="5">
        <v>1.6938026942198786E-2</v>
      </c>
      <c r="BL87" s="5">
        <v>8.7790753853941896E-3</v>
      </c>
      <c r="BM87" s="5">
        <v>1.4853296882241247E-2</v>
      </c>
      <c r="BN87" s="5">
        <v>9.8640741000746573E-3</v>
      </c>
      <c r="BO87" s="5">
        <v>1.5958932212335113E-2</v>
      </c>
      <c r="BP87" s="5">
        <v>7.636341627249175E-3</v>
      </c>
      <c r="BQ87" s="5">
        <v>4.6006958174963308E-2</v>
      </c>
      <c r="BR87" s="5">
        <v>1.2732604847769686E-2</v>
      </c>
      <c r="BS87" s="5">
        <v>1.0264918623895603E-2</v>
      </c>
      <c r="BT87" s="5">
        <v>5.946753236878291E-2</v>
      </c>
      <c r="BU87" s="5">
        <v>2.0159504443463497E-2</v>
      </c>
      <c r="BV87" s="5">
        <v>1.212849438536418E-2</v>
      </c>
      <c r="BW87" s="5">
        <v>2.1663314444619202E-2</v>
      </c>
      <c r="BX87" s="5">
        <v>2.1334711684913965E-2</v>
      </c>
      <c r="BY87" s="5">
        <v>1.2022414010521478E-2</v>
      </c>
    </row>
    <row r="88" spans="1:77" x14ac:dyDescent="0.2">
      <c r="A88" s="3" t="s">
        <v>17</v>
      </c>
      <c r="B88" s="3">
        <f t="shared" ref="B88:Z88" si="17">B47/B$56</f>
        <v>1.4555283527489136E-5</v>
      </c>
      <c r="C88" s="3">
        <f t="shared" si="17"/>
        <v>6.1856899556481115E-5</v>
      </c>
      <c r="D88" s="3">
        <f t="shared" si="17"/>
        <v>1.0227791011028554E-4</v>
      </c>
      <c r="E88" s="3">
        <f t="shared" si="17"/>
        <v>3.4752736237077321E-5</v>
      </c>
      <c r="F88" s="3">
        <f t="shared" si="17"/>
        <v>1.4643637225521467E-4</v>
      </c>
      <c r="G88" s="3">
        <f t="shared" si="17"/>
        <v>2.8473660361040613E-4</v>
      </c>
      <c r="H88" s="3">
        <f t="shared" si="17"/>
        <v>1.5234357177009369E-4</v>
      </c>
      <c r="I88" s="3">
        <f t="shared" si="17"/>
        <v>1.4313450664989675E-3</v>
      </c>
      <c r="J88" s="3">
        <f t="shared" si="17"/>
        <v>4.5908872414232154E-4</v>
      </c>
      <c r="K88" s="3">
        <f t="shared" si="17"/>
        <v>5.7653502387152746E-4</v>
      </c>
      <c r="L88" s="3">
        <f t="shared" si="17"/>
        <v>2.8890554702026892E-4</v>
      </c>
      <c r="M88" s="3">
        <f t="shared" si="17"/>
        <v>2.4740025911942145E-4</v>
      </c>
      <c r="N88" s="3">
        <f t="shared" si="17"/>
        <v>0</v>
      </c>
      <c r="O88" s="3">
        <f t="shared" si="17"/>
        <v>4.8112718231219738E-4</v>
      </c>
      <c r="P88" s="3">
        <f t="shared" si="17"/>
        <v>4.8080762922820945E-4</v>
      </c>
      <c r="Q88" s="3">
        <f t="shared" si="17"/>
        <v>5.4877044550442049E-3</v>
      </c>
      <c r="R88" s="3">
        <f t="shared" si="17"/>
        <v>2.0750041936169875E-2</v>
      </c>
      <c r="S88" s="3">
        <f t="shared" si="17"/>
        <v>6.8023337523296994E-4</v>
      </c>
      <c r="T88" s="3">
        <f t="shared" si="17"/>
        <v>7.280628108067513E-4</v>
      </c>
      <c r="U88" s="3">
        <f t="shared" si="17"/>
        <v>6.9722030160388718E-4</v>
      </c>
      <c r="V88" s="3">
        <f t="shared" si="17"/>
        <v>3.5477877945798243E-2</v>
      </c>
      <c r="W88" s="3">
        <f t="shared" si="17"/>
        <v>0.15208168894942828</v>
      </c>
      <c r="X88" s="3">
        <f t="shared" si="17"/>
        <v>0</v>
      </c>
      <c r="Y88" s="3">
        <f t="shared" si="17"/>
        <v>0</v>
      </c>
      <c r="Z88" s="3">
        <f t="shared" si="17"/>
        <v>1.8857063506080357E-3</v>
      </c>
      <c r="AC88" s="3" t="s">
        <v>16</v>
      </c>
      <c r="AD88" s="19">
        <v>3.1324910766771912E-4</v>
      </c>
      <c r="AE88" s="19">
        <v>2.62991723373919E-4</v>
      </c>
      <c r="AF88" s="19">
        <v>2.309727918786632E-3</v>
      </c>
      <c r="AG88" s="19">
        <v>1.8329466738232184E-3</v>
      </c>
      <c r="AH88" s="19">
        <v>2.3317175179931159E-3</v>
      </c>
      <c r="AI88" s="19">
        <v>9.129110267287726E-3</v>
      </c>
      <c r="AJ88" s="19">
        <v>1.1764193877674203E-3</v>
      </c>
      <c r="AK88" s="19">
        <v>4.1960379625108745E-3</v>
      </c>
      <c r="AL88" s="19">
        <v>4.7386734083995994E-3</v>
      </c>
      <c r="AM88" s="19">
        <v>3.4984034446491623E-3</v>
      </c>
      <c r="AN88" s="19">
        <v>2.2319506607179651E-3</v>
      </c>
      <c r="AO88" s="19">
        <v>1.0263596556432475E-2</v>
      </c>
      <c r="AP88" s="19">
        <v>1.7868356331923656E-4</v>
      </c>
      <c r="AQ88" s="19">
        <v>3.9607075105549975E-3</v>
      </c>
      <c r="AR88" s="19">
        <v>1.6616772395763144E-3</v>
      </c>
      <c r="AS88" s="19">
        <v>1.8581140942424846E-2</v>
      </c>
      <c r="AT88" s="19">
        <v>1.5313446441337036E-3</v>
      </c>
      <c r="AU88" s="19">
        <v>1.9126529606307233E-3</v>
      </c>
      <c r="AV88" s="19">
        <v>1.0018112271716319E-2</v>
      </c>
      <c r="AW88" s="19">
        <v>3.306080101777516E-3</v>
      </c>
      <c r="AX88" s="3"/>
      <c r="AY88" s="3"/>
      <c r="AZ88" s="3"/>
      <c r="BA88" s="3"/>
      <c r="BB88" s="3"/>
      <c r="BC88" s="3"/>
      <c r="BE88" s="3" t="s">
        <v>16</v>
      </c>
      <c r="BF88" s="5">
        <v>3.132081381285625E-4</v>
      </c>
      <c r="BG88" s="5">
        <v>2.6299164103834059E-4</v>
      </c>
      <c r="BH88" s="5">
        <v>2.3097276243471618E-3</v>
      </c>
      <c r="BI88" s="5">
        <v>1.8329465848784053E-3</v>
      </c>
      <c r="BJ88" s="5">
        <v>2.3317174250310027E-3</v>
      </c>
      <c r="BK88" s="5">
        <v>9.1291147240095041E-3</v>
      </c>
      <c r="BL88" s="5">
        <v>1.1764192886518012E-3</v>
      </c>
      <c r="BM88" s="5">
        <v>4.1960301356316967E-3</v>
      </c>
      <c r="BN88" s="5">
        <v>4.7386704351122227E-3</v>
      </c>
      <c r="BO88" s="5">
        <v>3.4984030728706407E-3</v>
      </c>
      <c r="BP88" s="5">
        <v>2.231950524695693E-3</v>
      </c>
      <c r="BQ88" s="5">
        <v>1.026359787975316E-2</v>
      </c>
      <c r="BR88" s="5">
        <v>1.7868371495308218E-4</v>
      </c>
      <c r="BS88" s="5">
        <v>3.9607063670377505E-3</v>
      </c>
      <c r="BT88" s="5">
        <v>1.6616765931112942E-3</v>
      </c>
      <c r="BU88" s="5">
        <v>1.8581141270224383E-2</v>
      </c>
      <c r="BV88" s="5">
        <v>1.5313445309500105E-3</v>
      </c>
      <c r="BW88" s="5">
        <v>1.9126503151604577E-3</v>
      </c>
      <c r="BX88" s="5">
        <v>1.0018113689234189E-2</v>
      </c>
      <c r="BY88" s="5">
        <v>3.3060774779760447E-3</v>
      </c>
    </row>
    <row r="89" spans="1:77" x14ac:dyDescent="0.2">
      <c r="A89" s="3" t="s">
        <v>18</v>
      </c>
      <c r="B89" s="3">
        <f t="shared" ref="B89:Z89" si="18">B48/B$56</f>
        <v>2.1698154147460656E-5</v>
      </c>
      <c r="C89" s="3">
        <f t="shared" si="18"/>
        <v>0</v>
      </c>
      <c r="D89" s="3">
        <f t="shared" si="18"/>
        <v>1.5295826678055153E-4</v>
      </c>
      <c r="E89" s="3">
        <f t="shared" si="18"/>
        <v>8.9602525173429498E-5</v>
      </c>
      <c r="F89" s="3">
        <f t="shared" si="18"/>
        <v>1.1720377661441528E-4</v>
      </c>
      <c r="G89" s="3">
        <f t="shared" si="18"/>
        <v>0</v>
      </c>
      <c r="H89" s="3">
        <f t="shared" si="18"/>
        <v>1.6564068046002415E-4</v>
      </c>
      <c r="I89" s="3">
        <f t="shared" si="18"/>
        <v>2.207599628067188E-4</v>
      </c>
      <c r="J89" s="3">
        <f t="shared" si="18"/>
        <v>2.2608053521675127E-4</v>
      </c>
      <c r="K89" s="3">
        <f t="shared" si="18"/>
        <v>1.5751949137290708E-4</v>
      </c>
      <c r="L89" s="3">
        <f t="shared" si="18"/>
        <v>3.1245227163101034E-4</v>
      </c>
      <c r="M89" s="3">
        <f t="shared" si="18"/>
        <v>2.0548193426213763E-4</v>
      </c>
      <c r="N89" s="3">
        <f t="shared" si="18"/>
        <v>0</v>
      </c>
      <c r="O89" s="3">
        <f t="shared" si="18"/>
        <v>5.0321593019665408E-3</v>
      </c>
      <c r="P89" s="3">
        <f t="shared" si="18"/>
        <v>1.748133289443989E-3</v>
      </c>
      <c r="Q89" s="3">
        <f t="shared" si="18"/>
        <v>8.4731541463378846E-3</v>
      </c>
      <c r="R89" s="3">
        <f t="shared" si="18"/>
        <v>8.3240304616312151E-4</v>
      </c>
      <c r="S89" s="3">
        <f t="shared" si="18"/>
        <v>0.10808891364285433</v>
      </c>
      <c r="T89" s="3">
        <f t="shared" si="18"/>
        <v>3.1879393248009057E-2</v>
      </c>
      <c r="U89" s="3">
        <f t="shared" si="18"/>
        <v>5.3243073989108569E-3</v>
      </c>
      <c r="V89" s="3">
        <f t="shared" si="18"/>
        <v>6.5048852210510794E-2</v>
      </c>
      <c r="W89" s="3">
        <f t="shared" si="18"/>
        <v>0.15144586817156364</v>
      </c>
      <c r="X89" s="3">
        <f t="shared" si="18"/>
        <v>0</v>
      </c>
      <c r="Y89" s="3">
        <f t="shared" si="18"/>
        <v>0</v>
      </c>
      <c r="Z89" s="3">
        <f t="shared" si="18"/>
        <v>4.5976421912664693E-4</v>
      </c>
      <c r="AC89" s="3" t="s">
        <v>17</v>
      </c>
      <c r="AD89" s="19">
        <v>1.7207996581995161E-4</v>
      </c>
      <c r="AE89" s="19">
        <v>2.3875462258673335E-4</v>
      </c>
      <c r="AF89" s="19">
        <v>3.2664709412083131E-4</v>
      </c>
      <c r="AG89" s="19">
        <v>2.7080755121636029E-4</v>
      </c>
      <c r="AH89" s="19">
        <v>8.6928693978276261E-4</v>
      </c>
      <c r="AI89" s="19">
        <v>1.7346380395548032E-3</v>
      </c>
      <c r="AJ89" s="19">
        <v>3.1058954468729836E-4</v>
      </c>
      <c r="AK89" s="19">
        <v>2.7443114052206701E-3</v>
      </c>
      <c r="AL89" s="19">
        <v>1.2860210241347229E-3</v>
      </c>
      <c r="AM89" s="19">
        <v>1.7199158084701158E-3</v>
      </c>
      <c r="AN89" s="19">
        <v>9.734514347022646E-4</v>
      </c>
      <c r="AO89" s="19">
        <v>1.9517640474651138E-3</v>
      </c>
      <c r="AP89" s="19">
        <v>2.852558100947235E-4</v>
      </c>
      <c r="AQ89" s="19">
        <v>1.8902981200690585E-3</v>
      </c>
      <c r="AR89" s="19">
        <v>1.3167659342511809E-3</v>
      </c>
      <c r="AS89" s="19">
        <v>6.2161423036838455E-3</v>
      </c>
      <c r="AT89" s="19">
        <v>2.075376578312858E-2</v>
      </c>
      <c r="AU89" s="19">
        <v>1.2190558141868795E-3</v>
      </c>
      <c r="AV89" s="19">
        <v>1.7553870792662762E-3</v>
      </c>
      <c r="AW89" s="19">
        <v>1.6118736639753519E-3</v>
      </c>
      <c r="AX89" s="3"/>
      <c r="AY89" s="3"/>
      <c r="AZ89" s="3"/>
      <c r="BA89" s="3"/>
      <c r="BB89" s="3"/>
      <c r="BC89" s="3"/>
      <c r="BE89" s="3" t="s">
        <v>17</v>
      </c>
      <c r="BF89" s="5">
        <v>1.7210275059818174E-4</v>
      </c>
      <c r="BG89" s="5">
        <v>2.3875461137299928E-4</v>
      </c>
      <c r="BH89" s="5">
        <v>3.2664769342539664E-4</v>
      </c>
      <c r="BI89" s="5">
        <v>2.7080658937200835E-4</v>
      </c>
      <c r="BJ89" s="5">
        <v>8.6928676296368153E-4</v>
      </c>
      <c r="BK89" s="5">
        <v>1.734636510339241E-3</v>
      </c>
      <c r="BL89" s="5">
        <v>3.1058947301645999E-4</v>
      </c>
      <c r="BM89" s="5">
        <v>2.7443253469531461E-3</v>
      </c>
      <c r="BN89" s="5">
        <v>1.2860183047651906E-3</v>
      </c>
      <c r="BO89" s="5">
        <v>1.7199157753598456E-3</v>
      </c>
      <c r="BP89" s="5">
        <v>9.7345122475169551E-4</v>
      </c>
      <c r="BQ89" s="5">
        <v>1.9517639238800801E-3</v>
      </c>
      <c r="BR89" s="5">
        <v>2.8525705787742363E-4</v>
      </c>
      <c r="BS89" s="5">
        <v>1.8902977237891113E-3</v>
      </c>
      <c r="BT89" s="5">
        <v>1.3167663566298455E-3</v>
      </c>
      <c r="BU89" s="5">
        <v>6.2161425152710706E-3</v>
      </c>
      <c r="BV89" s="5">
        <v>2.075376756898651E-2</v>
      </c>
      <c r="BW89" s="5">
        <v>1.2190536287490644E-3</v>
      </c>
      <c r="BX89" s="5">
        <v>1.7553961765736131E-3</v>
      </c>
      <c r="BY89" s="5">
        <v>1.6118789991648257E-3</v>
      </c>
    </row>
    <row r="90" spans="1:77" x14ac:dyDescent="0.2">
      <c r="A90" s="3" t="s">
        <v>19</v>
      </c>
      <c r="B90" s="3">
        <f t="shared" ref="B90:Z90" si="19">B49/B$56</f>
        <v>0</v>
      </c>
      <c r="C90" s="3">
        <f t="shared" si="19"/>
        <v>1.8493433973858423E-5</v>
      </c>
      <c r="D90" s="3">
        <f t="shared" si="19"/>
        <v>7.1063903146936043E-5</v>
      </c>
      <c r="E90" s="3">
        <f t="shared" si="19"/>
        <v>8.7039679687811488E-4</v>
      </c>
      <c r="F90" s="3">
        <f t="shared" si="19"/>
        <v>2.8242206704565028E-4</v>
      </c>
      <c r="G90" s="3">
        <f t="shared" si="19"/>
        <v>2.2577063008398695E-3</v>
      </c>
      <c r="H90" s="3">
        <f t="shared" si="19"/>
        <v>1.4493223754679133E-4</v>
      </c>
      <c r="I90" s="3">
        <f t="shared" si="19"/>
        <v>9.4879976531404842E-4</v>
      </c>
      <c r="J90" s="3">
        <f t="shared" si="19"/>
        <v>2.4728212648935527E-4</v>
      </c>
      <c r="K90" s="3">
        <f t="shared" si="19"/>
        <v>1.0494356341574358E-3</v>
      </c>
      <c r="L90" s="3">
        <f t="shared" si="19"/>
        <v>1.8735857347236223E-3</v>
      </c>
      <c r="M90" s="3">
        <f t="shared" si="19"/>
        <v>2.9631096100739968E-4</v>
      </c>
      <c r="N90" s="3">
        <f t="shared" si="19"/>
        <v>0</v>
      </c>
      <c r="O90" s="3">
        <f t="shared" si="19"/>
        <v>8.4325241538566939E-4</v>
      </c>
      <c r="P90" s="3">
        <f t="shared" si="19"/>
        <v>1.8020541560457568E-3</v>
      </c>
      <c r="Q90" s="3">
        <f t="shared" si="19"/>
        <v>3.9885817142154301E-4</v>
      </c>
      <c r="R90" s="3">
        <f t="shared" si="19"/>
        <v>9.7346954982613209E-3</v>
      </c>
      <c r="S90" s="3">
        <f t="shared" si="19"/>
        <v>6.0218685025255846E-4</v>
      </c>
      <c r="T90" s="3">
        <f t="shared" si="19"/>
        <v>3.6250736170227407E-2</v>
      </c>
      <c r="U90" s="3">
        <f t="shared" si="19"/>
        <v>1.8148379075504503E-3</v>
      </c>
      <c r="V90" s="3">
        <f t="shared" si="19"/>
        <v>1.7594939312098826E-2</v>
      </c>
      <c r="W90" s="3">
        <f t="shared" si="19"/>
        <v>1.8930556231804195E-2</v>
      </c>
      <c r="X90" s="3">
        <f t="shared" si="19"/>
        <v>0</v>
      </c>
      <c r="Y90" s="3">
        <f t="shared" si="19"/>
        <v>0</v>
      </c>
      <c r="Z90" s="3">
        <f t="shared" si="19"/>
        <v>1.7890216341965694E-3</v>
      </c>
      <c r="AC90" s="3" t="s">
        <v>18</v>
      </c>
      <c r="AD90" s="19">
        <v>5.8394885852519882E-5</v>
      </c>
      <c r="AE90" s="19">
        <v>5.7638410494633408E-5</v>
      </c>
      <c r="AF90" s="19">
        <v>2.5173648357581369E-4</v>
      </c>
      <c r="AG90" s="19">
        <v>1.7579212937862842E-4</v>
      </c>
      <c r="AH90" s="19">
        <v>3.5778568825441446E-4</v>
      </c>
      <c r="AI90" s="19">
        <v>1.1561798433116627E-3</v>
      </c>
      <c r="AJ90" s="19">
        <v>2.3177353143856531E-4</v>
      </c>
      <c r="AK90" s="19">
        <v>8.139162961589649E-4</v>
      </c>
      <c r="AL90" s="19">
        <v>9.6415788708756269E-4</v>
      </c>
      <c r="AM90" s="19">
        <v>5.297776133672468E-4</v>
      </c>
      <c r="AN90" s="19">
        <v>5.5430049508506276E-4</v>
      </c>
      <c r="AO90" s="19">
        <v>8.3485111743794495E-4</v>
      </c>
      <c r="AP90" s="19">
        <v>7.8208378014023289E-5</v>
      </c>
      <c r="AQ90" s="19">
        <v>5.4452275576528418E-3</v>
      </c>
      <c r="AR90" s="19">
        <v>2.089535257143723E-3</v>
      </c>
      <c r="AS90" s="19">
        <v>8.7503876473370868E-3</v>
      </c>
      <c r="AT90" s="19">
        <v>1.1619743104636121E-3</v>
      </c>
      <c r="AU90" s="19">
        <v>0.10781376287542939</v>
      </c>
      <c r="AV90" s="19">
        <v>3.2161034012934721E-2</v>
      </c>
      <c r="AW90" s="19">
        <v>5.8414119007685564E-3</v>
      </c>
      <c r="AX90" s="3"/>
      <c r="AY90" s="3"/>
      <c r="AZ90" s="3"/>
      <c r="BA90" s="3"/>
      <c r="BB90" s="3"/>
      <c r="BC90" s="3"/>
      <c r="BE90" s="3" t="s">
        <v>18</v>
      </c>
      <c r="BF90" s="5">
        <v>5.8355905253729589E-5</v>
      </c>
      <c r="BG90" s="5">
        <v>5.7638425219569529E-5</v>
      </c>
      <c r="BH90" s="5">
        <v>2.5173910244908248E-4</v>
      </c>
      <c r="BI90" s="5">
        <v>1.7579223711373281E-4</v>
      </c>
      <c r="BJ90" s="5">
        <v>3.5778579526154699E-4</v>
      </c>
      <c r="BK90" s="5">
        <v>1.156180268374265E-3</v>
      </c>
      <c r="BL90" s="5">
        <v>2.3177357096838141E-4</v>
      </c>
      <c r="BM90" s="5">
        <v>8.1391469380423368E-4</v>
      </c>
      <c r="BN90" s="5">
        <v>9.6415249127036295E-4</v>
      </c>
      <c r="BO90" s="5">
        <v>5.2977787413694712E-4</v>
      </c>
      <c r="BP90" s="5">
        <v>5.543003159286516E-4</v>
      </c>
      <c r="BQ90" s="5">
        <v>8.3485233996688642E-4</v>
      </c>
      <c r="BR90" s="5">
        <v>7.8208475110525596E-5</v>
      </c>
      <c r="BS90" s="5">
        <v>5.4452266576721668E-3</v>
      </c>
      <c r="BT90" s="5">
        <v>2.0895361548774584E-3</v>
      </c>
      <c r="BU90" s="5">
        <v>8.7503878122598428E-3</v>
      </c>
      <c r="BV90" s="5">
        <v>1.1619733459472834E-3</v>
      </c>
      <c r="BW90" s="5">
        <v>0.10781376179835866</v>
      </c>
      <c r="BX90" s="5">
        <v>3.2161041251126565E-2</v>
      </c>
      <c r="BY90" s="5">
        <v>5.8414052375170946E-3</v>
      </c>
    </row>
    <row r="91" spans="1:77" x14ac:dyDescent="0.2">
      <c r="A91" s="3" t="s">
        <v>20</v>
      </c>
      <c r="B91" s="3">
        <f t="shared" ref="B91:Z91" si="20">B50/B$56</f>
        <v>9.3531173778495008E-5</v>
      </c>
      <c r="C91" s="3">
        <f t="shared" si="20"/>
        <v>2.0649899759306097E-4</v>
      </c>
      <c r="D91" s="3">
        <f t="shared" si="20"/>
        <v>1.0759220682782134E-3</v>
      </c>
      <c r="E91" s="3">
        <f t="shared" si="20"/>
        <v>8.58693914237399E-4</v>
      </c>
      <c r="F91" s="3">
        <f t="shared" si="20"/>
        <v>4.6981628559892614E-4</v>
      </c>
      <c r="G91" s="3">
        <f t="shared" si="20"/>
        <v>1.7930589775222922E-3</v>
      </c>
      <c r="H91" s="3">
        <f t="shared" si="20"/>
        <v>9.4863297613836375E-4</v>
      </c>
      <c r="I91" s="3">
        <f t="shared" si="20"/>
        <v>1.0858202366858239E-2</v>
      </c>
      <c r="J91" s="3">
        <f t="shared" si="20"/>
        <v>6.9290716496366012E-4</v>
      </c>
      <c r="K91" s="3">
        <f t="shared" si="20"/>
        <v>1.6508195972883561E-3</v>
      </c>
      <c r="L91" s="3">
        <f t="shared" si="20"/>
        <v>1.2561887061405357E-3</v>
      </c>
      <c r="M91" s="3">
        <f t="shared" si="20"/>
        <v>1.5162753967099694E-3</v>
      </c>
      <c r="N91" s="3">
        <f t="shared" si="20"/>
        <v>3.0901541296564209E-3</v>
      </c>
      <c r="O91" s="3">
        <f t="shared" si="20"/>
        <v>1.6655713480973403E-3</v>
      </c>
      <c r="P91" s="3">
        <f t="shared" si="20"/>
        <v>3.8344300893629834E-3</v>
      </c>
      <c r="Q91" s="3">
        <f t="shared" si="20"/>
        <v>6.9591632511464638E-3</v>
      </c>
      <c r="R91" s="3">
        <f t="shared" si="20"/>
        <v>7.4861689301786083E-3</v>
      </c>
      <c r="S91" s="3">
        <f t="shared" si="20"/>
        <v>6.3125627650541128E-3</v>
      </c>
      <c r="T91" s="3">
        <f t="shared" si="20"/>
        <v>1.8511384232214208E-2</v>
      </c>
      <c r="U91" s="3">
        <f t="shared" si="20"/>
        <v>1.0424414057907103E-2</v>
      </c>
      <c r="V91" s="3">
        <f t="shared" si="20"/>
        <v>4.0046514067724359E-2</v>
      </c>
      <c r="W91" s="3">
        <f t="shared" si="20"/>
        <v>3.7146033966207039E-4</v>
      </c>
      <c r="X91" s="3">
        <f t="shared" si="20"/>
        <v>0</v>
      </c>
      <c r="Y91" s="3">
        <f t="shared" si="20"/>
        <v>0</v>
      </c>
      <c r="Z91" s="3">
        <f t="shared" si="20"/>
        <v>1.0511233674053913E-4</v>
      </c>
      <c r="AC91" s="3" t="s">
        <v>19</v>
      </c>
      <c r="AD91" s="19">
        <v>2.4468379863237582E-5</v>
      </c>
      <c r="AE91" s="19">
        <v>5.580227525992872E-5</v>
      </c>
      <c r="AF91" s="19">
        <v>1.5538740574646827E-4</v>
      </c>
      <c r="AG91" s="19">
        <v>8.8698137106899347E-4</v>
      </c>
      <c r="AH91" s="19">
        <v>4.5149203800162258E-4</v>
      </c>
      <c r="AI91" s="19">
        <v>3.3800317120201229E-3</v>
      </c>
      <c r="AJ91" s="19">
        <v>2.2470372763129615E-4</v>
      </c>
      <c r="AK91" s="19">
        <v>1.3656875827432833E-3</v>
      </c>
      <c r="AL91" s="19">
        <v>1.1573237371506585E-3</v>
      </c>
      <c r="AM91" s="19">
        <v>1.1608505878088265E-3</v>
      </c>
      <c r="AN91" s="19">
        <v>1.9455853625250574E-3</v>
      </c>
      <c r="AO91" s="19">
        <v>7.2131760654661477E-4</v>
      </c>
      <c r="AP91" s="19">
        <v>2.9903149419229378E-5</v>
      </c>
      <c r="AQ91" s="19">
        <v>1.0541120541564771E-3</v>
      </c>
      <c r="AR91" s="19">
        <v>1.9624633243852472E-3</v>
      </c>
      <c r="AS91" s="19">
        <v>5.8629909989096115E-4</v>
      </c>
      <c r="AT91" s="19">
        <v>9.2560086857453525E-3</v>
      </c>
      <c r="AU91" s="19">
        <v>8.3839327294795687E-4</v>
      </c>
      <c r="AV91" s="19">
        <v>3.3923032175004093E-2</v>
      </c>
      <c r="AW91" s="19">
        <v>2.2088702789578281E-3</v>
      </c>
      <c r="AX91" s="3"/>
      <c r="AY91" s="3"/>
      <c r="AZ91" s="3"/>
      <c r="BA91" s="3"/>
      <c r="BB91" s="3"/>
      <c r="BC91" s="3"/>
      <c r="BE91" s="3" t="s">
        <v>19</v>
      </c>
      <c r="BF91" s="5">
        <v>2.4528348166694656E-5</v>
      </c>
      <c r="BG91" s="5">
        <v>5.5802362903727833E-5</v>
      </c>
      <c r="BH91" s="5">
        <v>1.5538737238081216E-4</v>
      </c>
      <c r="BI91" s="5">
        <v>8.8698115598995523E-4</v>
      </c>
      <c r="BJ91" s="5">
        <v>4.5149223917303555E-4</v>
      </c>
      <c r="BK91" s="5">
        <v>3.3800320174645912E-3</v>
      </c>
      <c r="BL91" s="5">
        <v>2.2470395713283532E-4</v>
      </c>
      <c r="BM91" s="5">
        <v>1.3656922283361045E-3</v>
      </c>
      <c r="BN91" s="5">
        <v>1.1573232953206582E-3</v>
      </c>
      <c r="BO91" s="5">
        <v>1.1608510453116891E-3</v>
      </c>
      <c r="BP91" s="5">
        <v>1.9455853933568119E-3</v>
      </c>
      <c r="BQ91" s="5">
        <v>7.2131862348722917E-4</v>
      </c>
      <c r="BR91" s="5">
        <v>2.9904547915976299E-5</v>
      </c>
      <c r="BS91" s="5">
        <v>1.0541117555273357E-3</v>
      </c>
      <c r="BT91" s="5">
        <v>1.9624634400410386E-3</v>
      </c>
      <c r="BU91" s="5">
        <v>5.8629926579653851E-4</v>
      </c>
      <c r="BV91" s="5">
        <v>9.2560086830501317E-3</v>
      </c>
      <c r="BW91" s="5">
        <v>8.3839288032069869E-4</v>
      </c>
      <c r="BX91" s="5">
        <v>3.3923029953668908E-2</v>
      </c>
      <c r="BY91" s="5">
        <v>2.2088748667426971E-3</v>
      </c>
    </row>
    <row r="92" spans="1:77" x14ac:dyDescent="0.2">
      <c r="A92" s="15" t="s">
        <v>21</v>
      </c>
      <c r="B92" s="15">
        <f t="shared" ref="B92:Z92" si="21">B51/B$56</f>
        <v>0.36398828784852155</v>
      </c>
      <c r="C92" s="15">
        <f t="shared" si="21"/>
        <v>0.46460815595623667</v>
      </c>
      <c r="D92" s="15">
        <f t="shared" si="21"/>
        <v>0.38784372362522684</v>
      </c>
      <c r="E92" s="15">
        <f t="shared" si="21"/>
        <v>0.18466716367318539</v>
      </c>
      <c r="F92" s="15">
        <f t="shared" si="21"/>
        <v>0.32089446935482113</v>
      </c>
      <c r="G92" s="15">
        <f t="shared" si="21"/>
        <v>7.7377664639560653E-2</v>
      </c>
      <c r="H92" s="15">
        <f t="shared" si="21"/>
        <v>0.36469939366009002</v>
      </c>
      <c r="I92" s="15">
        <f t="shared" si="21"/>
        <v>9.8364395370630534E-2</v>
      </c>
      <c r="J92" s="15">
        <f t="shared" si="21"/>
        <v>0.21662714404214589</v>
      </c>
      <c r="K92" s="15">
        <f t="shared" si="21"/>
        <v>0.37783112347865783</v>
      </c>
      <c r="L92" s="15">
        <f t="shared" si="21"/>
        <v>0.2344540180191749</v>
      </c>
      <c r="M92" s="15">
        <f t="shared" si="21"/>
        <v>2.3603587524771791E-2</v>
      </c>
      <c r="N92" s="15">
        <f t="shared" si="21"/>
        <v>0</v>
      </c>
      <c r="O92" s="15">
        <f t="shared" si="21"/>
        <v>0.25553461714957237</v>
      </c>
      <c r="P92" s="15">
        <f t="shared" si="21"/>
        <v>0.12099969194032141</v>
      </c>
      <c r="Q92" s="15">
        <f t="shared" si="21"/>
        <v>0.17931408211219602</v>
      </c>
      <c r="R92" s="15">
        <f t="shared" si="21"/>
        <v>6.6553933972985424E-2</v>
      </c>
      <c r="S92" s="15">
        <f t="shared" si="21"/>
        <v>9.8218995901779446E-2</v>
      </c>
      <c r="T92" s="15">
        <f t="shared" si="21"/>
        <v>7.9031641587280502E-2</v>
      </c>
      <c r="U92" s="15">
        <f t="shared" si="21"/>
        <v>0.110454009894264</v>
      </c>
      <c r="V92" s="15">
        <f t="shared" si="21"/>
        <v>0.1960688932501834</v>
      </c>
      <c r="W92" s="15">
        <f t="shared" si="21"/>
        <v>0</v>
      </c>
      <c r="X92" s="15">
        <f t="shared" si="21"/>
        <v>0.35564741924822935</v>
      </c>
      <c r="Y92" s="15">
        <f t="shared" si="21"/>
        <v>0.716212728977073</v>
      </c>
      <c r="Z92" s="15">
        <f t="shared" si="21"/>
        <v>0.25050973575721824</v>
      </c>
      <c r="AC92" s="3" t="s">
        <v>20</v>
      </c>
      <c r="AD92" s="19">
        <v>1.130539395507258E-4</v>
      </c>
      <c r="AE92" s="19">
        <v>2.3488928906079378E-4</v>
      </c>
      <c r="AF92" s="19">
        <v>1.0622303492739489E-3</v>
      </c>
      <c r="AG92" s="19">
        <v>8.5905684368496734E-4</v>
      </c>
      <c r="AH92" s="19">
        <v>5.7852282877330209E-4</v>
      </c>
      <c r="AI92" s="19">
        <v>2.5075280557115918E-3</v>
      </c>
      <c r="AJ92" s="19">
        <v>9.2584556167682843E-4</v>
      </c>
      <c r="AK92" s="19">
        <v>1.0050831585477982E-2</v>
      </c>
      <c r="AL92" s="19">
        <v>1.2257919667208635E-3</v>
      </c>
      <c r="AM92" s="19">
        <v>1.6842820938187046E-3</v>
      </c>
      <c r="AN92" s="19">
        <v>1.2632599228903235E-3</v>
      </c>
      <c r="AO92" s="19">
        <v>1.8597953392485106E-3</v>
      </c>
      <c r="AP92" s="19">
        <v>2.8331230792303704E-3</v>
      </c>
      <c r="AQ92" s="19">
        <v>1.702105934704305E-3</v>
      </c>
      <c r="AR92" s="19">
        <v>3.8820478570511553E-3</v>
      </c>
      <c r="AS92" s="19">
        <v>6.447102184208099E-3</v>
      </c>
      <c r="AT92" s="19">
        <v>6.957334853269357E-3</v>
      </c>
      <c r="AU92" s="19">
        <v>6.0495611726258851E-3</v>
      </c>
      <c r="AV92" s="19">
        <v>1.6908030050853555E-2</v>
      </c>
      <c r="AW92" s="19">
        <v>9.6851334703408933E-3</v>
      </c>
      <c r="AX92" s="3"/>
      <c r="AY92" s="3"/>
      <c r="AZ92" s="3"/>
      <c r="BA92" s="3"/>
      <c r="BB92" s="3"/>
      <c r="BC92" s="3"/>
      <c r="BE92" s="3" t="s">
        <v>20</v>
      </c>
      <c r="BF92" s="5">
        <v>1.130729896255869E-4</v>
      </c>
      <c r="BG92" s="5">
        <v>2.3488925015202432E-4</v>
      </c>
      <c r="BH92" s="5">
        <v>1.0622311265415716E-3</v>
      </c>
      <c r="BI92" s="5">
        <v>8.5905685975023766E-4</v>
      </c>
      <c r="BJ92" s="5">
        <v>5.7852269664458939E-4</v>
      </c>
      <c r="BK92" s="5">
        <v>2.5075287236851853E-3</v>
      </c>
      <c r="BL92" s="5">
        <v>9.2584578625939235E-4</v>
      </c>
      <c r="BM92" s="5">
        <v>1.0050834600997554E-2</v>
      </c>
      <c r="BN92" s="5">
        <v>1.22578958051308E-3</v>
      </c>
      <c r="BO92" s="5">
        <v>1.6842821566928497E-3</v>
      </c>
      <c r="BP92" s="5">
        <v>1.2632601485382759E-3</v>
      </c>
      <c r="BQ92" s="5">
        <v>1.8597951704822377E-3</v>
      </c>
      <c r="BR92" s="5">
        <v>2.8331245403186048E-3</v>
      </c>
      <c r="BS92" s="5">
        <v>1.7021057273932821E-3</v>
      </c>
      <c r="BT92" s="5">
        <v>3.8820476146002219E-3</v>
      </c>
      <c r="BU92" s="5">
        <v>6.4471032536203591E-3</v>
      </c>
      <c r="BV92" s="5">
        <v>6.9573342764306908E-3</v>
      </c>
      <c r="BW92" s="5">
        <v>6.0495597052994199E-3</v>
      </c>
      <c r="BX92" s="5">
        <v>1.6908021668578518E-2</v>
      </c>
      <c r="BY92" s="5">
        <v>9.6851333549485535E-3</v>
      </c>
    </row>
    <row r="93" spans="1:77" x14ac:dyDescent="0.2">
      <c r="A93" s="16" t="s">
        <v>22</v>
      </c>
      <c r="B93" s="16">
        <f t="shared" ref="B93:Z93" si="22">B52/B$56</f>
        <v>3.6866646379117157E-3</v>
      </c>
      <c r="C93" s="16">
        <f t="shared" si="22"/>
        <v>3.8236485539640237E-4</v>
      </c>
      <c r="D93" s="16">
        <f t="shared" si="22"/>
        <v>9.0066000516285452E-3</v>
      </c>
      <c r="E93" s="16">
        <f t="shared" si="22"/>
        <v>4.8252761872566002E-4</v>
      </c>
      <c r="F93" s="16">
        <f t="shared" si="22"/>
        <v>3.5703522733389825E-4</v>
      </c>
      <c r="G93" s="16">
        <f t="shared" si="22"/>
        <v>1.3387162487323147E-3</v>
      </c>
      <c r="H93" s="16">
        <f t="shared" si="22"/>
        <v>1.574030013685233E-3</v>
      </c>
      <c r="I93" s="16">
        <f t="shared" si="22"/>
        <v>3.7371486137193657E-3</v>
      </c>
      <c r="J93" s="16">
        <f t="shared" si="22"/>
        <v>2.7196206162950123E-2</v>
      </c>
      <c r="K93" s="16">
        <f t="shared" si="22"/>
        <v>4.4741622836592205E-3</v>
      </c>
      <c r="L93" s="16">
        <f t="shared" si="22"/>
        <v>9.5325624598010961E-3</v>
      </c>
      <c r="M93" s="16">
        <f t="shared" si="22"/>
        <v>1.0166197456092121E-2</v>
      </c>
      <c r="N93" s="16">
        <f t="shared" si="22"/>
        <v>0</v>
      </c>
      <c r="O93" s="16">
        <f t="shared" si="22"/>
        <v>2.1068364221972003E-3</v>
      </c>
      <c r="P93" s="16">
        <f t="shared" si="22"/>
        <v>1.0134614819949008E-3</v>
      </c>
      <c r="Q93" s="16">
        <f t="shared" si="22"/>
        <v>4.4921957711179525E-3</v>
      </c>
      <c r="R93" s="16">
        <f t="shared" si="22"/>
        <v>6.5869507407727715E-3</v>
      </c>
      <c r="S93" s="16">
        <f t="shared" si="22"/>
        <v>2.8547517839932417E-2</v>
      </c>
      <c r="T93" s="16">
        <f t="shared" si="22"/>
        <v>1.2672781387053793E-2</v>
      </c>
      <c r="U93" s="16">
        <f t="shared" si="22"/>
        <v>3.2686434254715329E-3</v>
      </c>
      <c r="V93" s="16">
        <f t="shared" si="22"/>
        <v>8.9280636404455369E-2</v>
      </c>
      <c r="W93" s="16">
        <f t="shared" si="22"/>
        <v>0</v>
      </c>
      <c r="X93" s="16">
        <f t="shared" si="22"/>
        <v>5.6715205288259511E-2</v>
      </c>
      <c r="Y93" s="16">
        <f t="shared" si="22"/>
        <v>0</v>
      </c>
      <c r="Z93" s="16">
        <f t="shared" si="22"/>
        <v>0</v>
      </c>
      <c r="AC93" s="15" t="s">
        <v>21</v>
      </c>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E93" s="3" t="s">
        <v>21</v>
      </c>
      <c r="BF93" s="3">
        <v>0.36398828784852155</v>
      </c>
      <c r="BG93" s="3">
        <v>0.46460815595623667</v>
      </c>
      <c r="BH93" s="3">
        <v>0.38784372362522684</v>
      </c>
      <c r="BI93" s="3">
        <v>0.18466716367318539</v>
      </c>
      <c r="BJ93" s="3">
        <v>0.32089446935482113</v>
      </c>
      <c r="BK93" s="3">
        <v>7.7377664639560653E-2</v>
      </c>
      <c r="BL93" s="3">
        <v>0.36469939366009002</v>
      </c>
      <c r="BM93" s="3">
        <v>9.8364395370630534E-2</v>
      </c>
      <c r="BN93" s="3">
        <v>0.21662714404214589</v>
      </c>
      <c r="BO93" s="3">
        <v>0.37783112347865783</v>
      </c>
      <c r="BP93" s="3">
        <v>0.2344540180191749</v>
      </c>
      <c r="BQ93" s="3">
        <v>2.3603587524771791E-2</v>
      </c>
      <c r="BR93" s="3">
        <v>0</v>
      </c>
      <c r="BS93" s="3">
        <v>0.25553461714957237</v>
      </c>
      <c r="BT93" s="3">
        <v>0.12099969194032141</v>
      </c>
      <c r="BU93" s="3">
        <v>0.17931408211219602</v>
      </c>
      <c r="BV93" s="3">
        <v>6.6553933972985424E-2</v>
      </c>
      <c r="BW93" s="3">
        <v>9.8218995901779446E-2</v>
      </c>
      <c r="BX93" s="3">
        <v>7.9031641587280502E-2</v>
      </c>
      <c r="BY93" s="3">
        <v>0.110454009894264</v>
      </c>
    </row>
    <row r="94" spans="1:77" x14ac:dyDescent="0.2">
      <c r="A94" s="7" t="s">
        <v>23</v>
      </c>
      <c r="B94" s="7">
        <f t="shared" ref="B94:Z94" si="23">B53/B$56</f>
        <v>0.11684658165123223</v>
      </c>
      <c r="C94" s="7">
        <f t="shared" si="23"/>
        <v>6.0583982163822207E-2</v>
      </c>
      <c r="D94" s="7">
        <f t="shared" si="23"/>
        <v>7.7984609279055234E-2</v>
      </c>
      <c r="E94" s="7">
        <f t="shared" si="23"/>
        <v>0.20938418216099117</v>
      </c>
      <c r="F94" s="7">
        <f t="shared" si="23"/>
        <v>8.2678910377921133E-2</v>
      </c>
      <c r="G94" s="7">
        <f t="shared" si="23"/>
        <v>0.30767613713075798</v>
      </c>
      <c r="H94" s="7">
        <f t="shared" si="23"/>
        <v>4.7113118239369797E-2</v>
      </c>
      <c r="I94" s="7">
        <f t="shared" si="23"/>
        <v>0.2478964590496617</v>
      </c>
      <c r="J94" s="7">
        <f t="shared" si="23"/>
        <v>0.25826320710083694</v>
      </c>
      <c r="K94" s="7">
        <f t="shared" si="23"/>
        <v>0.12837000997554654</v>
      </c>
      <c r="L94" s="7">
        <f t="shared" si="23"/>
        <v>0.20256296368261756</v>
      </c>
      <c r="M94" s="7">
        <f t="shared" si="23"/>
        <v>8.9646550075402426E-2</v>
      </c>
      <c r="N94" s="7">
        <f t="shared" si="23"/>
        <v>0</v>
      </c>
      <c r="O94" s="7">
        <f t="shared" si="23"/>
        <v>0.3427715996561792</v>
      </c>
      <c r="P94" s="7">
        <f t="shared" si="23"/>
        <v>0.31844186086787141</v>
      </c>
      <c r="Q94" s="7">
        <f t="shared" si="23"/>
        <v>0.30713862066894904</v>
      </c>
      <c r="R94" s="7">
        <f t="shared" si="23"/>
        <v>0.58727039733235564</v>
      </c>
      <c r="S94" s="7">
        <f t="shared" si="23"/>
        <v>0.48073918430587953</v>
      </c>
      <c r="T94" s="7">
        <f t="shared" si="23"/>
        <v>0.27430916613340389</v>
      </c>
      <c r="U94" s="7">
        <f t="shared" si="23"/>
        <v>0.55364617170174035</v>
      </c>
      <c r="V94" s="7">
        <f t="shared" si="23"/>
        <v>0</v>
      </c>
      <c r="W94" s="7">
        <f t="shared" si="23"/>
        <v>0</v>
      </c>
      <c r="X94" s="7">
        <f t="shared" si="23"/>
        <v>0</v>
      </c>
      <c r="Y94" s="7">
        <f t="shared" si="23"/>
        <v>0</v>
      </c>
      <c r="Z94" s="7">
        <f t="shared" si="23"/>
        <v>0</v>
      </c>
      <c r="AC94" s="16" t="s">
        <v>22</v>
      </c>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E94" s="3" t="s">
        <v>22</v>
      </c>
      <c r="BF94" s="3">
        <v>3.6866646379117157E-3</v>
      </c>
      <c r="BG94" s="3">
        <v>3.8236485539640237E-4</v>
      </c>
      <c r="BH94" s="3">
        <v>9.0066000516285452E-3</v>
      </c>
      <c r="BI94" s="3">
        <v>4.8252761872566002E-4</v>
      </c>
      <c r="BJ94" s="3">
        <v>3.5703522733389825E-4</v>
      </c>
      <c r="BK94" s="3">
        <v>1.3387162487323147E-3</v>
      </c>
      <c r="BL94" s="3">
        <v>1.574030013685233E-3</v>
      </c>
      <c r="BM94" s="3">
        <v>3.7371486137193657E-3</v>
      </c>
      <c r="BN94" s="3">
        <v>2.7196206162950123E-2</v>
      </c>
      <c r="BO94" s="3">
        <v>4.4741622836592205E-3</v>
      </c>
      <c r="BP94" s="3">
        <v>9.5325624598010961E-3</v>
      </c>
      <c r="BQ94" s="3">
        <v>1.0166197456092121E-2</v>
      </c>
      <c r="BR94" s="3">
        <v>0</v>
      </c>
      <c r="BS94" s="3">
        <v>2.1068364221972003E-3</v>
      </c>
      <c r="BT94" s="3">
        <v>1.0134614819949008E-3</v>
      </c>
      <c r="BU94" s="3">
        <v>4.4921957711179525E-3</v>
      </c>
      <c r="BV94" s="3">
        <v>6.5869507407727715E-3</v>
      </c>
      <c r="BW94" s="3">
        <v>2.8547517839932417E-2</v>
      </c>
      <c r="BX94" s="3">
        <v>1.2672781387053793E-2</v>
      </c>
      <c r="BY94" s="3">
        <v>3.2686434254715329E-3</v>
      </c>
    </row>
    <row r="95" spans="1:77" x14ac:dyDescent="0.2">
      <c r="A95" s="7" t="s">
        <v>24</v>
      </c>
      <c r="B95" s="7">
        <f t="shared" ref="B95:Z95" si="24">B54/B$56</f>
        <v>8.6253532014750438E-3</v>
      </c>
      <c r="C95" s="7">
        <f t="shared" si="24"/>
        <v>1.8033316883395525E-3</v>
      </c>
      <c r="D95" s="7">
        <f t="shared" si="24"/>
        <v>1.1337222172251053E-2</v>
      </c>
      <c r="E95" s="7">
        <f t="shared" si="24"/>
        <v>2.4320162891296657E-2</v>
      </c>
      <c r="F95" s="7">
        <f t="shared" si="24"/>
        <v>-2.8826618131872996E-4</v>
      </c>
      <c r="G95" s="7">
        <f t="shared" si="24"/>
        <v>-3.8158550503704773E-3</v>
      </c>
      <c r="H95" s="7">
        <f t="shared" si="24"/>
        <v>1.2881671655455308E-3</v>
      </c>
      <c r="I95" s="7">
        <f t="shared" si="24"/>
        <v>1.252788314431144E-2</v>
      </c>
      <c r="J95" s="7">
        <f t="shared" si="24"/>
        <v>-1.4942395377793823E-2</v>
      </c>
      <c r="K95" s="7">
        <f t="shared" si="24"/>
        <v>-3.1367043807706605E-4</v>
      </c>
      <c r="L95" s="7">
        <f t="shared" si="24"/>
        <v>-5.8339399781355366E-4</v>
      </c>
      <c r="M95" s="7">
        <f t="shared" si="24"/>
        <v>4.5740516266499658E-2</v>
      </c>
      <c r="N95" s="7">
        <f t="shared" si="24"/>
        <v>4.5620600192358987E-2</v>
      </c>
      <c r="O95" s="7">
        <f t="shared" si="24"/>
        <v>-5.0680116959075597E-3</v>
      </c>
      <c r="P95" s="7">
        <f t="shared" si="24"/>
        <v>-4.8110542488322651E-3</v>
      </c>
      <c r="Q95" s="7">
        <f t="shared" si="24"/>
        <v>5.1386168541075496E-4</v>
      </c>
      <c r="R95" s="7">
        <f t="shared" si="24"/>
        <v>-5.4584852894847477E-3</v>
      </c>
      <c r="S95" s="7">
        <f t="shared" si="24"/>
        <v>-2.3269622468223708E-3</v>
      </c>
      <c r="T95" s="7">
        <f t="shared" si="24"/>
        <v>1.9198269824580064E-2</v>
      </c>
      <c r="U95" s="7">
        <f t="shared" si="24"/>
        <v>3.2620681041270638E-2</v>
      </c>
      <c r="V95" s="7">
        <f t="shared" si="24"/>
        <v>0</v>
      </c>
      <c r="W95" s="7">
        <f t="shared" si="24"/>
        <v>0</v>
      </c>
      <c r="X95" s="7">
        <f t="shared" si="24"/>
        <v>0</v>
      </c>
      <c r="Y95" s="7">
        <f t="shared" si="24"/>
        <v>0</v>
      </c>
      <c r="Z95" s="7">
        <f t="shared" si="24"/>
        <v>0</v>
      </c>
      <c r="AC95" s="7" t="s">
        <v>23</v>
      </c>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E95" s="3" t="s">
        <v>23</v>
      </c>
      <c r="BF95" s="7">
        <v>0.11684658165123223</v>
      </c>
      <c r="BG95" s="7">
        <v>6.0583982163822207E-2</v>
      </c>
      <c r="BH95" s="7">
        <v>7.7984609279055234E-2</v>
      </c>
      <c r="BI95" s="7">
        <v>0.20938418216099117</v>
      </c>
      <c r="BJ95" s="7">
        <v>8.2678910377921133E-2</v>
      </c>
      <c r="BK95" s="7">
        <v>0.30767613713075798</v>
      </c>
      <c r="BL95" s="7">
        <v>4.7113118239369797E-2</v>
      </c>
      <c r="BM95" s="7">
        <v>0.2478964590496617</v>
      </c>
      <c r="BN95" s="7">
        <v>0.25826320710083694</v>
      </c>
      <c r="BO95" s="7">
        <v>0.12837000997554654</v>
      </c>
      <c r="BP95" s="7">
        <v>0.20256296368261756</v>
      </c>
      <c r="BQ95" s="7">
        <v>8.9646550075402426E-2</v>
      </c>
      <c r="BR95" s="7">
        <v>0</v>
      </c>
      <c r="BS95" s="7">
        <v>0.3427715996561792</v>
      </c>
      <c r="BT95" s="7">
        <v>0.31844186086787141</v>
      </c>
      <c r="BU95" s="7">
        <v>0.30713862066894904</v>
      </c>
      <c r="BV95" s="7">
        <v>0.58727039733235564</v>
      </c>
      <c r="BW95" s="7">
        <v>0.48073918430587953</v>
      </c>
      <c r="BX95" s="7">
        <v>0.27430916613340389</v>
      </c>
      <c r="BY95" s="7">
        <v>0.55364617170174035</v>
      </c>
    </row>
    <row r="96" spans="1:77" x14ac:dyDescent="0.2">
      <c r="A96" s="7" t="s">
        <v>25</v>
      </c>
      <c r="B96" s="7">
        <f t="shared" ref="B96:Z96" si="25">B55/B$56</f>
        <v>0.12200184744283883</v>
      </c>
      <c r="C96" s="7">
        <f t="shared" si="25"/>
        <v>0.22797776629454949</v>
      </c>
      <c r="D96" s="7">
        <f t="shared" si="25"/>
        <v>0.25313915934292375</v>
      </c>
      <c r="E96" s="7">
        <f t="shared" si="25"/>
        <v>6.4819273349827358E-2</v>
      </c>
      <c r="F96" s="7">
        <f t="shared" si="25"/>
        <v>0.36630320972738845</v>
      </c>
      <c r="G96" s="7">
        <f t="shared" si="25"/>
        <v>0.16970850439198371</v>
      </c>
      <c r="H96" s="7">
        <f t="shared" si="25"/>
        <v>0.20423206000636995</v>
      </c>
      <c r="I96" s="7">
        <f t="shared" si="25"/>
        <v>0.29874036035606905</v>
      </c>
      <c r="J96" s="7">
        <f t="shared" si="25"/>
        <v>8.2875136448951295E-2</v>
      </c>
      <c r="K96" s="7">
        <f t="shared" si="25"/>
        <v>5.8084776247958277E-2</v>
      </c>
      <c r="L96" s="7">
        <f t="shared" si="25"/>
        <v>0.27381900770115375</v>
      </c>
      <c r="M96" s="7">
        <f t="shared" si="25"/>
        <v>0.34471407125572057</v>
      </c>
      <c r="N96" s="7">
        <f t="shared" si="25"/>
        <v>0.78278791209679377</v>
      </c>
      <c r="O96" s="7">
        <f t="shared" si="25"/>
        <v>9.4559395045340444E-2</v>
      </c>
      <c r="P96" s="7">
        <f t="shared" si="25"/>
        <v>0.29670970014617998</v>
      </c>
      <c r="Q96" s="7">
        <f t="shared" si="25"/>
        <v>1.422681268611071E-2</v>
      </c>
      <c r="R96" s="7">
        <f t="shared" si="25"/>
        <v>0.13031247593814638</v>
      </c>
      <c r="S96" s="7">
        <f t="shared" si="25"/>
        <v>4.7778530111387843E-2</v>
      </c>
      <c r="T96" s="7">
        <f t="shared" si="25"/>
        <v>0.26025765468443984</v>
      </c>
      <c r="U96" s="7">
        <f t="shared" si="25"/>
        <v>2.9219468113003751E-2</v>
      </c>
      <c r="V96" s="7">
        <f t="shared" si="25"/>
        <v>0</v>
      </c>
      <c r="W96" s="7">
        <f t="shared" si="25"/>
        <v>0</v>
      </c>
      <c r="X96" s="7">
        <f t="shared" si="25"/>
        <v>0</v>
      </c>
      <c r="Y96" s="7">
        <f t="shared" si="25"/>
        <v>0</v>
      </c>
      <c r="Z96" s="7">
        <f t="shared" si="25"/>
        <v>0</v>
      </c>
      <c r="AC96" s="7" t="s">
        <v>24</v>
      </c>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E96" s="3" t="s">
        <v>24</v>
      </c>
      <c r="BF96" s="7">
        <v>8.6253532014750438E-3</v>
      </c>
      <c r="BG96" s="7">
        <v>1.8033316883395525E-3</v>
      </c>
      <c r="BH96" s="7">
        <v>1.1337222172251053E-2</v>
      </c>
      <c r="BI96" s="7">
        <v>2.4320162891296657E-2</v>
      </c>
      <c r="BJ96" s="7">
        <v>-2.8826618131872996E-4</v>
      </c>
      <c r="BK96" s="7">
        <v>-3.8158550503704773E-3</v>
      </c>
      <c r="BL96" s="7">
        <v>1.2881671655455308E-3</v>
      </c>
      <c r="BM96" s="7">
        <v>1.252788314431144E-2</v>
      </c>
      <c r="BN96" s="7">
        <v>-1.4942395377793823E-2</v>
      </c>
      <c r="BO96" s="7">
        <v>-3.1367043807706605E-4</v>
      </c>
      <c r="BP96" s="7">
        <v>-5.8339399781355366E-4</v>
      </c>
      <c r="BQ96" s="7">
        <v>4.5740516266499658E-2</v>
      </c>
      <c r="BR96" s="7">
        <v>4.5620600192358987E-2</v>
      </c>
      <c r="BS96" s="7">
        <v>-5.0680116959075597E-3</v>
      </c>
      <c r="BT96" s="7">
        <v>-4.8110542488322651E-3</v>
      </c>
      <c r="BU96" s="7">
        <v>5.1386168541075496E-4</v>
      </c>
      <c r="BV96" s="7">
        <v>-5.4584852894847477E-3</v>
      </c>
      <c r="BW96" s="7">
        <v>-2.3269622468223708E-3</v>
      </c>
      <c r="BX96" s="7">
        <v>1.9198269824580064E-2</v>
      </c>
      <c r="BY96" s="7">
        <v>3.2620681041270638E-2</v>
      </c>
    </row>
    <row r="97" spans="1:77" x14ac:dyDescent="0.2">
      <c r="AC97" s="7" t="s">
        <v>25</v>
      </c>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E97" s="3" t="s">
        <v>25</v>
      </c>
      <c r="BF97" s="7">
        <v>0.12200184744283883</v>
      </c>
      <c r="BG97" s="7">
        <v>0.22797776629454949</v>
      </c>
      <c r="BH97" s="7">
        <v>0.25313915934292375</v>
      </c>
      <c r="BI97" s="7">
        <v>6.4819273349827358E-2</v>
      </c>
      <c r="BJ97" s="7">
        <v>0.36630320972738845</v>
      </c>
      <c r="BK97" s="7">
        <v>0.16970850439198371</v>
      </c>
      <c r="BL97" s="7">
        <v>0.20423206000636995</v>
      </c>
      <c r="BM97" s="7">
        <v>0.29874036035606905</v>
      </c>
      <c r="BN97" s="7">
        <v>8.2875136448951295E-2</v>
      </c>
      <c r="BO97" s="7">
        <v>5.8084776247958277E-2</v>
      </c>
      <c r="BP97" s="7">
        <v>0.27381900770115375</v>
      </c>
      <c r="BQ97" s="7">
        <v>0.34471407125572057</v>
      </c>
      <c r="BR97" s="7">
        <v>0.78278791209679377</v>
      </c>
      <c r="BS97" s="7">
        <v>9.4559395045340444E-2</v>
      </c>
      <c r="BT97" s="7">
        <v>0.29670970014617998</v>
      </c>
      <c r="BU97" s="7">
        <v>1.422681268611071E-2</v>
      </c>
      <c r="BV97" s="7">
        <v>0.13031247593814638</v>
      </c>
      <c r="BW97" s="7">
        <v>4.7778530111387843E-2</v>
      </c>
      <c r="BX97" s="7">
        <v>0.26025765468443984</v>
      </c>
      <c r="BY97" s="7">
        <v>2.9219468113003751E-2</v>
      </c>
    </row>
    <row r="98" spans="1:77" x14ac:dyDescent="0.2">
      <c r="AC98" s="7" t="s">
        <v>27</v>
      </c>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row>
    <row r="103" spans="1:77" ht="19" x14ac:dyDescent="0.2">
      <c r="A103" s="23" t="s">
        <v>29</v>
      </c>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spans="1:77" ht="102" x14ac:dyDescent="0.2">
      <c r="A104" s="8" t="s">
        <v>76</v>
      </c>
      <c r="B104" s="8" t="s">
        <v>1</v>
      </c>
      <c r="C104" s="8" t="s">
        <v>2</v>
      </c>
      <c r="D104" s="8" t="s">
        <v>3</v>
      </c>
      <c r="E104" s="8" t="s">
        <v>4</v>
      </c>
      <c r="F104" s="8" t="s">
        <v>5</v>
      </c>
      <c r="G104" s="8" t="s">
        <v>6</v>
      </c>
      <c r="H104" s="8" t="s">
        <v>7</v>
      </c>
      <c r="I104" s="8" t="s">
        <v>8</v>
      </c>
      <c r="J104" s="8" t="s">
        <v>9</v>
      </c>
      <c r="K104" s="8" t="s">
        <v>10</v>
      </c>
      <c r="L104" s="8" t="s">
        <v>11</v>
      </c>
      <c r="M104" s="8" t="s">
        <v>12</v>
      </c>
      <c r="N104" s="8" t="s">
        <v>13</v>
      </c>
      <c r="O104" s="8" t="s">
        <v>14</v>
      </c>
      <c r="P104" s="8" t="s">
        <v>15</v>
      </c>
      <c r="Q104" s="8" t="s">
        <v>16</v>
      </c>
      <c r="R104" s="8" t="s">
        <v>17</v>
      </c>
      <c r="S104" s="8" t="s">
        <v>18</v>
      </c>
      <c r="T104" s="8" t="s">
        <v>19</v>
      </c>
      <c r="U104" s="8" t="s">
        <v>20</v>
      </c>
      <c r="V104" s="8" t="s">
        <v>40</v>
      </c>
      <c r="W104" s="8" t="s">
        <v>41</v>
      </c>
      <c r="X104" s="8" t="s">
        <v>42</v>
      </c>
      <c r="Y104" s="8" t="s">
        <v>43</v>
      </c>
      <c r="Z104" s="8" t="s">
        <v>44</v>
      </c>
      <c r="AA104" s="8" t="s">
        <v>49</v>
      </c>
      <c r="AE104" s="8" t="s">
        <v>40</v>
      </c>
      <c r="AF104" s="8" t="s">
        <v>41</v>
      </c>
      <c r="AG104" s="8" t="s">
        <v>42</v>
      </c>
      <c r="AH104" s="8" t="s">
        <v>43</v>
      </c>
      <c r="AI104" s="8" t="s">
        <v>44</v>
      </c>
    </row>
    <row r="105" spans="1:77" x14ac:dyDescent="0.2">
      <c r="A105" s="3" t="s">
        <v>1</v>
      </c>
      <c r="B105" s="3">
        <v>150.3579</v>
      </c>
      <c r="C105" s="3">
        <v>53.059199999999997</v>
      </c>
      <c r="D105" s="3">
        <v>1.5652999999999999</v>
      </c>
      <c r="E105" s="3">
        <v>6.1299000000000001</v>
      </c>
      <c r="F105" s="3">
        <v>6.3800999999999997</v>
      </c>
      <c r="G105" s="3">
        <v>0.82489999999999997</v>
      </c>
      <c r="H105" s="3">
        <v>4.0452000000000004</v>
      </c>
      <c r="I105" s="3">
        <v>9.1014999999999997</v>
      </c>
      <c r="J105" s="3">
        <v>71.711100000000002</v>
      </c>
      <c r="K105" s="3">
        <v>8.4222000000000001</v>
      </c>
      <c r="L105" s="3">
        <v>3.5604</v>
      </c>
      <c r="M105" s="3">
        <v>2.0802999999999998</v>
      </c>
      <c r="N105" s="3">
        <v>0.27489999999999998</v>
      </c>
      <c r="O105" s="3">
        <v>2.9794</v>
      </c>
      <c r="P105" s="3">
        <v>5.6923000000000004</v>
      </c>
      <c r="Q105" s="3">
        <v>1.7456</v>
      </c>
      <c r="R105" s="3">
        <v>0.52390000000000003</v>
      </c>
      <c r="S105" s="3">
        <v>1.4944999999999999</v>
      </c>
      <c r="T105" s="3">
        <v>0.98380000000000001</v>
      </c>
      <c r="U105" s="3">
        <v>1.4014</v>
      </c>
      <c r="V105" s="3">
        <v>189.6874</v>
      </c>
      <c r="W105" s="3">
        <v>0.5484</v>
      </c>
      <c r="X105" s="3">
        <v>5.0930999999999997</v>
      </c>
      <c r="Y105" s="3">
        <v>22.6813</v>
      </c>
      <c r="Z105" s="3">
        <v>191.65450000000001</v>
      </c>
      <c r="AA105" s="3">
        <v>741.99860000000001</v>
      </c>
      <c r="AE105" s="3" cm="1">
        <f t="array" ref="AE105:AI124">MMULT(BB4:BU23,V31:Z50)</f>
        <v>189.68740850202013</v>
      </c>
      <c r="AF105" s="3">
        <v>0.54837597127540938</v>
      </c>
      <c r="AG105" s="3">
        <v>5.0931665842454397</v>
      </c>
      <c r="AH105" s="3">
        <v>22.6813</v>
      </c>
      <c r="AI105" s="3">
        <v>191.65452819277465</v>
      </c>
    </row>
    <row r="106" spans="1:77" x14ac:dyDescent="0.2">
      <c r="A106" s="3" t="s">
        <v>2</v>
      </c>
      <c r="B106" s="3">
        <v>39.583300000000001</v>
      </c>
      <c r="C106" s="3">
        <v>79298.270699999994</v>
      </c>
      <c r="D106" s="3">
        <v>384.05020000000002</v>
      </c>
      <c r="E106" s="3">
        <v>5452.2282999999998</v>
      </c>
      <c r="F106" s="3">
        <v>4662.0334999999995</v>
      </c>
      <c r="G106" s="3">
        <v>416.15559999999999</v>
      </c>
      <c r="H106" s="3">
        <v>15722.867899999999</v>
      </c>
      <c r="I106" s="3">
        <v>260.3811</v>
      </c>
      <c r="J106" s="3">
        <v>1596.1310000000001</v>
      </c>
      <c r="K106" s="3">
        <v>8518.1929999999993</v>
      </c>
      <c r="L106" s="3">
        <v>736.14020000000005</v>
      </c>
      <c r="M106" s="3">
        <v>1314.6909000000001</v>
      </c>
      <c r="N106" s="3">
        <v>47.219299999999997</v>
      </c>
      <c r="O106" s="3">
        <v>7466.9215999999997</v>
      </c>
      <c r="P106" s="3">
        <v>1407.4277</v>
      </c>
      <c r="Q106" s="3">
        <v>2254.4866000000002</v>
      </c>
      <c r="R106" s="3">
        <v>666.05269999999996</v>
      </c>
      <c r="S106" s="3">
        <v>1893.0707</v>
      </c>
      <c r="T106" s="3">
        <v>224.46090000000001</v>
      </c>
      <c r="U106" s="3">
        <v>498.87189999999998</v>
      </c>
      <c r="V106" s="3">
        <v>6583.4234999999999</v>
      </c>
      <c r="W106" s="3">
        <v>456.07679999999999</v>
      </c>
      <c r="X106" s="3">
        <v>10745.3809</v>
      </c>
      <c r="Y106" s="3">
        <v>2874.7545</v>
      </c>
      <c r="Z106" s="3">
        <v>323098.93709999998</v>
      </c>
      <c r="AA106" s="3">
        <v>476617.81</v>
      </c>
      <c r="AE106" s="3">
        <v>6583.4234932378049</v>
      </c>
      <c r="AF106" s="3">
        <v>456.07681683781828</v>
      </c>
      <c r="AG106" s="3">
        <v>10745.380874287866</v>
      </c>
      <c r="AH106" s="3">
        <v>2874.7544773262475</v>
      </c>
      <c r="AI106" s="3">
        <v>323098.93711991445</v>
      </c>
    </row>
    <row r="107" spans="1:77" x14ac:dyDescent="0.2">
      <c r="A107" s="3" t="s">
        <v>3</v>
      </c>
      <c r="B107" s="3">
        <v>21.463999999999999</v>
      </c>
      <c r="C107" s="3">
        <v>4394.0855000000001</v>
      </c>
      <c r="D107" s="3">
        <v>4021.1460999999999</v>
      </c>
      <c r="E107" s="3">
        <v>221.28469999999999</v>
      </c>
      <c r="F107" s="3">
        <v>557.27329999999995</v>
      </c>
      <c r="G107" s="3">
        <v>431.64139999999998</v>
      </c>
      <c r="H107" s="3">
        <v>1187.8379</v>
      </c>
      <c r="I107" s="3">
        <v>325.18939999999998</v>
      </c>
      <c r="J107" s="3">
        <v>671.50930000000005</v>
      </c>
      <c r="K107" s="3">
        <v>2465.9137999999998</v>
      </c>
      <c r="L107" s="3">
        <v>440.6884</v>
      </c>
      <c r="M107" s="3">
        <v>1208.2669000000001</v>
      </c>
      <c r="N107" s="3">
        <v>2.4765000000000001</v>
      </c>
      <c r="O107" s="3">
        <v>350.77339999999998</v>
      </c>
      <c r="P107" s="3">
        <v>89.736000000000004</v>
      </c>
      <c r="Q107" s="3">
        <v>1619.4481000000001</v>
      </c>
      <c r="R107" s="3">
        <v>443.47379999999998</v>
      </c>
      <c r="S107" s="3">
        <v>439.32499999999999</v>
      </c>
      <c r="T107" s="3">
        <v>371.6816</v>
      </c>
      <c r="U107" s="3">
        <v>140.41309999999999</v>
      </c>
      <c r="V107" s="3">
        <v>3019.4005000000002</v>
      </c>
      <c r="W107" s="3">
        <v>735.73779999999999</v>
      </c>
      <c r="X107" s="3">
        <v>51.5715</v>
      </c>
      <c r="Y107" s="3">
        <v>-22.680099999999999</v>
      </c>
      <c r="Z107" s="3">
        <v>689.44330000000002</v>
      </c>
      <c r="AA107" s="3">
        <v>23877.1011</v>
      </c>
      <c r="AE107" s="3">
        <v>3019.400517150083</v>
      </c>
      <c r="AF107" s="3">
        <v>735.73783490086475</v>
      </c>
      <c r="AG107" s="3">
        <v>51.571478186819235</v>
      </c>
      <c r="AH107" s="3">
        <v>-22.680156676132633</v>
      </c>
      <c r="AI107" s="3">
        <v>689.44324983665547</v>
      </c>
    </row>
    <row r="108" spans="1:77" x14ac:dyDescent="0.2">
      <c r="A108" s="3" t="s">
        <v>4</v>
      </c>
      <c r="B108" s="3">
        <v>0.33760000000000001</v>
      </c>
      <c r="C108" s="3">
        <v>479.7595</v>
      </c>
      <c r="D108" s="3">
        <v>109.17870000000001</v>
      </c>
      <c r="E108" s="3">
        <v>24118.940699999999</v>
      </c>
      <c r="F108" s="3">
        <v>209.59309999999999</v>
      </c>
      <c r="G108" s="3">
        <v>36.648499999999999</v>
      </c>
      <c r="H108" s="3">
        <v>290.6164</v>
      </c>
      <c r="I108" s="3">
        <v>95.286000000000001</v>
      </c>
      <c r="J108" s="3">
        <v>46.382399999999997</v>
      </c>
      <c r="K108" s="3">
        <v>186.97210000000001</v>
      </c>
      <c r="L108" s="3">
        <v>143.5444</v>
      </c>
      <c r="M108" s="3">
        <v>2146.0448999999999</v>
      </c>
      <c r="N108" s="3">
        <v>2500.3917999999999</v>
      </c>
      <c r="O108" s="3">
        <v>518.98289999999997</v>
      </c>
      <c r="P108" s="3">
        <v>46.524700000000003</v>
      </c>
      <c r="Q108" s="3">
        <v>221.38939999999999</v>
      </c>
      <c r="R108" s="3">
        <v>143.83179999999999</v>
      </c>
      <c r="S108" s="3">
        <v>80.443600000000004</v>
      </c>
      <c r="T108" s="3">
        <v>87.005899999999997</v>
      </c>
      <c r="U108" s="3">
        <v>16.034199999999998</v>
      </c>
      <c r="V108" s="3">
        <v>29.068899999999999</v>
      </c>
      <c r="W108" s="3">
        <v>3.2124999999999999</v>
      </c>
      <c r="X108" s="3">
        <v>37877.527999999998</v>
      </c>
      <c r="Y108" s="3">
        <v>0</v>
      </c>
      <c r="Z108" s="3">
        <v>1697.3321000000001</v>
      </c>
      <c r="AA108" s="3">
        <v>71085.050199999998</v>
      </c>
      <c r="AE108" s="3">
        <v>29.068913752612882</v>
      </c>
      <c r="AF108" s="3">
        <v>3.2124643428065496</v>
      </c>
      <c r="AG108" s="3">
        <v>37877.52800316066</v>
      </c>
      <c r="AH108" s="3">
        <v>0</v>
      </c>
      <c r="AI108" s="3">
        <v>1697.3320477908685</v>
      </c>
    </row>
    <row r="109" spans="1:77" x14ac:dyDescent="0.2">
      <c r="A109" s="3" t="s">
        <v>5</v>
      </c>
      <c r="B109" s="3">
        <v>58.186599999999999</v>
      </c>
      <c r="C109" s="3">
        <v>15825.8256</v>
      </c>
      <c r="D109" s="3">
        <v>210.72200000000001</v>
      </c>
      <c r="E109" s="3">
        <v>2394.2422000000001</v>
      </c>
      <c r="F109" s="3">
        <v>6520.6557000000003</v>
      </c>
      <c r="G109" s="3">
        <v>434.77050000000003</v>
      </c>
      <c r="H109" s="3">
        <v>5905.8334999999997</v>
      </c>
      <c r="I109" s="3">
        <v>220.12100000000001</v>
      </c>
      <c r="J109" s="3">
        <v>921.92840000000001</v>
      </c>
      <c r="K109" s="3">
        <v>7279.2354999999998</v>
      </c>
      <c r="L109" s="3">
        <v>1255.229</v>
      </c>
      <c r="M109" s="3">
        <v>463.38670000000002</v>
      </c>
      <c r="N109" s="3">
        <v>46.413800000000002</v>
      </c>
      <c r="O109" s="3">
        <v>1463.7242000000001</v>
      </c>
      <c r="P109" s="3">
        <v>595.73810000000003</v>
      </c>
      <c r="Q109" s="3">
        <v>1280.066</v>
      </c>
      <c r="R109" s="3">
        <v>315.4889</v>
      </c>
      <c r="S109" s="3">
        <v>671.81089999999995</v>
      </c>
      <c r="T109" s="3">
        <v>114.5311</v>
      </c>
      <c r="U109" s="3">
        <v>289.69940000000003</v>
      </c>
      <c r="V109" s="3">
        <v>8823.9313000000002</v>
      </c>
      <c r="W109" s="3">
        <v>78.777000000000001</v>
      </c>
      <c r="X109" s="3">
        <v>7627.8284000000003</v>
      </c>
      <c r="Y109" s="3">
        <v>5.3761999999999999</v>
      </c>
      <c r="Z109" s="3">
        <v>253223.83679999999</v>
      </c>
      <c r="AA109" s="3">
        <v>316027.3591</v>
      </c>
      <c r="AE109" s="3">
        <v>8823.9312277147073</v>
      </c>
      <c r="AF109" s="3">
        <v>78.777023584992023</v>
      </c>
      <c r="AG109" s="3">
        <v>7627.8284506657837</v>
      </c>
      <c r="AH109" s="3">
        <v>5.3762389056952555</v>
      </c>
      <c r="AI109" s="3">
        <v>253223.83687519573</v>
      </c>
    </row>
    <row r="110" spans="1:77" x14ac:dyDescent="0.2">
      <c r="A110" s="3" t="s">
        <v>6</v>
      </c>
      <c r="B110" s="3">
        <v>0.14430000000000001</v>
      </c>
      <c r="C110" s="3">
        <v>61.697299999999998</v>
      </c>
      <c r="D110" s="3">
        <v>3.456</v>
      </c>
      <c r="E110" s="3">
        <v>242.27350000000001</v>
      </c>
      <c r="F110" s="3">
        <v>492.6422</v>
      </c>
      <c r="G110" s="3">
        <v>221.11949999999999</v>
      </c>
      <c r="H110" s="3">
        <v>251.0164</v>
      </c>
      <c r="I110" s="3">
        <v>18.8261</v>
      </c>
      <c r="J110" s="3">
        <v>196.2114</v>
      </c>
      <c r="K110" s="3">
        <v>297.19470000000001</v>
      </c>
      <c r="L110" s="3">
        <v>76.433400000000006</v>
      </c>
      <c r="M110" s="3">
        <v>39.299199999999999</v>
      </c>
      <c r="N110" s="3">
        <v>3.6360999999999999</v>
      </c>
      <c r="O110" s="3">
        <v>122.9074</v>
      </c>
      <c r="P110" s="3">
        <v>42.2395</v>
      </c>
      <c r="Q110" s="3">
        <v>99.2958</v>
      </c>
      <c r="R110" s="3">
        <v>31.9115</v>
      </c>
      <c r="S110" s="3">
        <v>67.4953</v>
      </c>
      <c r="T110" s="3">
        <v>13.9665</v>
      </c>
      <c r="U110" s="3">
        <v>33.585999999999999</v>
      </c>
      <c r="V110" s="3">
        <v>12169.2497</v>
      </c>
      <c r="W110" s="3">
        <v>6.7215999999999996</v>
      </c>
      <c r="X110" s="3">
        <v>132.97</v>
      </c>
      <c r="Y110" s="3">
        <v>0</v>
      </c>
      <c r="Z110" s="3">
        <v>2174.0387000000001</v>
      </c>
      <c r="AA110" s="3">
        <v>16798.331999999999</v>
      </c>
      <c r="AE110" s="3">
        <v>12169.249711829596</v>
      </c>
      <c r="AF110" s="3">
        <v>6.7215959563576222</v>
      </c>
      <c r="AG110" s="3">
        <v>132.97003225181112</v>
      </c>
      <c r="AH110" s="3">
        <v>0</v>
      </c>
      <c r="AI110" s="3">
        <v>2174.0387446178665</v>
      </c>
    </row>
    <row r="111" spans="1:77" x14ac:dyDescent="0.2">
      <c r="A111" s="3" t="s">
        <v>7</v>
      </c>
      <c r="B111" s="3">
        <v>2.8565999999999998</v>
      </c>
      <c r="C111" s="3">
        <v>3581.2449999999999</v>
      </c>
      <c r="D111" s="3">
        <v>139.67169999999999</v>
      </c>
      <c r="E111" s="3">
        <v>322.7944</v>
      </c>
      <c r="F111" s="3">
        <v>25877.245999999999</v>
      </c>
      <c r="G111" s="3">
        <v>857.77800000000002</v>
      </c>
      <c r="H111" s="3">
        <v>86667.435700000002</v>
      </c>
      <c r="I111" s="3">
        <v>37.796399999999998</v>
      </c>
      <c r="J111" s="3">
        <v>168.45910000000001</v>
      </c>
      <c r="K111" s="3">
        <v>1960.5673999999999</v>
      </c>
      <c r="L111" s="3">
        <v>1132.4567</v>
      </c>
      <c r="M111" s="3">
        <v>507.86180000000002</v>
      </c>
      <c r="N111" s="3">
        <v>49.366500000000002</v>
      </c>
      <c r="O111" s="3">
        <v>519.09310000000005</v>
      </c>
      <c r="P111" s="3">
        <v>516.01559999999995</v>
      </c>
      <c r="Q111" s="3">
        <v>2674.1997000000001</v>
      </c>
      <c r="R111" s="3">
        <v>136.46299999999999</v>
      </c>
      <c r="S111" s="3">
        <v>177.37780000000001</v>
      </c>
      <c r="T111" s="3">
        <v>68.326499999999996</v>
      </c>
      <c r="U111" s="3">
        <v>77.570599999999999</v>
      </c>
      <c r="V111" s="3">
        <v>7749.1687000000002</v>
      </c>
      <c r="W111" s="3">
        <v>58.236600000000003</v>
      </c>
      <c r="X111" s="3">
        <v>357.28969999999998</v>
      </c>
      <c r="Y111" s="3">
        <v>4.6371000000000002</v>
      </c>
      <c r="Z111" s="3">
        <v>186500.87100000001</v>
      </c>
      <c r="AA111" s="3">
        <v>320144.78480000002</v>
      </c>
      <c r="AE111" s="3">
        <v>7749.1686631485018</v>
      </c>
      <c r="AF111" s="3">
        <v>58.236599146563243</v>
      </c>
      <c r="AG111" s="3">
        <v>357.289713346604</v>
      </c>
      <c r="AH111" s="3">
        <v>4.637136376198959</v>
      </c>
      <c r="AI111" s="3">
        <v>186500.87100347065</v>
      </c>
    </row>
    <row r="112" spans="1:77" x14ac:dyDescent="0.2">
      <c r="A112" s="3" t="s">
        <v>8</v>
      </c>
      <c r="B112" s="3">
        <v>3.5799999999999998E-2</v>
      </c>
      <c r="C112" s="3">
        <v>51.682699999999997</v>
      </c>
      <c r="D112" s="3">
        <v>10.66</v>
      </c>
      <c r="E112" s="3">
        <v>46.460099999999997</v>
      </c>
      <c r="F112" s="3">
        <v>255.0248</v>
      </c>
      <c r="G112" s="3">
        <v>43.013100000000001</v>
      </c>
      <c r="H112" s="3">
        <v>316.40940000000001</v>
      </c>
      <c r="I112" s="3">
        <v>8.4842999999999993</v>
      </c>
      <c r="J112" s="3">
        <v>41.190100000000001</v>
      </c>
      <c r="K112" s="3">
        <v>86.341399999999993</v>
      </c>
      <c r="L112" s="3">
        <v>204.00810000000001</v>
      </c>
      <c r="M112" s="3">
        <v>20.8689</v>
      </c>
      <c r="N112" s="3">
        <v>0.28079999999999999</v>
      </c>
      <c r="O112" s="3">
        <v>93.674199999999999</v>
      </c>
      <c r="P112" s="3">
        <v>44.463700000000003</v>
      </c>
      <c r="Q112" s="3">
        <v>104.9036</v>
      </c>
      <c r="R112" s="3">
        <v>18.9099</v>
      </c>
      <c r="S112" s="3">
        <v>13.0146</v>
      </c>
      <c r="T112" s="3">
        <v>17.918600000000001</v>
      </c>
      <c r="U112" s="3">
        <v>18.100999999999999</v>
      </c>
      <c r="V112" s="3">
        <v>1548.6393</v>
      </c>
      <c r="W112" s="3">
        <v>39.282800000000002</v>
      </c>
      <c r="X112" s="3">
        <v>53.182699999999997</v>
      </c>
      <c r="Y112" s="3">
        <v>0</v>
      </c>
      <c r="Z112" s="3">
        <v>3500.8672999999999</v>
      </c>
      <c r="AA112" s="3">
        <v>6537.4173000000001</v>
      </c>
      <c r="AE112" s="3">
        <v>1548.6393046233366</v>
      </c>
      <c r="AF112" s="3">
        <v>39.282743611494389</v>
      </c>
      <c r="AG112" s="3">
        <v>53.18272079248068</v>
      </c>
      <c r="AH112" s="3">
        <v>0</v>
      </c>
      <c r="AI112" s="3">
        <v>3500.8671313952791</v>
      </c>
    </row>
    <row r="113" spans="1:35" x14ac:dyDescent="0.2">
      <c r="A113" s="3" t="s">
        <v>9</v>
      </c>
      <c r="B113" s="3">
        <v>0.26960000000000001</v>
      </c>
      <c r="C113" s="3">
        <v>105.5557</v>
      </c>
      <c r="D113" s="3">
        <v>25.067399999999999</v>
      </c>
      <c r="E113" s="3">
        <v>62.0244</v>
      </c>
      <c r="F113" s="3">
        <v>911.19320000000005</v>
      </c>
      <c r="G113" s="3">
        <v>90.4238</v>
      </c>
      <c r="H113" s="3">
        <v>684.93880000000001</v>
      </c>
      <c r="I113" s="3">
        <v>15.26</v>
      </c>
      <c r="J113" s="3">
        <v>118.55759999999999</v>
      </c>
      <c r="K113" s="3">
        <v>243.09520000000001</v>
      </c>
      <c r="L113" s="3">
        <v>700.69500000000005</v>
      </c>
      <c r="M113" s="3">
        <v>84.263999999999996</v>
      </c>
      <c r="N113" s="3">
        <v>1.2981</v>
      </c>
      <c r="O113" s="3">
        <v>199.49789999999999</v>
      </c>
      <c r="P113" s="3">
        <v>120.67700000000001</v>
      </c>
      <c r="Q113" s="3">
        <v>111.9744</v>
      </c>
      <c r="R113" s="3">
        <v>42.055799999999998</v>
      </c>
      <c r="S113" s="3">
        <v>38.902900000000002</v>
      </c>
      <c r="T113" s="3">
        <v>66.172499999999999</v>
      </c>
      <c r="U113" s="3">
        <v>25.6494</v>
      </c>
      <c r="V113" s="3">
        <v>8921.1826999999994</v>
      </c>
      <c r="W113" s="3">
        <v>212.2054</v>
      </c>
      <c r="X113" s="3">
        <v>62.069000000000003</v>
      </c>
      <c r="Y113" s="3">
        <v>0</v>
      </c>
      <c r="Z113" s="3">
        <v>1967.1793</v>
      </c>
      <c r="AA113" s="3">
        <v>14810.2091</v>
      </c>
      <c r="AE113" s="3">
        <v>8921.1827879981229</v>
      </c>
      <c r="AF113" s="3">
        <v>212.20543180754072</v>
      </c>
      <c r="AG113" s="3">
        <v>62.069025128319637</v>
      </c>
      <c r="AH113" s="3">
        <v>0</v>
      </c>
      <c r="AI113" s="3">
        <v>1967.1793143880138</v>
      </c>
    </row>
    <row r="114" spans="1:35" x14ac:dyDescent="0.2">
      <c r="A114" s="3" t="s">
        <v>10</v>
      </c>
      <c r="B114" s="3">
        <v>2.0649999999999999</v>
      </c>
      <c r="C114" s="3">
        <v>2021.991</v>
      </c>
      <c r="D114" s="3">
        <v>222.16149999999999</v>
      </c>
      <c r="E114" s="3">
        <v>323.82510000000002</v>
      </c>
      <c r="F114" s="3">
        <v>6441.0324000000001</v>
      </c>
      <c r="G114" s="3">
        <v>416.4153</v>
      </c>
      <c r="H114" s="3">
        <v>1952.9204</v>
      </c>
      <c r="I114" s="3">
        <v>136.03100000000001</v>
      </c>
      <c r="J114" s="3">
        <v>161.2295</v>
      </c>
      <c r="K114" s="3">
        <v>39910.883399999999</v>
      </c>
      <c r="L114" s="3">
        <v>6346.6041999999998</v>
      </c>
      <c r="M114" s="3">
        <v>1124.7718</v>
      </c>
      <c r="N114" s="3">
        <v>112.7133</v>
      </c>
      <c r="O114" s="3">
        <v>3669.6423</v>
      </c>
      <c r="P114" s="3">
        <v>762.3021</v>
      </c>
      <c r="Q114" s="3">
        <v>3276.6259</v>
      </c>
      <c r="R114" s="3">
        <v>586.62289999999996</v>
      </c>
      <c r="S114" s="3">
        <v>818.45330000000001</v>
      </c>
      <c r="T114" s="3">
        <v>304.24470000000002</v>
      </c>
      <c r="U114" s="3">
        <v>226.04060000000001</v>
      </c>
      <c r="V114" s="3">
        <v>5099.7148999999999</v>
      </c>
      <c r="W114" s="3">
        <v>308.19729999999998</v>
      </c>
      <c r="X114" s="3">
        <v>8656.4940000000006</v>
      </c>
      <c r="Y114" s="3">
        <v>0.1381</v>
      </c>
      <c r="Z114" s="3">
        <v>99794.685700000002</v>
      </c>
      <c r="AA114" s="3">
        <v>182675.8057</v>
      </c>
      <c r="AE114" s="3">
        <v>5099.7148492366068</v>
      </c>
      <c r="AF114" s="3">
        <v>308.19729569177565</v>
      </c>
      <c r="AG114" s="3">
        <v>8656.4939766451516</v>
      </c>
      <c r="AH114" s="3">
        <v>0.1380679641065623</v>
      </c>
      <c r="AI114" s="3">
        <v>99794.685672321037</v>
      </c>
    </row>
    <row r="115" spans="1:35" x14ac:dyDescent="0.2">
      <c r="A115" s="3" t="s">
        <v>11</v>
      </c>
      <c r="B115" s="3">
        <v>4.1203000000000003</v>
      </c>
      <c r="C115" s="3">
        <v>3063.8852999999999</v>
      </c>
      <c r="D115" s="3">
        <v>372.9794</v>
      </c>
      <c r="E115" s="3">
        <v>677.28800000000001</v>
      </c>
      <c r="F115" s="3">
        <v>8228.9701999999997</v>
      </c>
      <c r="G115" s="3">
        <v>792.75009999999997</v>
      </c>
      <c r="H115" s="3">
        <v>2104.1257999999998</v>
      </c>
      <c r="I115" s="3">
        <v>207.59979999999999</v>
      </c>
      <c r="J115" s="3">
        <v>289.45400000000001</v>
      </c>
      <c r="K115" s="3">
        <v>3159.0598</v>
      </c>
      <c r="L115" s="3">
        <v>26941.611700000001</v>
      </c>
      <c r="M115" s="3">
        <v>5349.2798000000003</v>
      </c>
      <c r="N115" s="3">
        <v>680.94259999999997</v>
      </c>
      <c r="O115" s="3">
        <v>1613.9057</v>
      </c>
      <c r="P115" s="3">
        <v>760.85889999999995</v>
      </c>
      <c r="Q115" s="3">
        <v>6553.7587999999996</v>
      </c>
      <c r="R115" s="3">
        <v>248.86959999999999</v>
      </c>
      <c r="S115" s="3">
        <v>424.08659999999998</v>
      </c>
      <c r="T115" s="3">
        <v>192.02099999999999</v>
      </c>
      <c r="U115" s="3">
        <v>170.9468</v>
      </c>
      <c r="V115" s="3">
        <v>28121.017599999999</v>
      </c>
      <c r="W115" s="3">
        <v>600.78859999999997</v>
      </c>
      <c r="X115" s="3">
        <v>1208.0136</v>
      </c>
      <c r="Y115" s="3">
        <v>0</v>
      </c>
      <c r="Z115" s="3">
        <v>77930.303899999999</v>
      </c>
      <c r="AA115" s="3">
        <v>169696.6379</v>
      </c>
      <c r="AE115" s="3">
        <v>28121.017573397148</v>
      </c>
      <c r="AF115" s="3">
        <v>600.78860331271062</v>
      </c>
      <c r="AG115" s="3">
        <v>1208.0136540397975</v>
      </c>
      <c r="AH115" s="3">
        <v>0</v>
      </c>
      <c r="AI115" s="3">
        <v>77930.303865835114</v>
      </c>
    </row>
    <row r="116" spans="1:35" x14ac:dyDescent="0.2">
      <c r="A116" s="3" t="s">
        <v>12</v>
      </c>
      <c r="B116" s="3">
        <v>0.2858</v>
      </c>
      <c r="C116" s="3">
        <v>1354.5088000000001</v>
      </c>
      <c r="D116" s="3">
        <v>177.05590000000001</v>
      </c>
      <c r="E116" s="3">
        <v>376.07409999999999</v>
      </c>
      <c r="F116" s="3">
        <v>4466.1472999999996</v>
      </c>
      <c r="G116" s="3">
        <v>2658.3710000000001</v>
      </c>
      <c r="H116" s="3">
        <v>1156.4606000000001</v>
      </c>
      <c r="I116" s="3">
        <v>349.19869999999997</v>
      </c>
      <c r="J116" s="3">
        <v>1554.0011</v>
      </c>
      <c r="K116" s="3">
        <v>2906.9016999999999</v>
      </c>
      <c r="L116" s="3">
        <v>2756.0155</v>
      </c>
      <c r="M116" s="3">
        <v>1660.4422999999999</v>
      </c>
      <c r="N116" s="3">
        <v>11.5441</v>
      </c>
      <c r="O116" s="3">
        <v>1871.0331000000001</v>
      </c>
      <c r="P116" s="3">
        <v>600.70740000000001</v>
      </c>
      <c r="Q116" s="3">
        <v>746.76649999999995</v>
      </c>
      <c r="R116" s="3">
        <v>479.3793</v>
      </c>
      <c r="S116" s="3">
        <v>800.8374</v>
      </c>
      <c r="T116" s="3">
        <v>300.42309999999998</v>
      </c>
      <c r="U116" s="3">
        <v>626.03869999999995</v>
      </c>
      <c r="V116" s="3">
        <v>2497.3265999999999</v>
      </c>
      <c r="W116" s="3">
        <v>119.34399999999999</v>
      </c>
      <c r="X116" s="3">
        <v>10015.571599999999</v>
      </c>
      <c r="Y116" s="3">
        <v>1.2999999999999999E-3</v>
      </c>
      <c r="Z116" s="3">
        <v>1472.2736</v>
      </c>
      <c r="AA116" s="3">
        <v>38956.7094</v>
      </c>
      <c r="AE116" s="3">
        <v>2497.326567222799</v>
      </c>
      <c r="AF116" s="3">
        <v>119.3439636533958</v>
      </c>
      <c r="AG116" s="3">
        <v>10015.571572783609</v>
      </c>
      <c r="AH116" s="3">
        <v>1.250293667129829E-3</v>
      </c>
      <c r="AI116" s="3">
        <v>1472.2735204376891</v>
      </c>
    </row>
    <row r="117" spans="1:35" x14ac:dyDescent="0.2">
      <c r="A117" s="3" t="s">
        <v>13</v>
      </c>
      <c r="B117" s="3">
        <v>0</v>
      </c>
      <c r="C117" s="3">
        <v>0</v>
      </c>
      <c r="D117" s="3">
        <v>0</v>
      </c>
      <c r="E117" s="3">
        <v>0</v>
      </c>
      <c r="F117" s="3">
        <v>0</v>
      </c>
      <c r="G117" s="3">
        <v>0</v>
      </c>
      <c r="H117" s="3">
        <v>0</v>
      </c>
      <c r="I117" s="3">
        <v>0</v>
      </c>
      <c r="J117" s="3">
        <v>0</v>
      </c>
      <c r="K117" s="3">
        <v>0</v>
      </c>
      <c r="L117" s="3">
        <v>0</v>
      </c>
      <c r="M117" s="3">
        <v>0</v>
      </c>
      <c r="N117" s="3">
        <v>0</v>
      </c>
      <c r="O117" s="3">
        <v>0</v>
      </c>
      <c r="P117" s="3">
        <v>0</v>
      </c>
      <c r="Q117" s="3">
        <v>0</v>
      </c>
      <c r="R117" s="3">
        <v>0</v>
      </c>
      <c r="S117" s="3">
        <v>0</v>
      </c>
      <c r="T117" s="3">
        <v>0</v>
      </c>
      <c r="U117" s="3">
        <v>0</v>
      </c>
      <c r="V117" s="3">
        <v>24241.766800000001</v>
      </c>
      <c r="W117" s="3">
        <v>0</v>
      </c>
      <c r="X117" s="3">
        <v>0</v>
      </c>
      <c r="Y117" s="3">
        <v>0</v>
      </c>
      <c r="Z117" s="3">
        <v>503.63319999999999</v>
      </c>
      <c r="AA117" s="3">
        <v>24745.4</v>
      </c>
      <c r="AE117" s="3">
        <v>24241.766800000001</v>
      </c>
      <c r="AF117" s="3">
        <v>0</v>
      </c>
      <c r="AG117" s="3">
        <v>0</v>
      </c>
      <c r="AH117" s="3">
        <v>0</v>
      </c>
      <c r="AI117" s="3">
        <v>503.63319999999999</v>
      </c>
    </row>
    <row r="118" spans="1:35" x14ac:dyDescent="0.2">
      <c r="A118" s="3" t="s">
        <v>14</v>
      </c>
      <c r="B118" s="3">
        <v>5.1268000000000002</v>
      </c>
      <c r="C118" s="3">
        <v>3905.6788000000001</v>
      </c>
      <c r="D118" s="3">
        <v>197.2362</v>
      </c>
      <c r="E118" s="3">
        <v>1622.8725999999999</v>
      </c>
      <c r="F118" s="3">
        <v>8870.7577999999994</v>
      </c>
      <c r="G118" s="3">
        <v>535.60419999999999</v>
      </c>
      <c r="H118" s="3">
        <v>2031.3254999999999</v>
      </c>
      <c r="I118" s="3">
        <v>308.73899999999998</v>
      </c>
      <c r="J118" s="3">
        <v>246.4496</v>
      </c>
      <c r="K118" s="3">
        <v>7326.5348999999997</v>
      </c>
      <c r="L118" s="3">
        <v>4336.1288999999997</v>
      </c>
      <c r="M118" s="3">
        <v>2615.5068999999999</v>
      </c>
      <c r="N118" s="3">
        <v>390.20650000000001</v>
      </c>
      <c r="O118" s="3">
        <v>4357.8149999999996</v>
      </c>
      <c r="P118" s="3">
        <v>969.4126</v>
      </c>
      <c r="Q118" s="3">
        <v>1558.6089999999999</v>
      </c>
      <c r="R118" s="3">
        <v>459.6816</v>
      </c>
      <c r="S118" s="3">
        <v>469.26690000000002</v>
      </c>
      <c r="T118" s="3">
        <v>296.15129999999999</v>
      </c>
      <c r="U118" s="3">
        <v>274.3886</v>
      </c>
      <c r="V118" s="3">
        <v>849.68430000000001</v>
      </c>
      <c r="W118" s="3">
        <v>1125.7217000000001</v>
      </c>
      <c r="X118" s="3">
        <v>7815.3175000000001</v>
      </c>
      <c r="Y118" s="3">
        <v>20.684200000000001</v>
      </c>
      <c r="Z118" s="3">
        <v>27272.008999999998</v>
      </c>
      <c r="AA118" s="3">
        <v>77860.909499999994</v>
      </c>
      <c r="AE118" s="3">
        <v>849.68421753077052</v>
      </c>
      <c r="AF118" s="3">
        <v>1125.721729723188</v>
      </c>
      <c r="AG118" s="3">
        <v>7815.3175076826365</v>
      </c>
      <c r="AH118" s="3">
        <v>20.684189638058925</v>
      </c>
      <c r="AI118" s="3">
        <v>27272.009096373011</v>
      </c>
    </row>
    <row r="119" spans="1:35" x14ac:dyDescent="0.2">
      <c r="A119" s="3" t="s">
        <v>15</v>
      </c>
      <c r="B119" s="3">
        <v>0.2198</v>
      </c>
      <c r="C119" s="3">
        <v>1999.4712999999999</v>
      </c>
      <c r="D119" s="3">
        <v>251.50649999999999</v>
      </c>
      <c r="E119" s="3">
        <v>550.51179999999999</v>
      </c>
      <c r="F119" s="3">
        <v>3754.4231</v>
      </c>
      <c r="G119" s="3">
        <v>284.53059999999999</v>
      </c>
      <c r="H119" s="3">
        <v>2810.5752000000002</v>
      </c>
      <c r="I119" s="3">
        <v>97.102199999999996</v>
      </c>
      <c r="J119" s="3">
        <v>146.089</v>
      </c>
      <c r="K119" s="3">
        <v>2915.3108000000002</v>
      </c>
      <c r="L119" s="3">
        <v>1295.8615</v>
      </c>
      <c r="M119" s="3">
        <v>1792.2797</v>
      </c>
      <c r="N119" s="3">
        <v>315.07339999999999</v>
      </c>
      <c r="O119" s="3">
        <v>799.23590000000002</v>
      </c>
      <c r="P119" s="3">
        <v>1797.2317</v>
      </c>
      <c r="Q119" s="3">
        <v>953.32259999999997</v>
      </c>
      <c r="R119" s="3">
        <v>265.96769999999998</v>
      </c>
      <c r="S119" s="3">
        <v>615.37099999999998</v>
      </c>
      <c r="T119" s="3">
        <v>184.1396</v>
      </c>
      <c r="U119" s="3">
        <v>122.13809999999999</v>
      </c>
      <c r="V119" s="3">
        <v>827.2749</v>
      </c>
      <c r="W119" s="3">
        <v>42.6526</v>
      </c>
      <c r="X119" s="3">
        <v>148.01650000000001</v>
      </c>
      <c r="Y119" s="3">
        <v>0.92530000000000001</v>
      </c>
      <c r="Z119" s="3">
        <v>8252.8353999999999</v>
      </c>
      <c r="AA119" s="3">
        <v>30222.066200000001</v>
      </c>
      <c r="AE119" s="3">
        <v>827.27481138343853</v>
      </c>
      <c r="AF119" s="3">
        <v>42.652587697301762</v>
      </c>
      <c r="AG119" s="3">
        <v>148.01646529967124</v>
      </c>
      <c r="AH119" s="3">
        <v>0.92530460188286967</v>
      </c>
      <c r="AI119" s="3">
        <v>8252.8354450628467</v>
      </c>
    </row>
    <row r="120" spans="1:35" x14ac:dyDescent="0.2">
      <c r="A120" s="3" t="s">
        <v>16</v>
      </c>
      <c r="B120" s="3">
        <v>0.2324</v>
      </c>
      <c r="C120" s="3">
        <v>125.34650000000001</v>
      </c>
      <c r="D120" s="3">
        <v>55.1496</v>
      </c>
      <c r="E120" s="3">
        <v>130.29509999999999</v>
      </c>
      <c r="F120" s="3">
        <v>736.88649999999996</v>
      </c>
      <c r="G120" s="3">
        <v>153.35390000000001</v>
      </c>
      <c r="H120" s="3">
        <v>376.62450000000001</v>
      </c>
      <c r="I120" s="3">
        <v>27.4312</v>
      </c>
      <c r="J120" s="3">
        <v>70.180700000000002</v>
      </c>
      <c r="K120" s="3">
        <v>639.07360000000006</v>
      </c>
      <c r="L120" s="3">
        <v>378.75450000000001</v>
      </c>
      <c r="M120" s="3">
        <v>399.83600000000001</v>
      </c>
      <c r="N120" s="3">
        <v>4.4215999999999998</v>
      </c>
      <c r="O120" s="3">
        <v>308.38420000000002</v>
      </c>
      <c r="P120" s="3">
        <v>50.219299999999997</v>
      </c>
      <c r="Q120" s="3">
        <v>878.68340000000001</v>
      </c>
      <c r="R120" s="3">
        <v>33.581099999999999</v>
      </c>
      <c r="S120" s="3">
        <v>54.331000000000003</v>
      </c>
      <c r="T120" s="3">
        <v>86.466200000000001</v>
      </c>
      <c r="U120" s="3">
        <v>33.5871</v>
      </c>
      <c r="V120" s="3">
        <v>720.82560000000001</v>
      </c>
      <c r="W120" s="3">
        <v>40426.674700000003</v>
      </c>
      <c r="X120" s="3">
        <v>437.25400000000002</v>
      </c>
      <c r="Y120" s="3">
        <v>-0.1973</v>
      </c>
      <c r="Z120" s="3">
        <v>1161.5942</v>
      </c>
      <c r="AA120" s="3">
        <v>47288.989800000003</v>
      </c>
      <c r="AE120" s="3">
        <v>720.82560157506919</v>
      </c>
      <c r="AF120" s="3">
        <v>40426.674711923006</v>
      </c>
      <c r="AG120" s="3">
        <v>437.2540625498217</v>
      </c>
      <c r="AH120" s="3">
        <v>-0.19733173918178823</v>
      </c>
      <c r="AI120" s="3">
        <v>1161.5941680763965</v>
      </c>
    </row>
    <row r="121" spans="1:35" x14ac:dyDescent="0.2">
      <c r="A121" s="3" t="s">
        <v>17</v>
      </c>
      <c r="B121" s="3">
        <v>0.12770000000000001</v>
      </c>
      <c r="C121" s="3">
        <v>113.79470000000001</v>
      </c>
      <c r="D121" s="3">
        <v>7.7994000000000003</v>
      </c>
      <c r="E121" s="3">
        <v>19.250299999999999</v>
      </c>
      <c r="F121" s="3">
        <v>274.71839999999997</v>
      </c>
      <c r="G121" s="3">
        <v>29.138999999999999</v>
      </c>
      <c r="H121" s="3">
        <v>99.433599999999998</v>
      </c>
      <c r="I121" s="3">
        <v>17.940799999999999</v>
      </c>
      <c r="J121" s="3">
        <v>19.046199999999999</v>
      </c>
      <c r="K121" s="3">
        <v>314.18700000000001</v>
      </c>
      <c r="L121" s="3">
        <v>165.19139999999999</v>
      </c>
      <c r="M121" s="3">
        <v>76.034300000000002</v>
      </c>
      <c r="N121" s="3">
        <v>7.0587999999999997</v>
      </c>
      <c r="O121" s="3">
        <v>147.18029999999999</v>
      </c>
      <c r="P121" s="3">
        <v>39.795400000000001</v>
      </c>
      <c r="Q121" s="3">
        <v>293.95510000000002</v>
      </c>
      <c r="R121" s="3">
        <v>455.11270000000002</v>
      </c>
      <c r="S121" s="3">
        <v>34.628599999999999</v>
      </c>
      <c r="T121" s="3">
        <v>15.1508</v>
      </c>
      <c r="U121" s="3">
        <v>16.375399999999999</v>
      </c>
      <c r="V121" s="3">
        <v>6884.1547</v>
      </c>
      <c r="W121" s="3">
        <v>9602.6761000000006</v>
      </c>
      <c r="X121" s="3">
        <v>196.0626</v>
      </c>
      <c r="Y121" s="3">
        <v>1.6000000000000001E-3</v>
      </c>
      <c r="Z121" s="3">
        <v>3100.3456000000001</v>
      </c>
      <c r="AA121" s="3">
        <v>21929.160500000002</v>
      </c>
      <c r="AE121" s="3">
        <v>6884.1546910041243</v>
      </c>
      <c r="AF121" s="3">
        <v>9602.6760368929627</v>
      </c>
      <c r="AG121" s="3">
        <v>196.06262742015889</v>
      </c>
      <c r="AH121" s="3">
        <v>1.6233094573232586E-3</v>
      </c>
      <c r="AI121" s="3">
        <v>3100.3456141837137</v>
      </c>
    </row>
    <row r="122" spans="1:35" x14ac:dyDescent="0.2">
      <c r="A122" s="3" t="s">
        <v>18</v>
      </c>
      <c r="B122" s="3">
        <v>4.3299999999999998E-2</v>
      </c>
      <c r="C122" s="3">
        <v>27.471499999999999</v>
      </c>
      <c r="D122" s="3">
        <v>6.0107999999999997</v>
      </c>
      <c r="E122" s="3">
        <v>12.4962</v>
      </c>
      <c r="F122" s="3">
        <v>113.0701</v>
      </c>
      <c r="G122" s="3">
        <v>19.421900000000001</v>
      </c>
      <c r="H122" s="3">
        <v>74.201099999999997</v>
      </c>
      <c r="I122" s="3">
        <v>5.3209</v>
      </c>
      <c r="J122" s="3">
        <v>14.279299999999999</v>
      </c>
      <c r="K122" s="3">
        <v>96.777600000000007</v>
      </c>
      <c r="L122" s="3">
        <v>94.062899999999999</v>
      </c>
      <c r="M122" s="3">
        <v>32.523099999999999</v>
      </c>
      <c r="N122" s="3">
        <v>1.9353</v>
      </c>
      <c r="O122" s="3">
        <v>423.97030000000001</v>
      </c>
      <c r="P122" s="3">
        <v>63.150100000000002</v>
      </c>
      <c r="Q122" s="3">
        <v>413.79700000000003</v>
      </c>
      <c r="R122" s="3">
        <v>25.481100000000001</v>
      </c>
      <c r="S122" s="3">
        <v>3062.5720999999999</v>
      </c>
      <c r="T122" s="3">
        <v>277.58150000000001</v>
      </c>
      <c r="U122" s="3">
        <v>59.344000000000001</v>
      </c>
      <c r="V122" s="3">
        <v>12888.7693</v>
      </c>
      <c r="W122" s="3">
        <v>9810.2224999999999</v>
      </c>
      <c r="X122" s="3">
        <v>94.404700000000005</v>
      </c>
      <c r="Y122" s="3">
        <v>0</v>
      </c>
      <c r="Z122" s="3">
        <v>789.22680000000003</v>
      </c>
      <c r="AA122" s="3">
        <v>28406.133399999999</v>
      </c>
      <c r="AE122" s="3">
        <v>12888.769349111508</v>
      </c>
      <c r="AF122" s="3">
        <v>9810.2225321104052</v>
      </c>
      <c r="AG122" s="3">
        <v>94.404693496922164</v>
      </c>
      <c r="AH122" s="3">
        <v>0</v>
      </c>
      <c r="AI122" s="3">
        <v>789.2268113109327</v>
      </c>
    </row>
    <row r="123" spans="1:35" x14ac:dyDescent="0.2">
      <c r="A123" s="3" t="s">
        <v>19</v>
      </c>
      <c r="B123" s="3">
        <v>1.8200000000000001E-2</v>
      </c>
      <c r="C123" s="3">
        <v>26.596399999999999</v>
      </c>
      <c r="D123" s="3">
        <v>3.7101999999999999</v>
      </c>
      <c r="E123" s="3">
        <v>63.051099999999998</v>
      </c>
      <c r="F123" s="3">
        <v>142.68389999999999</v>
      </c>
      <c r="G123" s="3">
        <v>56.7789</v>
      </c>
      <c r="H123" s="3">
        <v>71.937799999999996</v>
      </c>
      <c r="I123" s="3">
        <v>8.9281000000000006</v>
      </c>
      <c r="J123" s="3">
        <v>17.1402</v>
      </c>
      <c r="K123" s="3">
        <v>212.05940000000001</v>
      </c>
      <c r="L123" s="3">
        <v>330.15929999999997</v>
      </c>
      <c r="M123" s="3">
        <v>28.100200000000001</v>
      </c>
      <c r="N123" s="3">
        <v>0.74</v>
      </c>
      <c r="O123" s="3">
        <v>82.074100000000001</v>
      </c>
      <c r="P123" s="3">
        <v>59.309699999999999</v>
      </c>
      <c r="Q123" s="3">
        <v>27.7255</v>
      </c>
      <c r="R123" s="3">
        <v>202.97649999999999</v>
      </c>
      <c r="S123" s="3">
        <v>23.8155</v>
      </c>
      <c r="T123" s="3">
        <v>292.78919999999999</v>
      </c>
      <c r="U123" s="3">
        <v>22.4404</v>
      </c>
      <c r="V123" s="3">
        <v>3402.8438000000001</v>
      </c>
      <c r="W123" s="3">
        <v>1160.4414999999999</v>
      </c>
      <c r="X123" s="3">
        <v>81.7821</v>
      </c>
      <c r="Y123" s="3">
        <v>0</v>
      </c>
      <c r="Z123" s="3">
        <v>2312.8843000000002</v>
      </c>
      <c r="AA123" s="3">
        <v>8630.9861000000001</v>
      </c>
      <c r="AE123" s="3">
        <v>3402.8436819446529</v>
      </c>
      <c r="AF123" s="3">
        <v>1160.4414964107102</v>
      </c>
      <c r="AG123" s="3">
        <v>81.782130732994574</v>
      </c>
      <c r="AH123" s="3">
        <v>0</v>
      </c>
      <c r="AI123" s="3">
        <v>2312.8843135412453</v>
      </c>
    </row>
    <row r="124" spans="1:35" x14ac:dyDescent="0.2">
      <c r="A124" s="3" t="s">
        <v>20</v>
      </c>
      <c r="B124" s="3">
        <v>8.3900000000000002E-2</v>
      </c>
      <c r="C124" s="3">
        <v>111.9524</v>
      </c>
      <c r="D124" s="3">
        <v>25.363</v>
      </c>
      <c r="E124" s="3">
        <v>61.066099999999999</v>
      </c>
      <c r="F124" s="3">
        <v>182.82900000000001</v>
      </c>
      <c r="G124" s="3">
        <v>42.122300000000003</v>
      </c>
      <c r="H124" s="3">
        <v>296.40469999999999</v>
      </c>
      <c r="I124" s="3">
        <v>65.706500000000005</v>
      </c>
      <c r="J124" s="3">
        <v>18.154199999999999</v>
      </c>
      <c r="K124" s="3">
        <v>307.67759999999998</v>
      </c>
      <c r="L124" s="3">
        <v>214.37100000000001</v>
      </c>
      <c r="M124" s="3">
        <v>72.451499999999996</v>
      </c>
      <c r="N124" s="3">
        <v>70.106800000000007</v>
      </c>
      <c r="O124" s="3">
        <v>132.5275</v>
      </c>
      <c r="P124" s="3">
        <v>117.3235</v>
      </c>
      <c r="Q124" s="3">
        <v>304.87700000000001</v>
      </c>
      <c r="R124" s="3">
        <v>152.5685</v>
      </c>
      <c r="S124" s="3">
        <v>171.84460000000001</v>
      </c>
      <c r="T124" s="3">
        <v>145.93289999999999</v>
      </c>
      <c r="U124" s="3">
        <v>98.393199999999993</v>
      </c>
      <c r="V124" s="3">
        <v>7146.1581999999999</v>
      </c>
      <c r="W124" s="3">
        <v>78.088099999999997</v>
      </c>
      <c r="X124" s="3">
        <v>56.432299999999998</v>
      </c>
      <c r="Y124" s="3">
        <v>0</v>
      </c>
      <c r="Z124" s="3">
        <v>286.76440000000002</v>
      </c>
      <c r="AA124" s="3">
        <v>10159.1993</v>
      </c>
      <c r="AE124" s="3">
        <v>7146.1584296371066</v>
      </c>
      <c r="AF124" s="3">
        <v>78.088056424831251</v>
      </c>
      <c r="AG124" s="3">
        <v>56.432344944651398</v>
      </c>
      <c r="AH124" s="3">
        <v>0</v>
      </c>
      <c r="AI124" s="3">
        <v>286.76437805563995</v>
      </c>
    </row>
    <row r="125" spans="1:35" x14ac:dyDescent="0.2">
      <c r="A125" s="15" t="s">
        <v>21</v>
      </c>
      <c r="B125" s="15">
        <v>270.0788</v>
      </c>
      <c r="C125" s="15">
        <v>221440.52179999999</v>
      </c>
      <c r="D125" s="15">
        <v>9260.5838000000003</v>
      </c>
      <c r="E125" s="15">
        <v>13127.0746</v>
      </c>
      <c r="F125" s="15">
        <v>101411.4317</v>
      </c>
      <c r="G125" s="15">
        <v>1299.8157000000001</v>
      </c>
      <c r="H125" s="15">
        <v>116756.60890000001</v>
      </c>
      <c r="I125" s="15">
        <v>643.04909999999995</v>
      </c>
      <c r="J125" s="15">
        <v>3208.2932999999998</v>
      </c>
      <c r="K125" s="15">
        <v>69020.604900000006</v>
      </c>
      <c r="L125" s="15">
        <v>39786.058599999997</v>
      </c>
      <c r="M125" s="15">
        <v>919.5181</v>
      </c>
      <c r="N125" s="15">
        <v>0</v>
      </c>
      <c r="O125" s="15">
        <v>19896.1577</v>
      </c>
      <c r="P125" s="15">
        <v>3656.8607000000002</v>
      </c>
      <c r="Q125" s="15">
        <v>8479.5817999999999</v>
      </c>
      <c r="R125" s="15">
        <v>1459.4719</v>
      </c>
      <c r="S125" s="15">
        <v>2790.0219000000002</v>
      </c>
      <c r="T125" s="15">
        <v>682.12099999999998</v>
      </c>
      <c r="U125" s="15">
        <v>1122.1242999999999</v>
      </c>
      <c r="V125" s="15">
        <v>38879.940399999999</v>
      </c>
      <c r="W125" s="15">
        <v>0</v>
      </c>
      <c r="X125" s="15">
        <v>51819.945299999999</v>
      </c>
      <c r="Y125" s="15">
        <v>7334.8778000000002</v>
      </c>
      <c r="Z125" s="15">
        <v>332876.68609999999</v>
      </c>
      <c r="AA125" s="15">
        <v>1046141.4282</v>
      </c>
      <c r="AE125" s="15"/>
      <c r="AF125" s="15"/>
      <c r="AG125" s="15"/>
      <c r="AH125" s="15"/>
      <c r="AI125" s="15"/>
    </row>
    <row r="126" spans="1:35" x14ac:dyDescent="0.2">
      <c r="A126" s="16" t="s">
        <v>22</v>
      </c>
      <c r="B126" s="16">
        <v>2.7355</v>
      </c>
      <c r="C126" s="16">
        <v>182.24189999999999</v>
      </c>
      <c r="D126" s="16">
        <v>215.0515</v>
      </c>
      <c r="E126" s="16">
        <v>34.3005</v>
      </c>
      <c r="F126" s="16">
        <v>112.8329</v>
      </c>
      <c r="G126" s="16">
        <v>22.488199999999999</v>
      </c>
      <c r="H126" s="16">
        <v>503.91750000000002</v>
      </c>
      <c r="I126" s="16">
        <v>24.4313</v>
      </c>
      <c r="J126" s="16">
        <v>402.78149999999999</v>
      </c>
      <c r="K126" s="16">
        <v>817.32119999999998</v>
      </c>
      <c r="L126" s="16">
        <v>1617.6438000000001</v>
      </c>
      <c r="M126" s="16">
        <v>396.04160000000002</v>
      </c>
      <c r="N126" s="16">
        <v>0</v>
      </c>
      <c r="O126" s="16">
        <v>164.0402</v>
      </c>
      <c r="P126" s="16">
        <v>30.628900000000002</v>
      </c>
      <c r="Q126" s="16">
        <v>212.4314</v>
      </c>
      <c r="R126" s="16">
        <v>144.44630000000001</v>
      </c>
      <c r="S126" s="16">
        <v>810.92460000000005</v>
      </c>
      <c r="T126" s="16">
        <v>109.37860000000001</v>
      </c>
      <c r="U126" s="16">
        <v>33.206800000000001</v>
      </c>
      <c r="V126" s="16">
        <v>17704.1129</v>
      </c>
      <c r="W126" s="16">
        <v>0</v>
      </c>
      <c r="X126" s="16">
        <v>8263.7428999999993</v>
      </c>
      <c r="Y126" s="16">
        <v>0</v>
      </c>
      <c r="Z126" s="16">
        <v>0</v>
      </c>
      <c r="AA126" s="16">
        <v>31804.7</v>
      </c>
      <c r="AE126" s="16"/>
      <c r="AF126" s="16"/>
      <c r="AG126" s="16"/>
      <c r="AH126" s="16"/>
      <c r="AI126" s="16"/>
    </row>
    <row r="127" spans="1:35" x14ac:dyDescent="0.2">
      <c r="A127" s="7" t="s">
        <v>23</v>
      </c>
      <c r="B127" s="7">
        <v>86.7</v>
      </c>
      <c r="C127" s="7">
        <v>28875.404900000001</v>
      </c>
      <c r="D127" s="7">
        <v>1862.0463999999999</v>
      </c>
      <c r="E127" s="7">
        <v>14884.0851</v>
      </c>
      <c r="F127" s="7">
        <v>26128.797699999999</v>
      </c>
      <c r="G127" s="7">
        <v>5168.4458999999997</v>
      </c>
      <c r="H127" s="7">
        <v>15083.0191</v>
      </c>
      <c r="I127" s="7">
        <v>1620.6025999999999</v>
      </c>
      <c r="J127" s="7">
        <v>3824.9321</v>
      </c>
      <c r="K127" s="7">
        <v>23450.095000000001</v>
      </c>
      <c r="L127" s="7">
        <v>34374.253900000003</v>
      </c>
      <c r="M127" s="7">
        <v>3492.3346000000001</v>
      </c>
      <c r="N127" s="7">
        <v>0</v>
      </c>
      <c r="O127" s="7">
        <v>26688.5085</v>
      </c>
      <c r="P127" s="7">
        <v>9623.9709999999995</v>
      </c>
      <c r="Q127" s="7">
        <v>14524.275100000001</v>
      </c>
      <c r="R127" s="7">
        <v>12878.346799999999</v>
      </c>
      <c r="S127" s="7">
        <v>13655.9414</v>
      </c>
      <c r="T127" s="7">
        <v>2367.5585999999998</v>
      </c>
      <c r="U127" s="7">
        <v>5624.6018000000004</v>
      </c>
      <c r="V127" s="7">
        <v>0</v>
      </c>
      <c r="W127" s="7">
        <v>0</v>
      </c>
      <c r="X127" s="7">
        <v>0</v>
      </c>
      <c r="Y127" s="7">
        <v>0</v>
      </c>
      <c r="Z127" s="7">
        <v>0</v>
      </c>
      <c r="AA127" s="7">
        <v>244213.9203</v>
      </c>
      <c r="AE127" s="7"/>
      <c r="AF127" s="7"/>
      <c r="AG127" s="7"/>
      <c r="AH127" s="7"/>
      <c r="AI127" s="7"/>
    </row>
    <row r="128" spans="1:35" x14ac:dyDescent="0.2">
      <c r="A128" s="7" t="s">
        <v>24</v>
      </c>
      <c r="B128" s="7">
        <v>6.4</v>
      </c>
      <c r="C128" s="7">
        <v>859.5</v>
      </c>
      <c r="D128" s="7">
        <v>270.7</v>
      </c>
      <c r="E128" s="7">
        <v>1728.8</v>
      </c>
      <c r="F128" s="7">
        <v>-91.1</v>
      </c>
      <c r="G128" s="7">
        <v>-64.099999999999994</v>
      </c>
      <c r="H128" s="7">
        <v>412.4</v>
      </c>
      <c r="I128" s="7">
        <v>81.900000000000006</v>
      </c>
      <c r="J128" s="7">
        <v>-221.3</v>
      </c>
      <c r="K128" s="7">
        <v>-57.3</v>
      </c>
      <c r="L128" s="7">
        <v>-99</v>
      </c>
      <c r="M128" s="7">
        <v>1781.9</v>
      </c>
      <c r="N128" s="7">
        <v>1128.9000000000001</v>
      </c>
      <c r="O128" s="7">
        <v>-394.6</v>
      </c>
      <c r="P128" s="7">
        <v>-145.4</v>
      </c>
      <c r="Q128" s="7">
        <v>24.3</v>
      </c>
      <c r="R128" s="7">
        <v>-119.7</v>
      </c>
      <c r="S128" s="7">
        <v>-66.099999999999994</v>
      </c>
      <c r="T128" s="7">
        <v>165.7</v>
      </c>
      <c r="U128" s="7">
        <v>331.4</v>
      </c>
      <c r="V128" s="7">
        <v>0</v>
      </c>
      <c r="W128" s="7">
        <v>0</v>
      </c>
      <c r="X128" s="7">
        <v>0</v>
      </c>
      <c r="Y128" s="7">
        <v>0</v>
      </c>
      <c r="Z128" s="7">
        <v>0</v>
      </c>
      <c r="AA128" s="7">
        <v>5533.3</v>
      </c>
      <c r="AE128" s="7"/>
      <c r="AF128" s="7"/>
      <c r="AG128" s="7"/>
      <c r="AH128" s="7"/>
      <c r="AI128" s="7"/>
    </row>
    <row r="129" spans="1:35" x14ac:dyDescent="0.2">
      <c r="A129" s="7" t="s">
        <v>25</v>
      </c>
      <c r="B129" s="7">
        <v>90.525199999999998</v>
      </c>
      <c r="C129" s="7">
        <v>108658.2637</v>
      </c>
      <c r="D129" s="7">
        <v>6044.2293</v>
      </c>
      <c r="E129" s="7">
        <v>4607.6813000000002</v>
      </c>
      <c r="F129" s="7">
        <v>115761.836</v>
      </c>
      <c r="G129" s="7">
        <v>2850.8198000000002</v>
      </c>
      <c r="H129" s="7">
        <v>65383.8289</v>
      </c>
      <c r="I129" s="7">
        <v>1952.9903999999999</v>
      </c>
      <c r="J129" s="7">
        <v>1227.3981000000001</v>
      </c>
      <c r="K129" s="7">
        <v>10610.683300000001</v>
      </c>
      <c r="L129" s="7">
        <v>46466.165000000001</v>
      </c>
      <c r="M129" s="7">
        <v>13428.9259</v>
      </c>
      <c r="N129" s="7">
        <v>19370.400000000001</v>
      </c>
      <c r="O129" s="7">
        <v>7362.4804999999997</v>
      </c>
      <c r="P129" s="7">
        <v>8967.1802000000007</v>
      </c>
      <c r="Q129" s="7">
        <v>672.77160000000003</v>
      </c>
      <c r="R129" s="7">
        <v>2857.6432</v>
      </c>
      <c r="S129" s="7">
        <v>1357.2032999999999</v>
      </c>
      <c r="T129" s="7">
        <v>2246.2802000000001</v>
      </c>
      <c r="U129" s="7">
        <v>296.84640000000002</v>
      </c>
      <c r="V129" s="7">
        <v>0</v>
      </c>
      <c r="W129" s="7">
        <v>0</v>
      </c>
      <c r="X129" s="7">
        <v>0</v>
      </c>
      <c r="Y129" s="7">
        <v>0</v>
      </c>
      <c r="Z129" s="7">
        <v>0</v>
      </c>
      <c r="AA129" s="7">
        <v>420214.15240000002</v>
      </c>
      <c r="AE129" s="7"/>
      <c r="AF129" s="7"/>
      <c r="AG129" s="7"/>
      <c r="AH129" s="7"/>
      <c r="AI129" s="7"/>
    </row>
    <row r="130" spans="1:35" x14ac:dyDescent="0.2">
      <c r="A130" s="7" t="s">
        <v>27</v>
      </c>
      <c r="B130" s="7">
        <v>741.99860000000001</v>
      </c>
      <c r="C130" s="7">
        <v>476617.81</v>
      </c>
      <c r="D130" s="7">
        <v>23877.1011</v>
      </c>
      <c r="E130" s="7">
        <v>71085.050199999998</v>
      </c>
      <c r="F130" s="7">
        <v>316027.3591</v>
      </c>
      <c r="G130" s="7">
        <v>16798.331999999999</v>
      </c>
      <c r="H130" s="7">
        <v>320144.78480000002</v>
      </c>
      <c r="I130" s="7">
        <v>6537.4173000000001</v>
      </c>
      <c r="J130" s="7">
        <v>14810.2091</v>
      </c>
      <c r="K130" s="7">
        <v>182675.8057</v>
      </c>
      <c r="L130" s="7">
        <v>169696.6379</v>
      </c>
      <c r="M130" s="7">
        <v>38956.7094</v>
      </c>
      <c r="N130" s="7">
        <v>24745.4</v>
      </c>
      <c r="O130" s="7">
        <v>77860.909499999994</v>
      </c>
      <c r="P130" s="7">
        <v>30222.066200000001</v>
      </c>
      <c r="Q130" s="7">
        <v>47288.989800000003</v>
      </c>
      <c r="R130" s="7">
        <v>21929.160500000002</v>
      </c>
      <c r="S130" s="7">
        <v>28406.133399999999</v>
      </c>
      <c r="T130" s="7">
        <v>8630.9861000000001</v>
      </c>
      <c r="U130" s="7">
        <v>10159.1993</v>
      </c>
      <c r="V130" s="7">
        <v>198297.34210000001</v>
      </c>
      <c r="W130" s="7">
        <v>64865.605900000002</v>
      </c>
      <c r="X130" s="7">
        <v>145705.95060000001</v>
      </c>
      <c r="Y130" s="7">
        <v>10241.200000000001</v>
      </c>
      <c r="Z130" s="7">
        <v>1328797.4021999999</v>
      </c>
      <c r="AA130" s="7">
        <v>3635119.5606999998</v>
      </c>
      <c r="AE130" s="7"/>
      <c r="AF130" s="7"/>
      <c r="AG130" s="7"/>
      <c r="AH130" s="7"/>
      <c r="AI130" s="7"/>
    </row>
  </sheetData>
  <mergeCells count="9">
    <mergeCell ref="BE71:BY71"/>
    <mergeCell ref="A103:AA103"/>
    <mergeCell ref="AC71:BC71"/>
    <mergeCell ref="A70:Z70"/>
    <mergeCell ref="A2:X2"/>
    <mergeCell ref="AB2:AW2"/>
    <mergeCell ref="BA2:BU2"/>
    <mergeCell ref="Z5:Z10"/>
    <mergeCell ref="A29:AA2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20B9F-9F93-C44F-9A3B-9E988B2A6174}">
  <dimension ref="A1:Z2"/>
  <sheetViews>
    <sheetView workbookViewId="0">
      <selection activeCell="A3" sqref="A3"/>
    </sheetView>
  </sheetViews>
  <sheetFormatPr baseColWidth="10" defaultRowHeight="16" x14ac:dyDescent="0.2"/>
  <cols>
    <col min="1" max="1" width="47" style="12" customWidth="1"/>
    <col min="2" max="16384" width="10.83203125" style="12"/>
  </cols>
  <sheetData>
    <row r="1" spans="1:26" ht="135" customHeight="1" x14ac:dyDescent="0.2">
      <c r="A1" s="11" t="s">
        <v>51</v>
      </c>
      <c r="B1" s="44" t="s">
        <v>52</v>
      </c>
      <c r="C1" s="44"/>
      <c r="D1" s="44"/>
      <c r="E1" s="44"/>
      <c r="F1" s="44"/>
      <c r="G1" s="44"/>
      <c r="H1" s="44"/>
      <c r="I1" s="44"/>
      <c r="J1" s="44"/>
      <c r="K1" s="44"/>
      <c r="L1" s="44"/>
      <c r="M1" s="44"/>
      <c r="N1" s="44"/>
      <c r="O1" s="44"/>
      <c r="P1" s="44"/>
      <c r="Q1" s="44"/>
      <c r="R1" s="44"/>
      <c r="S1" s="44"/>
      <c r="T1" s="44"/>
      <c r="U1" s="44"/>
      <c r="V1" s="44"/>
      <c r="W1" s="44"/>
      <c r="X1" s="44"/>
      <c r="Y1" s="44"/>
      <c r="Z1" s="44"/>
    </row>
    <row r="2" spans="1:26" x14ac:dyDescent="0.2">
      <c r="A2" s="12" t="s">
        <v>54</v>
      </c>
      <c r="B2" s="12" t="s">
        <v>53</v>
      </c>
    </row>
  </sheetData>
  <mergeCells count="1">
    <mergeCell ref="B1:Z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B3EE-83DC-3F47-AC69-BFCD60FAADF8}">
  <dimension ref="A1:Q14"/>
  <sheetViews>
    <sheetView workbookViewId="0">
      <selection activeCell="Q3" sqref="Q3"/>
    </sheetView>
  </sheetViews>
  <sheetFormatPr baseColWidth="10" defaultRowHeight="16" x14ac:dyDescent="0.2"/>
  <cols>
    <col min="1" max="1" width="25.6640625" customWidth="1"/>
    <col min="2" max="2" width="26.6640625" customWidth="1"/>
    <col min="5" max="5" width="10.83203125" style="17"/>
    <col min="14" max="17" width="10.83203125" style="2"/>
  </cols>
  <sheetData>
    <row r="1" spans="1:17" ht="19" x14ac:dyDescent="0.2">
      <c r="A1" s="23" t="s">
        <v>94</v>
      </c>
      <c r="B1" s="23"/>
      <c r="E1" s="14" t="s">
        <v>90</v>
      </c>
      <c r="K1" t="s">
        <v>93</v>
      </c>
      <c r="N1" s="14" t="s">
        <v>91</v>
      </c>
      <c r="P1" s="23" t="s">
        <v>92</v>
      </c>
      <c r="Q1" s="23"/>
    </row>
    <row r="2" spans="1:17" x14ac:dyDescent="0.2">
      <c r="A2" s="3">
        <v>150</v>
      </c>
      <c r="B2" s="3">
        <v>500</v>
      </c>
      <c r="E2" s="18">
        <v>1600</v>
      </c>
      <c r="G2" cm="1">
        <f t="array" ref="G2:H3">IF(_xlfn.SEQUENCE(2,2)=TRANSPOSE(_xlfn.SEQUENCE(2,2)), E2:E3, 0)</f>
        <v>1600</v>
      </c>
      <c r="H2">
        <v>0</v>
      </c>
      <c r="K2">
        <v>1</v>
      </c>
      <c r="N2" s="3">
        <v>2000</v>
      </c>
      <c r="P2" s="3">
        <v>869</v>
      </c>
      <c r="Q2" s="3">
        <v>356</v>
      </c>
    </row>
    <row r="3" spans="1:17" x14ac:dyDescent="0.2">
      <c r="A3" s="3">
        <v>200</v>
      </c>
      <c r="B3" s="3">
        <v>100</v>
      </c>
      <c r="E3" s="18">
        <v>2400</v>
      </c>
      <c r="G3">
        <v>0</v>
      </c>
      <c r="H3">
        <v>2400</v>
      </c>
      <c r="K3">
        <v>1</v>
      </c>
      <c r="N3" s="3">
        <v>4000</v>
      </c>
    </row>
    <row r="7" spans="1:17" ht="19" x14ac:dyDescent="0.2">
      <c r="A7" s="23" t="s">
        <v>89</v>
      </c>
      <c r="B7" s="23"/>
    </row>
    <row r="8" spans="1:17" x14ac:dyDescent="0.2">
      <c r="A8" s="3">
        <v>150</v>
      </c>
      <c r="B8" s="3">
        <v>500</v>
      </c>
    </row>
    <row r="9" spans="1:17" x14ac:dyDescent="0.2">
      <c r="A9" s="3">
        <v>200</v>
      </c>
      <c r="B9" s="3">
        <v>100</v>
      </c>
    </row>
    <row r="12" spans="1:17" ht="19" x14ac:dyDescent="0.2">
      <c r="A12" s="23" t="s">
        <v>95</v>
      </c>
      <c r="B12" s="23"/>
    </row>
    <row r="13" spans="1:17" x14ac:dyDescent="0.2">
      <c r="A13" s="3" cm="1">
        <f t="array" ref="A13:B14">MMULT(A8:B9,_xlfn.ANCHORARRAY(G2))</f>
        <v>240000</v>
      </c>
      <c r="B13" s="3">
        <v>1200000</v>
      </c>
      <c r="D13">
        <f>SUM(A13:B13)</f>
        <v>1440000</v>
      </c>
    </row>
    <row r="14" spans="1:17" x14ac:dyDescent="0.2">
      <c r="A14" s="3">
        <v>320000</v>
      </c>
      <c r="B14" s="3">
        <v>240000</v>
      </c>
      <c r="D14">
        <f>SUM(A14:B14)</f>
        <v>560000</v>
      </c>
    </row>
  </sheetData>
  <mergeCells count="4">
    <mergeCell ref="A1:B1"/>
    <mergeCell ref="A7:B7"/>
    <mergeCell ref="P1:Q1"/>
    <mergeCell ref="A1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5-6-7-8-11-9</vt:lpstr>
      <vt:lpstr>Dynamic T5</vt:lpstr>
      <vt:lpstr>1,2,3,4,5</vt:lpstr>
      <vt:lpstr>1,3-5</vt:lpstr>
      <vt:lpstr>Make and Use --&gt; A</vt:lpstr>
      <vt:lpstr>terms</vt:lpstr>
      <vt:lpstr>RAS Algorithm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#YEOH YU YONG#</dc:creator>
  <cp:lastModifiedBy>#YEOH YU YONG#</cp:lastModifiedBy>
  <dcterms:created xsi:type="dcterms:W3CDTF">2025-08-14T00:48:02Z</dcterms:created>
  <dcterms:modified xsi:type="dcterms:W3CDTF">2025-12-18T08:45:18Z</dcterms:modified>
</cp:coreProperties>
</file>