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filterPrivacy="1" defaultThemeVersion="166925"/>
  <xr:revisionPtr revIDLastSave="0" documentId="13_ncr:1_{7AED41D6-3779-B04D-AFB9-83F4AB1054CF}" xr6:coauthVersionLast="47" xr6:coauthVersionMax="47" xr10:uidLastSave="{00000000-0000-0000-0000-000000000000}"/>
  <bookViews>
    <workbookView xWindow="0" yWindow="620" windowWidth="25600" windowHeight="13880" xr2:uid="{AFEBBCA6-A9F1-4369-85C2-35AD25BA59A0}"/>
  </bookViews>
  <sheets>
    <sheet name="UR RES IND" sheetId="1" r:id="rId1"/>
    <sheet name="unemployment_dat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3" i="3" l="1"/>
  <c r="Z4" i="3"/>
  <c r="Z5" i="3"/>
  <c r="Z6" i="3"/>
  <c r="Z7" i="3"/>
  <c r="Z8" i="3"/>
  <c r="Z9" i="3"/>
  <c r="Z10" i="3"/>
  <c r="Z11" i="3"/>
  <c r="Z12" i="3"/>
  <c r="Z13" i="3"/>
  <c r="Z14" i="3"/>
  <c r="Z15" i="3"/>
  <c r="Z16" i="3"/>
  <c r="Z2" i="3"/>
  <c r="Y3" i="3"/>
  <c r="Y4" i="3"/>
  <c r="Y5" i="3"/>
  <c r="Y6" i="3"/>
  <c r="Y7" i="3"/>
  <c r="Y8" i="3"/>
  <c r="Y9" i="3"/>
  <c r="Y10" i="3"/>
  <c r="Y11" i="3"/>
  <c r="Y12" i="3"/>
  <c r="Y13" i="3"/>
  <c r="Y14" i="3"/>
  <c r="Y15" i="3"/>
  <c r="Y16" i="3"/>
  <c r="Y2" i="3"/>
  <c r="U3" i="3" a="1"/>
  <c r="U3" i="3" s="1"/>
  <c r="U4" i="3" a="1"/>
  <c r="U4" i="3" s="1"/>
  <c r="U5" i="3" a="1"/>
  <c r="U5" i="3" s="1"/>
  <c r="U6" i="3" a="1"/>
  <c r="U6" i="3" s="1"/>
  <c r="U7" i="3" a="1"/>
  <c r="U7" i="3" s="1"/>
  <c r="U8" i="3" a="1"/>
  <c r="U8" i="3" s="1"/>
  <c r="U9" i="3" a="1"/>
  <c r="U9" i="3" s="1"/>
  <c r="U10" i="3" a="1"/>
  <c r="U10" i="3" s="1"/>
  <c r="U11" i="3" a="1"/>
  <c r="U11" i="3" s="1"/>
  <c r="U12" i="3" a="1"/>
  <c r="U12" i="3" s="1"/>
  <c r="U13" i="3" a="1"/>
  <c r="U13" i="3" s="1"/>
  <c r="U14" i="3" a="1"/>
  <c r="U14" i="3" s="1"/>
  <c r="U15" i="3" a="1"/>
  <c r="U15" i="3" s="1"/>
  <c r="U16" i="3" a="1"/>
  <c r="U16" i="3" s="1"/>
  <c r="U2" i="3" a="1"/>
  <c r="U2" i="3" s="1"/>
  <c r="W3" i="3" l="1"/>
  <c r="W16" i="3"/>
  <c r="W2" i="3"/>
  <c r="W11" i="3"/>
  <c r="W10" i="3"/>
  <c r="W9" i="3"/>
  <c r="W8" i="3"/>
  <c r="W14" i="3"/>
  <c r="W6" i="3"/>
  <c r="W15" i="3"/>
  <c r="W13" i="3"/>
  <c r="W5" i="3"/>
  <c r="W7" i="3"/>
  <c r="W12" i="3"/>
  <c r="W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<sst xmlns="http://schemas.openxmlformats.org/spreadsheetml/2006/main" count="51" uniqueCount="50">
  <si>
    <t>Notes :</t>
  </si>
  <si>
    <t>Source:  Comprehensive Labour Force Survey, Manpower Research &amp; Statistics Department, MOM</t>
  </si>
  <si>
    <t>S - U  Other  Community,  Social  &amp;  Personal  Services</t>
  </si>
  <si>
    <t>R  Arts,  Entertainment  &amp;  Recreation</t>
  </si>
  <si>
    <t>Q  Health  &amp;  Social  Services</t>
  </si>
  <si>
    <t>O,  P  Public  Administration  &amp;  Education</t>
  </si>
  <si>
    <t>N  Administrative  &amp;  Support  Services</t>
  </si>
  <si>
    <t>M  Professional  Services</t>
  </si>
  <si>
    <t>L  Real  Estate  Services</t>
  </si>
  <si>
    <t>K  Financial  &amp;  Insurance  Services</t>
  </si>
  <si>
    <t>J  Information  &amp;  Communications</t>
  </si>
  <si>
    <t>I   Accommodation  &amp;  Food  Services</t>
  </si>
  <si>
    <t>H  Transportation  &amp;  Storage</t>
  </si>
  <si>
    <t>G  Wholesale  &amp;  Retail  Trade</t>
  </si>
  <si>
    <t>G - U  Services</t>
  </si>
  <si>
    <t>F  Construction</t>
  </si>
  <si>
    <t>C  Manufacturing</t>
  </si>
  <si>
    <r>
      <t>2007</t>
    </r>
    <r>
      <rPr>
        <b/>
        <vertAlign val="superscript"/>
        <sz val="9"/>
        <color theme="1"/>
        <rFont val="Arial"/>
        <family val="2"/>
      </rPr>
      <t>a</t>
    </r>
  </si>
  <si>
    <t>Percent</t>
  </si>
  <si>
    <t>A,  B,  D,  E  Others #</t>
  </si>
  <si>
    <t>8. ' # ' : 'Others' includes Agriculture, Fishing, Quarrying, Utilities and Sewerage &amp; Waste Management.</t>
  </si>
  <si>
    <t>1. Reference month of June</t>
  </si>
  <si>
    <t>2. Data exclude unemployed residents without work experience.</t>
  </si>
  <si>
    <t>3. Residents refer to Singapore Citizens and Permanent Residents.</t>
  </si>
  <si>
    <t>4. The unemployment rate by industry is obtained by dividing the number of unemployed who previously worked in a given industry by the sum of the number of workers employed in this industry and the unemployed who previously worked in the industry.</t>
  </si>
  <si>
    <t>6. Data for 2005 are not available as the Comprehensive Labour Force Survey was not conducted due to the conduct of the General Household Survey 2005 by the Singapore Department of Statistics.</t>
  </si>
  <si>
    <r>
      <t xml:space="preserve">7. </t>
    </r>
    <r>
      <rPr>
        <vertAlign val="superscript"/>
        <sz val="9"/>
        <color theme="1"/>
        <rFont val="Arial"/>
        <family val="2"/>
      </rPr>
      <t>a</t>
    </r>
    <r>
      <rPr>
        <sz val="9"/>
        <color theme="1"/>
        <rFont val="Arial"/>
        <family val="2"/>
      </rPr>
      <t xml:space="preserve"> June 2007 data have been adjusted based on latest revised population estimates from the Singapore Department of Statistics to facilitate comparisons with June 2008 onwards.</t>
    </r>
  </si>
  <si>
    <t>5. Data are classified based on Singapore Standard Industrial Classification (SSIC) 2020. Data before year 2020 which were coded based on earlier versions of the SSIC were mapped to SSIC 2020 as far as possible to facilitate data comparability.</t>
  </si>
  <si>
    <t>Industry ( SSIC 2020 )</t>
  </si>
  <si>
    <t>RESIDENT UNEMPLOYMENT RATE BY INDUSTRY, 2001 To 2024</t>
  </si>
  <si>
    <t>change</t>
  </si>
  <si>
    <t>Agriculture, Fishing, Quarrying, Utilities and Sewerage &amp; Waste Management</t>
  </si>
  <si>
    <t>Manufacturing</t>
  </si>
  <si>
    <t>Construction</t>
  </si>
  <si>
    <t>Wholesale  &amp;  Retail  Trade</t>
  </si>
  <si>
    <t>Transportation  &amp;  Storage</t>
  </si>
  <si>
    <t>Accommodation  &amp;  Food  Services</t>
  </si>
  <si>
    <t>Information  &amp;  Communications</t>
  </si>
  <si>
    <t>Financial  &amp;  Insurance  Services</t>
  </si>
  <si>
    <t>Real  Estate  Services</t>
  </si>
  <si>
    <t>Professional  Services</t>
  </si>
  <si>
    <t>Administrative  &amp;  Support  Services</t>
  </si>
  <si>
    <t>Public  Administration  &amp;  Education</t>
  </si>
  <si>
    <t>Health  &amp;  Social  Services</t>
  </si>
  <si>
    <t>Arts,  Entertainment  &amp;  Recreation</t>
  </si>
  <si>
    <t>Other  Community,  Social  &amp;  Personal  Services</t>
  </si>
  <si>
    <t>intercept</t>
  </si>
  <si>
    <t>slope</t>
  </si>
  <si>
    <t>2020 planned</t>
  </si>
  <si>
    <t>2020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</si>
</sst>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9"/>
      <color theme="1"/>
      <name val="Arial"/>
      <family val="2"/>
    </font>
    <font>
      <b/>
      <sz val="9"/>
      <color theme="1"/>
      <name val="Arial"/>
      <family val="2"/>
    </font>
    <font>
      <b/>
      <vertAlign val="superscript"/>
      <sz val="9"/>
      <color theme="1"/>
      <name val="Arial"/>
      <family val="2"/>
    </font>
    <font>
      <sz val="10"/>
      <color theme="1"/>
      <name val="Frutiger LT Std 45 Light"/>
    </font>
    <font>
      <b/>
      <sz val="10"/>
      <color theme="1"/>
      <name val="Arial"/>
      <family val="2"/>
    </font>
    <font>
      <vertAlign val="superscript"/>
      <sz val="9"/>
      <color theme="1"/>
      <name val="Arial"/>
      <family val="2"/>
    </font>
    <font>
      <sz val="9"/>
      <color rgb="FF000000"/>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1" fillId="2" borderId="0" xfId="0" applyFont="1" applyFill="1"/>
    <xf numFmtId="0" fontId="0" fillId="2" borderId="0" xfId="0" applyFill="1" applyAlignment="1">
      <alignment horizontal="right"/>
    </xf>
    <xf numFmtId="164" fontId="1" fillId="2" borderId="1" xfId="0" applyNumberFormat="1" applyFont="1" applyFill="1" applyBorder="1"/>
    <xf numFmtId="0" fontId="1" fillId="2" borderId="1" xfId="0" applyFont="1" applyFill="1" applyBorder="1" applyAlignment="1">
      <alignment horizontal="left" indent="1"/>
    </xf>
    <xf numFmtId="164" fontId="0" fillId="2" borderId="1" xfId="0" applyNumberFormat="1" applyFill="1" applyBorder="1"/>
    <xf numFmtId="0" fontId="0" fillId="2" borderId="1" xfId="0" applyFill="1" applyBorder="1" applyAlignment="1">
      <alignment horizontal="left" indent="2"/>
    </xf>
    <xf numFmtId="0" fontId="1" fillId="2" borderId="1" xfId="0" applyFont="1" applyFill="1" applyBorder="1" applyAlignment="1">
      <alignment horizontal="center" vertical="center"/>
    </xf>
    <xf numFmtId="0" fontId="3" fillId="2" borderId="0" xfId="0" applyFont="1" applyFill="1"/>
    <xf numFmtId="0" fontId="6" fillId="0" borderId="1" xfId="0" applyFont="1" applyBorder="1" applyAlignment="1">
      <alignment vertical="center"/>
    </xf>
    <xf numFmtId="0" fontId="4"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152C-9920-4AAA-8EFC-B1CFC439ED95}">
  <dimension ref="A1:Y29"/>
  <sheetViews>
    <sheetView tabSelected="1" zoomScale="115" workbookViewId="0">
      <pane xSplit="1" ySplit="3" topLeftCell="N4" activePane="bottomRight" state="frozen"/>
      <selection pane="topRight" activeCell="B1" sqref="B1"/>
      <selection pane="bottomLeft" activeCell="A5" sqref="A5"/>
      <selection pane="bottomRight" activeCell="AB7" sqref="AB7"/>
    </sheetView>
  </sheetViews>
  <sheetFormatPr baseColWidth="10" defaultColWidth="8.796875" defaultRowHeight="15" customHeight="1"/>
  <cols>
    <col min="1" max="1" width="50.19921875" style="1" customWidth="1"/>
    <col min="2" max="24" width="6.796875" style="1" customWidth="1"/>
    <col min="25" max="25" width="7.796875" style="1" customWidth="1"/>
    <col min="26" max="16384" width="8.796875" style="1"/>
  </cols>
  <sheetData>
    <row r="1" spans="1:25" s="9" customFormat="1" ht="30" customHeight="1">
      <c r="A1" s="11" t="s">
        <v>29</v>
      </c>
      <c r="B1" s="11"/>
      <c r="C1" s="11"/>
      <c r="D1" s="11"/>
      <c r="E1" s="11"/>
      <c r="F1" s="11"/>
      <c r="G1" s="11"/>
      <c r="H1" s="11"/>
      <c r="I1" s="11"/>
      <c r="J1" s="11"/>
      <c r="K1" s="11"/>
      <c r="L1" s="11"/>
      <c r="M1" s="11"/>
      <c r="N1" s="11"/>
      <c r="O1" s="11"/>
      <c r="P1" s="11"/>
      <c r="Q1" s="11"/>
      <c r="R1" s="11"/>
      <c r="S1" s="11"/>
      <c r="T1" s="11"/>
      <c r="U1" s="11"/>
      <c r="V1" s="11"/>
      <c r="W1" s="11"/>
      <c r="X1" s="11"/>
    </row>
    <row r="2" spans="1:25" ht="15" customHeight="1">
      <c r="V2" s="3"/>
      <c r="W2" s="3"/>
      <c r="X2" s="3"/>
      <c r="Y2" s="3" t="s">
        <v>18</v>
      </c>
    </row>
    <row r="3" spans="1:25" ht="15" customHeight="1">
      <c r="A3" s="8" t="s">
        <v>28</v>
      </c>
      <c r="B3" s="8">
        <v>2001</v>
      </c>
      <c r="C3" s="8">
        <v>2002</v>
      </c>
      <c r="D3" s="8">
        <v>2003</v>
      </c>
      <c r="E3" s="8">
        <v>2004</v>
      </c>
      <c r="F3" s="8">
        <v>2006</v>
      </c>
      <c r="G3" s="8">
        <v>2007</v>
      </c>
      <c r="H3" s="8" t="s">
        <v>17</v>
      </c>
      <c r="I3" s="8">
        <v>2008</v>
      </c>
      <c r="J3" s="8">
        <v>2009</v>
      </c>
      <c r="K3" s="8">
        <v>2010</v>
      </c>
      <c r="L3" s="8">
        <v>2011</v>
      </c>
      <c r="M3" s="8">
        <v>2012</v>
      </c>
      <c r="N3" s="8">
        <v>2013</v>
      </c>
      <c r="O3" s="8">
        <v>2014</v>
      </c>
      <c r="P3" s="8">
        <v>2015</v>
      </c>
      <c r="Q3" s="8">
        <v>2016</v>
      </c>
      <c r="R3" s="8">
        <v>2017</v>
      </c>
      <c r="S3" s="8">
        <v>2018</v>
      </c>
      <c r="T3" s="8">
        <v>2019</v>
      </c>
      <c r="U3" s="8">
        <v>2020</v>
      </c>
      <c r="V3" s="8">
        <v>2021</v>
      </c>
      <c r="W3" s="8">
        <v>2022</v>
      </c>
      <c r="X3" s="8">
        <v>2023</v>
      </c>
      <c r="Y3" s="8">
        <v>2024</v>
      </c>
    </row>
    <row r="4" spans="1:25" ht="15" customHeight="1">
      <c r="A4" s="5" t="s">
        <v>16</v>
      </c>
      <c r="B4" s="4">
        <v>3.9</v>
      </c>
      <c r="C4" s="4">
        <v>5.7</v>
      </c>
      <c r="D4" s="4">
        <v>5.4</v>
      </c>
      <c r="E4" s="4">
        <v>5.4</v>
      </c>
      <c r="F4" s="4">
        <v>3.9</v>
      </c>
      <c r="G4" s="4">
        <v>3.8</v>
      </c>
      <c r="H4" s="4">
        <v>3.8</v>
      </c>
      <c r="I4" s="4">
        <v>3.8</v>
      </c>
      <c r="J4" s="4">
        <v>6.4</v>
      </c>
      <c r="K4" s="4">
        <v>3.9</v>
      </c>
      <c r="L4" s="4">
        <v>3.7</v>
      </c>
      <c r="M4" s="4">
        <v>3.7</v>
      </c>
      <c r="N4" s="4">
        <v>3.6</v>
      </c>
      <c r="O4" s="4">
        <v>3</v>
      </c>
      <c r="P4" s="4">
        <v>3.1</v>
      </c>
      <c r="Q4" s="4">
        <v>4.2</v>
      </c>
      <c r="R4" s="4">
        <v>4.0999999999999996</v>
      </c>
      <c r="S4" s="4">
        <v>3.1</v>
      </c>
      <c r="T4" s="4">
        <v>4</v>
      </c>
      <c r="U4" s="4">
        <v>4.3</v>
      </c>
      <c r="V4" s="4">
        <v>4.3</v>
      </c>
      <c r="W4" s="4">
        <v>3.2</v>
      </c>
      <c r="X4" s="4">
        <v>2.2000000000000002</v>
      </c>
      <c r="Y4" s="4">
        <v>2.7</v>
      </c>
    </row>
    <row r="5" spans="1:25" ht="15" customHeight="1">
      <c r="A5" s="5" t="s">
        <v>15</v>
      </c>
      <c r="B5" s="4">
        <v>5.2</v>
      </c>
      <c r="C5" s="4">
        <v>7.7</v>
      </c>
      <c r="D5" s="4">
        <v>7.5</v>
      </c>
      <c r="E5" s="4">
        <v>7.5</v>
      </c>
      <c r="F5" s="4">
        <v>5</v>
      </c>
      <c r="G5" s="4">
        <v>3.6</v>
      </c>
      <c r="H5" s="4">
        <v>3.7</v>
      </c>
      <c r="I5" s="4">
        <v>2.8</v>
      </c>
      <c r="J5" s="4">
        <v>4.0999999999999996</v>
      </c>
      <c r="K5" s="4">
        <v>3.7</v>
      </c>
      <c r="L5" s="4">
        <v>2.8</v>
      </c>
      <c r="M5" s="4">
        <v>2.8</v>
      </c>
      <c r="N5" s="4">
        <v>2.5</v>
      </c>
      <c r="O5" s="4">
        <v>2.5</v>
      </c>
      <c r="P5" s="4">
        <v>2.4</v>
      </c>
      <c r="Q5" s="4">
        <v>3.5</v>
      </c>
      <c r="R5" s="4">
        <v>3.7</v>
      </c>
      <c r="S5" s="4">
        <v>3.4</v>
      </c>
      <c r="T5" s="4">
        <v>3.1</v>
      </c>
      <c r="U5" s="4">
        <v>5.4</v>
      </c>
      <c r="V5" s="4">
        <v>4.2</v>
      </c>
      <c r="W5" s="4">
        <v>2.2999999999999998</v>
      </c>
      <c r="X5" s="4">
        <v>2.7</v>
      </c>
      <c r="Y5" s="4">
        <v>2.2000000000000002</v>
      </c>
    </row>
    <row r="6" spans="1:25" ht="15" customHeight="1">
      <c r="A6" s="5" t="s">
        <v>14</v>
      </c>
      <c r="B6" s="4">
        <v>3.1</v>
      </c>
      <c r="C6" s="4">
        <v>4.8</v>
      </c>
      <c r="D6" s="4">
        <v>5.3</v>
      </c>
      <c r="E6" s="4">
        <v>5.3</v>
      </c>
      <c r="F6" s="4">
        <v>4.2</v>
      </c>
      <c r="G6" s="4">
        <v>3.6</v>
      </c>
      <c r="H6" s="4">
        <v>3.6</v>
      </c>
      <c r="I6" s="4">
        <v>3.6</v>
      </c>
      <c r="J6" s="4">
        <v>5.3</v>
      </c>
      <c r="K6" s="4">
        <v>3.8</v>
      </c>
      <c r="L6" s="4">
        <v>3.6</v>
      </c>
      <c r="M6" s="4">
        <v>3.4</v>
      </c>
      <c r="N6" s="4">
        <v>3.5</v>
      </c>
      <c r="O6" s="4">
        <v>3.5</v>
      </c>
      <c r="P6" s="4">
        <v>3.5</v>
      </c>
      <c r="Q6" s="4">
        <v>3.5</v>
      </c>
      <c r="R6" s="4">
        <v>3.6</v>
      </c>
      <c r="S6" s="4">
        <v>3.4</v>
      </c>
      <c r="T6" s="4">
        <v>3.6</v>
      </c>
      <c r="U6" s="4">
        <v>4.5999999999999996</v>
      </c>
      <c r="V6" s="4">
        <v>4</v>
      </c>
      <c r="W6" s="4">
        <v>3.3</v>
      </c>
      <c r="X6" s="4">
        <v>2.9</v>
      </c>
      <c r="Y6" s="4">
        <v>3</v>
      </c>
    </row>
    <row r="7" spans="1:25" ht="15" customHeight="1">
      <c r="A7" s="7" t="s">
        <v>13</v>
      </c>
      <c r="B7" s="6">
        <v>3.8</v>
      </c>
      <c r="C7" s="6">
        <v>5.5</v>
      </c>
      <c r="D7" s="6">
        <v>6.1</v>
      </c>
      <c r="E7" s="6">
        <v>5.6</v>
      </c>
      <c r="F7" s="6">
        <v>4.8</v>
      </c>
      <c r="G7" s="6">
        <v>3.6</v>
      </c>
      <c r="H7" s="6">
        <v>3.6</v>
      </c>
      <c r="I7" s="6">
        <v>4.0999999999999996</v>
      </c>
      <c r="J7" s="6">
        <v>5.4</v>
      </c>
      <c r="K7" s="6">
        <v>4.2</v>
      </c>
      <c r="L7" s="6">
        <v>3.8</v>
      </c>
      <c r="M7" s="6">
        <v>3.7</v>
      </c>
      <c r="N7" s="6">
        <v>4</v>
      </c>
      <c r="O7" s="6">
        <v>3.5</v>
      </c>
      <c r="P7" s="6">
        <v>3.7</v>
      </c>
      <c r="Q7" s="6">
        <v>3.6</v>
      </c>
      <c r="R7" s="6">
        <v>3.5</v>
      </c>
      <c r="S7" s="6">
        <v>3.1</v>
      </c>
      <c r="T7" s="6">
        <v>3</v>
      </c>
      <c r="U7" s="6">
        <v>4.2</v>
      </c>
      <c r="V7" s="6">
        <v>3.9</v>
      </c>
      <c r="W7" s="6">
        <v>3.4</v>
      </c>
      <c r="X7" s="6">
        <v>3.5</v>
      </c>
      <c r="Y7" s="6">
        <v>3.5</v>
      </c>
    </row>
    <row r="8" spans="1:25" ht="15" customHeight="1">
      <c r="A8" s="7" t="s">
        <v>12</v>
      </c>
      <c r="B8" s="6">
        <v>2.8</v>
      </c>
      <c r="C8" s="6">
        <v>4.5</v>
      </c>
      <c r="D8" s="6">
        <v>5.7</v>
      </c>
      <c r="E8" s="6">
        <v>5.2</v>
      </c>
      <c r="F8" s="6">
        <v>3.5</v>
      </c>
      <c r="G8" s="6">
        <v>3.3</v>
      </c>
      <c r="H8" s="6">
        <v>3.3</v>
      </c>
      <c r="I8" s="6">
        <v>3.1</v>
      </c>
      <c r="J8" s="6">
        <v>4.7</v>
      </c>
      <c r="K8" s="6">
        <v>3.1</v>
      </c>
      <c r="L8" s="6">
        <v>3.3</v>
      </c>
      <c r="M8" s="6">
        <v>2.8</v>
      </c>
      <c r="N8" s="6">
        <v>3.4</v>
      </c>
      <c r="O8" s="6">
        <v>3.8</v>
      </c>
      <c r="P8" s="6">
        <v>2.8</v>
      </c>
      <c r="Q8" s="6">
        <v>3.6</v>
      </c>
      <c r="R8" s="6">
        <v>3.7</v>
      </c>
      <c r="S8" s="6">
        <v>3.8</v>
      </c>
      <c r="T8" s="6">
        <v>3.6</v>
      </c>
      <c r="U8" s="6">
        <v>4.5999999999999996</v>
      </c>
      <c r="V8" s="6">
        <v>3.8</v>
      </c>
      <c r="W8" s="6">
        <v>2.8</v>
      </c>
      <c r="X8" s="6">
        <v>2.4</v>
      </c>
      <c r="Y8" s="6">
        <v>2.5</v>
      </c>
    </row>
    <row r="9" spans="1:25" ht="15" customHeight="1">
      <c r="A9" s="7" t="s">
        <v>11</v>
      </c>
      <c r="B9" s="6">
        <v>5.3</v>
      </c>
      <c r="C9" s="6">
        <v>7.2</v>
      </c>
      <c r="D9" s="6">
        <v>8.3000000000000007</v>
      </c>
      <c r="E9" s="6">
        <v>9</v>
      </c>
      <c r="F9" s="6">
        <v>6.3</v>
      </c>
      <c r="G9" s="6">
        <v>6.3</v>
      </c>
      <c r="H9" s="6">
        <v>6.3</v>
      </c>
      <c r="I9" s="6">
        <v>6.3</v>
      </c>
      <c r="J9" s="6">
        <v>8.8000000000000007</v>
      </c>
      <c r="K9" s="6">
        <v>5.7</v>
      </c>
      <c r="L9" s="6">
        <v>5.9</v>
      </c>
      <c r="M9" s="6">
        <v>6.3</v>
      </c>
      <c r="N9" s="6">
        <v>5.5</v>
      </c>
      <c r="O9" s="6">
        <v>5.7</v>
      </c>
      <c r="P9" s="6">
        <v>5.6</v>
      </c>
      <c r="Q9" s="6">
        <v>5.2</v>
      </c>
      <c r="R9" s="6">
        <v>5.9</v>
      </c>
      <c r="S9" s="6">
        <v>4.5</v>
      </c>
      <c r="T9" s="6">
        <v>6.4</v>
      </c>
      <c r="U9" s="6">
        <v>8.6999999999999993</v>
      </c>
      <c r="V9" s="6">
        <v>6.5</v>
      </c>
      <c r="W9" s="6">
        <v>4.3</v>
      </c>
      <c r="X9" s="6">
        <v>3.7</v>
      </c>
      <c r="Y9" s="6">
        <v>3.7</v>
      </c>
    </row>
    <row r="10" spans="1:25" ht="15" customHeight="1">
      <c r="A10" s="7" t="s">
        <v>10</v>
      </c>
      <c r="B10" s="6">
        <v>3.4</v>
      </c>
      <c r="C10" s="6">
        <v>6.9</v>
      </c>
      <c r="D10" s="6">
        <v>7.7</v>
      </c>
      <c r="E10" s="6">
        <v>7.5</v>
      </c>
      <c r="F10" s="6">
        <v>5.6</v>
      </c>
      <c r="G10" s="6">
        <v>3.7</v>
      </c>
      <c r="H10" s="6">
        <v>3.8</v>
      </c>
      <c r="I10" s="6">
        <v>4.3</v>
      </c>
      <c r="J10" s="6">
        <v>6.5</v>
      </c>
      <c r="K10" s="6">
        <v>4.5999999999999996</v>
      </c>
      <c r="L10" s="6">
        <v>4.2</v>
      </c>
      <c r="M10" s="6">
        <v>4.3</v>
      </c>
      <c r="N10" s="6">
        <v>4.0999999999999996</v>
      </c>
      <c r="O10" s="6">
        <v>5</v>
      </c>
      <c r="P10" s="6">
        <v>3.9</v>
      </c>
      <c r="Q10" s="6">
        <v>5.4</v>
      </c>
      <c r="R10" s="6">
        <v>5.8</v>
      </c>
      <c r="S10" s="6">
        <v>5.6</v>
      </c>
      <c r="T10" s="6">
        <v>5.5</v>
      </c>
      <c r="U10" s="6">
        <v>6.2</v>
      </c>
      <c r="V10" s="6">
        <v>4.5</v>
      </c>
      <c r="W10" s="6">
        <v>3.5</v>
      </c>
      <c r="X10" s="6">
        <v>3.8</v>
      </c>
      <c r="Y10" s="6">
        <v>5</v>
      </c>
    </row>
    <row r="11" spans="1:25" ht="15" customHeight="1">
      <c r="A11" s="7" t="s">
        <v>9</v>
      </c>
      <c r="B11" s="6">
        <v>2.2999999999999998</v>
      </c>
      <c r="C11" s="6">
        <v>4.5999999999999996</v>
      </c>
      <c r="D11" s="6">
        <v>5.3</v>
      </c>
      <c r="E11" s="6">
        <v>4.2</v>
      </c>
      <c r="F11" s="6">
        <v>3.3</v>
      </c>
      <c r="G11" s="6">
        <v>2.4</v>
      </c>
      <c r="H11" s="6">
        <v>2.4</v>
      </c>
      <c r="I11" s="6">
        <v>3.1</v>
      </c>
      <c r="J11" s="6">
        <v>4.7</v>
      </c>
      <c r="K11" s="6">
        <v>4.0999999999999996</v>
      </c>
      <c r="L11" s="6">
        <v>2.5</v>
      </c>
      <c r="M11" s="6">
        <v>3.2</v>
      </c>
      <c r="N11" s="6">
        <v>3.3</v>
      </c>
      <c r="O11" s="6">
        <v>3.4</v>
      </c>
      <c r="P11" s="6">
        <v>3.6</v>
      </c>
      <c r="Q11" s="6">
        <v>3.5</v>
      </c>
      <c r="R11" s="6">
        <v>3.3</v>
      </c>
      <c r="S11" s="6">
        <v>3.4</v>
      </c>
      <c r="T11" s="6">
        <v>3</v>
      </c>
      <c r="U11" s="6">
        <v>3.7</v>
      </c>
      <c r="V11" s="6">
        <v>4.3</v>
      </c>
      <c r="W11" s="6">
        <v>3.2</v>
      </c>
      <c r="X11" s="6">
        <v>3</v>
      </c>
      <c r="Y11" s="6">
        <v>3.8</v>
      </c>
    </row>
    <row r="12" spans="1:25" ht="15" customHeight="1">
      <c r="A12" s="7" t="s">
        <v>8</v>
      </c>
      <c r="B12" s="6">
        <v>2.2999999999999998</v>
      </c>
      <c r="C12" s="6">
        <v>3.1</v>
      </c>
      <c r="D12" s="6">
        <v>3.9</v>
      </c>
      <c r="E12" s="6">
        <v>4.9000000000000004</v>
      </c>
      <c r="F12" s="6">
        <v>3</v>
      </c>
      <c r="G12" s="6">
        <v>2.7</v>
      </c>
      <c r="H12" s="6">
        <v>2.7</v>
      </c>
      <c r="I12" s="6">
        <v>2.6</v>
      </c>
      <c r="J12" s="6">
        <v>3</v>
      </c>
      <c r="K12" s="6">
        <v>2.2999999999999998</v>
      </c>
      <c r="L12" s="6">
        <v>3.3</v>
      </c>
      <c r="M12" s="6">
        <v>1.6</v>
      </c>
      <c r="N12" s="6">
        <v>1.4</v>
      </c>
      <c r="O12" s="6">
        <v>2.5</v>
      </c>
      <c r="P12" s="6">
        <v>2.4</v>
      </c>
      <c r="Q12" s="6">
        <v>2.4</v>
      </c>
      <c r="R12" s="6">
        <v>1.6</v>
      </c>
      <c r="S12" s="6">
        <v>2.7</v>
      </c>
      <c r="T12" s="6">
        <v>3.3</v>
      </c>
      <c r="U12" s="6">
        <v>3.4</v>
      </c>
      <c r="V12" s="6">
        <v>3</v>
      </c>
      <c r="W12" s="6">
        <v>2.2000000000000002</v>
      </c>
      <c r="X12" s="6">
        <v>2.4</v>
      </c>
      <c r="Y12" s="6">
        <v>2.4</v>
      </c>
    </row>
    <row r="13" spans="1:25" ht="15" customHeight="1">
      <c r="A13" s="7" t="s">
        <v>7</v>
      </c>
      <c r="B13" s="6">
        <v>3.6</v>
      </c>
      <c r="C13" s="6">
        <v>4.9000000000000004</v>
      </c>
      <c r="D13" s="6">
        <v>5.3</v>
      </c>
      <c r="E13" s="6">
        <v>4.2</v>
      </c>
      <c r="F13" s="6">
        <v>2.7</v>
      </c>
      <c r="G13" s="6">
        <v>3.5</v>
      </c>
      <c r="H13" s="6">
        <v>3.5</v>
      </c>
      <c r="I13" s="6">
        <v>3.5</v>
      </c>
      <c r="J13" s="6">
        <v>4.8</v>
      </c>
      <c r="K13" s="6">
        <v>3.2</v>
      </c>
      <c r="L13" s="6">
        <v>3.4</v>
      </c>
      <c r="M13" s="6">
        <v>2.9</v>
      </c>
      <c r="N13" s="6">
        <v>3.3</v>
      </c>
      <c r="O13" s="6">
        <v>3.1</v>
      </c>
      <c r="P13" s="6">
        <v>3.2</v>
      </c>
      <c r="Q13" s="6">
        <v>4.0999999999999996</v>
      </c>
      <c r="R13" s="6">
        <v>3.5</v>
      </c>
      <c r="S13" s="6">
        <v>3.7</v>
      </c>
      <c r="T13" s="6">
        <v>4.3</v>
      </c>
      <c r="U13" s="6">
        <v>4.3</v>
      </c>
      <c r="V13" s="6">
        <v>4.2</v>
      </c>
      <c r="W13" s="6">
        <v>3.5</v>
      </c>
      <c r="X13" s="6">
        <v>3.3</v>
      </c>
      <c r="Y13" s="6">
        <v>2.4</v>
      </c>
    </row>
    <row r="14" spans="1:25" ht="15" customHeight="1">
      <c r="A14" s="7" t="s">
        <v>6</v>
      </c>
      <c r="B14" s="6">
        <v>5.4</v>
      </c>
      <c r="C14" s="6">
        <v>7.9</v>
      </c>
      <c r="D14" s="6">
        <v>7.3</v>
      </c>
      <c r="E14" s="6">
        <v>7.2</v>
      </c>
      <c r="F14" s="6">
        <v>6.9</v>
      </c>
      <c r="G14" s="6">
        <v>5.5</v>
      </c>
      <c r="H14" s="6">
        <v>5.6</v>
      </c>
      <c r="I14" s="6">
        <v>5.7</v>
      </c>
      <c r="J14" s="6">
        <v>7.9</v>
      </c>
      <c r="K14" s="6">
        <v>5.3</v>
      </c>
      <c r="L14" s="6">
        <v>5.9</v>
      </c>
      <c r="M14" s="6">
        <v>4.4000000000000004</v>
      </c>
      <c r="N14" s="6">
        <v>4.5</v>
      </c>
      <c r="O14" s="6">
        <v>4.4000000000000004</v>
      </c>
      <c r="P14" s="6">
        <v>4.8</v>
      </c>
      <c r="Q14" s="6">
        <v>4.4000000000000004</v>
      </c>
      <c r="R14" s="6">
        <v>5.0999999999999996</v>
      </c>
      <c r="S14" s="6">
        <v>4.7</v>
      </c>
      <c r="T14" s="6">
        <v>4.5</v>
      </c>
      <c r="U14" s="6">
        <v>6.2</v>
      </c>
      <c r="V14" s="6">
        <v>5.7</v>
      </c>
      <c r="W14" s="6">
        <v>5.0999999999999996</v>
      </c>
      <c r="X14" s="6">
        <v>3</v>
      </c>
      <c r="Y14" s="6">
        <v>3.4</v>
      </c>
    </row>
    <row r="15" spans="1:25" ht="15" customHeight="1">
      <c r="A15" s="7" t="s">
        <v>5</v>
      </c>
      <c r="B15" s="6">
        <v>1.1000000000000001</v>
      </c>
      <c r="C15" s="6">
        <v>1.7</v>
      </c>
      <c r="D15" s="6">
        <v>1.9</v>
      </c>
      <c r="E15" s="6">
        <v>2.8</v>
      </c>
      <c r="F15" s="6">
        <v>2.5</v>
      </c>
      <c r="G15" s="6">
        <v>2.4</v>
      </c>
      <c r="H15" s="6">
        <v>2.4</v>
      </c>
      <c r="I15" s="6">
        <v>1.8</v>
      </c>
      <c r="J15" s="6">
        <v>3.1</v>
      </c>
      <c r="K15" s="6">
        <v>2.2999999999999998</v>
      </c>
      <c r="L15" s="6">
        <v>2.1</v>
      </c>
      <c r="M15" s="6">
        <v>2.1</v>
      </c>
      <c r="N15" s="6">
        <v>1.9</v>
      </c>
      <c r="O15" s="6">
        <v>2.2999999999999998</v>
      </c>
      <c r="P15" s="6">
        <v>2.2000000000000002</v>
      </c>
      <c r="Q15" s="6">
        <v>1.8</v>
      </c>
      <c r="R15" s="6">
        <v>1.9</v>
      </c>
      <c r="S15" s="6">
        <v>2.1</v>
      </c>
      <c r="T15" s="6">
        <v>2.2000000000000002</v>
      </c>
      <c r="U15" s="6">
        <v>2.9</v>
      </c>
      <c r="V15" s="6">
        <v>2.7</v>
      </c>
      <c r="W15" s="6">
        <v>2.2000000000000002</v>
      </c>
      <c r="X15" s="6">
        <v>2</v>
      </c>
      <c r="Y15" s="6">
        <v>1.6</v>
      </c>
    </row>
    <row r="16" spans="1:25" ht="15" customHeight="1">
      <c r="A16" s="7" t="s">
        <v>4</v>
      </c>
      <c r="B16" s="6">
        <v>1.8</v>
      </c>
      <c r="C16" s="6">
        <v>3</v>
      </c>
      <c r="D16" s="6">
        <v>3.4</v>
      </c>
      <c r="E16" s="6">
        <v>3.1</v>
      </c>
      <c r="F16" s="6">
        <v>3.3</v>
      </c>
      <c r="G16" s="6">
        <v>2</v>
      </c>
      <c r="H16" s="6">
        <v>2</v>
      </c>
      <c r="I16" s="6">
        <v>2.8</v>
      </c>
      <c r="J16" s="6">
        <v>3.7</v>
      </c>
      <c r="K16" s="6">
        <v>2.7</v>
      </c>
      <c r="L16" s="6">
        <v>3.1</v>
      </c>
      <c r="M16" s="6">
        <v>2.8</v>
      </c>
      <c r="N16" s="6">
        <v>2.7</v>
      </c>
      <c r="O16" s="6">
        <v>2.4</v>
      </c>
      <c r="P16" s="6">
        <v>3.3</v>
      </c>
      <c r="Q16" s="6">
        <v>3.1</v>
      </c>
      <c r="R16" s="6">
        <v>3.2</v>
      </c>
      <c r="S16" s="6">
        <v>3</v>
      </c>
      <c r="T16" s="6">
        <v>3.4</v>
      </c>
      <c r="U16" s="6">
        <v>3.9</v>
      </c>
      <c r="V16" s="6">
        <v>3.2</v>
      </c>
      <c r="W16" s="6">
        <v>3.6</v>
      </c>
      <c r="X16" s="6">
        <v>2.7</v>
      </c>
      <c r="Y16" s="6">
        <v>2.6</v>
      </c>
    </row>
    <row r="17" spans="1:25" ht="15" customHeight="1">
      <c r="A17" s="7" t="s">
        <v>3</v>
      </c>
      <c r="B17" s="6">
        <v>4.3</v>
      </c>
      <c r="C17" s="6">
        <v>4.9000000000000004</v>
      </c>
      <c r="D17" s="6">
        <v>5.7</v>
      </c>
      <c r="E17" s="6">
        <v>5.9</v>
      </c>
      <c r="F17" s="6">
        <v>5.2</v>
      </c>
      <c r="G17" s="6">
        <v>4.8</v>
      </c>
      <c r="H17" s="6">
        <v>4.8</v>
      </c>
      <c r="I17" s="6">
        <v>4.2</v>
      </c>
      <c r="J17" s="6">
        <v>6.4</v>
      </c>
      <c r="K17" s="6">
        <v>4.9000000000000004</v>
      </c>
      <c r="L17" s="6">
        <v>4.8</v>
      </c>
      <c r="M17" s="6">
        <v>4.8</v>
      </c>
      <c r="N17" s="6">
        <v>5.3</v>
      </c>
      <c r="O17" s="6">
        <v>5.7</v>
      </c>
      <c r="P17" s="6">
        <v>5.9</v>
      </c>
      <c r="Q17" s="6">
        <v>3.7</v>
      </c>
      <c r="R17" s="6">
        <v>5.3</v>
      </c>
      <c r="S17" s="6">
        <v>2.6</v>
      </c>
      <c r="T17" s="6">
        <v>5.7</v>
      </c>
      <c r="U17" s="6">
        <v>6.7</v>
      </c>
      <c r="V17" s="6">
        <v>4.4000000000000004</v>
      </c>
      <c r="W17" s="6">
        <v>3.5</v>
      </c>
      <c r="X17" s="6">
        <v>2.9</v>
      </c>
      <c r="Y17" s="6">
        <v>2.5</v>
      </c>
    </row>
    <row r="18" spans="1:25" ht="15" customHeight="1">
      <c r="A18" s="7" t="s">
        <v>2</v>
      </c>
      <c r="B18" s="6">
        <v>3.1</v>
      </c>
      <c r="C18" s="6">
        <v>5</v>
      </c>
      <c r="D18" s="6">
        <v>4.2</v>
      </c>
      <c r="E18" s="6">
        <v>6</v>
      </c>
      <c r="F18" s="6">
        <v>4.5999999999999996</v>
      </c>
      <c r="G18" s="6">
        <v>3.7</v>
      </c>
      <c r="H18" s="6">
        <v>3.7</v>
      </c>
      <c r="I18" s="6">
        <v>3.7</v>
      </c>
      <c r="J18" s="6">
        <v>6.2</v>
      </c>
      <c r="K18" s="6">
        <v>4.0999999999999996</v>
      </c>
      <c r="L18" s="6">
        <v>3.5</v>
      </c>
      <c r="M18" s="6">
        <v>3.1</v>
      </c>
      <c r="N18" s="6">
        <v>3.9</v>
      </c>
      <c r="O18" s="6">
        <v>3.1</v>
      </c>
      <c r="P18" s="6">
        <v>2.6</v>
      </c>
      <c r="Q18" s="6">
        <v>3.2</v>
      </c>
      <c r="R18" s="6">
        <v>2.9</v>
      </c>
      <c r="S18" s="6">
        <v>2.7</v>
      </c>
      <c r="T18" s="6">
        <v>3.3</v>
      </c>
      <c r="U18" s="6">
        <v>5.7</v>
      </c>
      <c r="V18" s="6">
        <v>3.5</v>
      </c>
      <c r="W18" s="6">
        <v>3.1</v>
      </c>
      <c r="X18" s="6">
        <v>2.2000000000000002</v>
      </c>
      <c r="Y18" s="6">
        <v>2.2000000000000002</v>
      </c>
    </row>
    <row r="19" spans="1:25" ht="15" customHeight="1">
      <c r="A19" s="5" t="s">
        <v>19</v>
      </c>
      <c r="B19" s="4">
        <v>2.9</v>
      </c>
      <c r="C19" s="4">
        <v>4.8</v>
      </c>
      <c r="D19" s="4">
        <v>4.2</v>
      </c>
      <c r="E19" s="4">
        <v>2.6</v>
      </c>
      <c r="F19" s="4">
        <v>2.9</v>
      </c>
      <c r="G19" s="4">
        <v>3.9</v>
      </c>
      <c r="H19" s="4">
        <v>3.9</v>
      </c>
      <c r="I19" s="4">
        <v>3.7</v>
      </c>
      <c r="J19" s="4">
        <v>5.2</v>
      </c>
      <c r="K19" s="4">
        <v>3.2</v>
      </c>
      <c r="L19" s="4">
        <v>2.7</v>
      </c>
      <c r="M19" s="4">
        <v>2.1</v>
      </c>
      <c r="N19" s="4">
        <v>3.5</v>
      </c>
      <c r="O19" s="4">
        <v>4</v>
      </c>
      <c r="P19" s="4">
        <v>4.5</v>
      </c>
      <c r="Q19" s="4">
        <v>7.1</v>
      </c>
      <c r="R19" s="4">
        <v>5.8</v>
      </c>
      <c r="S19" s="4">
        <v>5.4</v>
      </c>
      <c r="T19" s="4">
        <v>6.5</v>
      </c>
      <c r="U19" s="4">
        <v>8.3000000000000007</v>
      </c>
      <c r="V19" s="4">
        <v>5</v>
      </c>
      <c r="W19" s="4">
        <v>3.8</v>
      </c>
      <c r="X19" s="4">
        <v>1.3</v>
      </c>
      <c r="Y19" s="4">
        <v>2.2000000000000002</v>
      </c>
    </row>
    <row r="20" spans="1:25" ht="15" customHeight="1">
      <c r="V20" s="3"/>
      <c r="W20" s="3"/>
      <c r="X20" s="3"/>
      <c r="Y20" s="3" t="s">
        <v>1</v>
      </c>
    </row>
    <row r="21" spans="1:25" ht="15" customHeight="1">
      <c r="A21" s="2" t="s">
        <v>0</v>
      </c>
    </row>
    <row r="22" spans="1:25" ht="15" customHeight="1">
      <c r="A22" s="1" t="s">
        <v>21</v>
      </c>
    </row>
    <row r="23" spans="1:25" ht="15" customHeight="1">
      <c r="A23" s="1" t="s">
        <v>22</v>
      </c>
    </row>
    <row r="24" spans="1:25" ht="15" customHeight="1">
      <c r="A24" s="1" t="s">
        <v>23</v>
      </c>
    </row>
    <row r="25" spans="1:25" ht="15" customHeight="1">
      <c r="A25" s="1" t="s">
        <v>24</v>
      </c>
    </row>
    <row r="26" spans="1:25" ht="15" customHeight="1">
      <c r="A26" s="1" t="s">
        <v>27</v>
      </c>
    </row>
    <row r="27" spans="1:25" ht="15" customHeight="1">
      <c r="A27" s="1" t="s">
        <v>25</v>
      </c>
    </row>
    <row r="28" spans="1:25" ht="15" customHeight="1">
      <c r="A28" s="1" t="s">
        <v>26</v>
      </c>
    </row>
    <row r="29" spans="1:25" ht="15" customHeight="1">
      <c r="A29" s="1" t="s">
        <v>20</v>
      </c>
    </row>
  </sheetData>
  <mergeCells count="1">
    <mergeCell ref="A1:X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FB5B-45FF-C54F-A3C9-C9B3B8C1D441}">
  <dimension ref="A1:Z16"/>
  <sheetViews>
    <sheetView zoomScale="115" workbookViewId="0">
      <pane xSplit="1" ySplit="1" topLeftCell="U2" activePane="bottomRight" state="frozen"/>
      <selection pane="topRight" activeCell="B1" sqref="B1"/>
      <selection pane="bottomLeft" activeCell="A5" sqref="A5"/>
      <selection pane="bottomRight" activeCell="U20" sqref="U20"/>
    </sheetView>
  </sheetViews>
  <sheetFormatPr baseColWidth="10" defaultColWidth="8.796875" defaultRowHeight="15" customHeight="1"/>
  <cols>
    <col min="1" max="1" width="63.19921875" style="1" customWidth="1"/>
    <col min="2" max="12" width="6.796875" style="1" customWidth="1"/>
    <col min="13" max="13" width="52.59765625" style="1" bestFit="1" customWidth="1"/>
    <col min="14" max="20" width="6.796875" style="1" customWidth="1"/>
    <col min="21" max="21" width="8.796875" style="1"/>
    <col min="22" max="22" width="13.19921875" style="1" bestFit="1" customWidth="1"/>
    <col min="23" max="23" width="12.796875" style="1" bestFit="1" customWidth="1"/>
    <col min="24" max="24" width="11" style="1" bestFit="1" customWidth="1"/>
    <col min="25" max="16384" width="8.796875" style="1"/>
  </cols>
  <sheetData>
    <row r="1" spans="1:26" ht="15" customHeight="1">
      <c r="A1" s="8" t="s">
        <v>28</v>
      </c>
      <c r="B1" s="8">
        <v>2001</v>
      </c>
      <c r="C1" s="8">
        <v>2002</v>
      </c>
      <c r="D1" s="8">
        <v>2003</v>
      </c>
      <c r="E1" s="8">
        <v>2004</v>
      </c>
      <c r="F1" s="8">
        <v>2006</v>
      </c>
      <c r="G1" s="8">
        <v>2007</v>
      </c>
      <c r="H1" s="8">
        <v>2007</v>
      </c>
      <c r="I1" s="8">
        <v>2008</v>
      </c>
      <c r="J1" s="8">
        <v>2009</v>
      </c>
      <c r="K1" s="8">
        <v>2010</v>
      </c>
      <c r="L1" s="8">
        <v>2011</v>
      </c>
      <c r="M1" s="8">
        <v>2012</v>
      </c>
      <c r="N1" s="8">
        <v>2013</v>
      </c>
      <c r="O1" s="8">
        <v>2014</v>
      </c>
      <c r="P1" s="8">
        <v>2015</v>
      </c>
      <c r="Q1" s="8">
        <v>2016</v>
      </c>
      <c r="R1" s="8">
        <v>2017</v>
      </c>
      <c r="S1" s="8">
        <v>2018</v>
      </c>
      <c r="T1" s="8">
        <v>2019</v>
      </c>
      <c r="U1" s="1" t="s">
        <v>47</v>
      </c>
      <c r="V1" s="1" t="s">
        <v>46</v>
      </c>
      <c r="W1" s="1" t="s">
        <v>48</v>
      </c>
      <c r="X1" s="1" t="s">
        <v>49</v>
      </c>
      <c r="Y1" s="1" t="s">
        <v>30</v>
      </c>
    </row>
    <row r="2" spans="1:26" ht="15" customHeight="1">
      <c r="A2" s="10" t="s">
        <v>31</v>
      </c>
      <c r="B2" s="6">
        <v>2.9</v>
      </c>
      <c r="C2" s="6">
        <v>4.8</v>
      </c>
      <c r="D2" s="6">
        <v>4.2</v>
      </c>
      <c r="E2" s="6">
        <v>2.6</v>
      </c>
      <c r="F2" s="6">
        <v>2.9</v>
      </c>
      <c r="G2" s="6">
        <v>3.9</v>
      </c>
      <c r="H2" s="6">
        <v>3.9</v>
      </c>
      <c r="I2" s="6">
        <v>3.7</v>
      </c>
      <c r="J2" s="6">
        <v>5.2</v>
      </c>
      <c r="K2" s="6">
        <v>3.2</v>
      </c>
      <c r="L2" s="6">
        <v>2.7</v>
      </c>
      <c r="M2" s="6">
        <v>2.1</v>
      </c>
      <c r="N2" s="6">
        <v>3.5</v>
      </c>
      <c r="O2" s="6">
        <v>4</v>
      </c>
      <c r="P2" s="6">
        <v>4.5</v>
      </c>
      <c r="Q2" s="6">
        <v>7.1</v>
      </c>
      <c r="R2" s="6">
        <v>5.8</v>
      </c>
      <c r="S2" s="6">
        <v>5.4</v>
      </c>
      <c r="T2" s="6">
        <v>6.5</v>
      </c>
      <c r="U2" s="1" cm="1">
        <f t="array" ref="U2:V2">LINEST(B2:T2,$B$1:$T$1)</f>
        <v>0.13614331876069188</v>
      </c>
      <c r="V2" s="1">
        <v>-269.50977000570236</v>
      </c>
      <c r="W2" s="1">
        <f>V2+2020*U2</f>
        <v>5.4997338908952429</v>
      </c>
      <c r="X2" s="1">
        <v>8.3000000000000007</v>
      </c>
      <c r="Y2" s="1">
        <f>X2-W2</f>
        <v>2.8002661091047578</v>
      </c>
      <c r="Z2" s="1">
        <f>Y2/100</f>
        <v>2.8002661091047577E-2</v>
      </c>
    </row>
    <row r="3" spans="1:26" ht="15" customHeight="1">
      <c r="A3" s="10" t="s">
        <v>32</v>
      </c>
      <c r="B3" s="6">
        <v>3.9</v>
      </c>
      <c r="C3" s="6">
        <v>5.7</v>
      </c>
      <c r="D3" s="6">
        <v>5.4</v>
      </c>
      <c r="E3" s="6">
        <v>5.4</v>
      </c>
      <c r="F3" s="6">
        <v>3.9</v>
      </c>
      <c r="G3" s="6">
        <v>3.8</v>
      </c>
      <c r="H3" s="6">
        <v>3.8</v>
      </c>
      <c r="I3" s="6">
        <v>3.8</v>
      </c>
      <c r="J3" s="6">
        <v>6.4</v>
      </c>
      <c r="K3" s="6">
        <v>3.9</v>
      </c>
      <c r="L3" s="6">
        <v>3.7</v>
      </c>
      <c r="M3" s="6">
        <v>3.7</v>
      </c>
      <c r="N3" s="6">
        <v>3.6</v>
      </c>
      <c r="O3" s="6">
        <v>3</v>
      </c>
      <c r="P3" s="6">
        <v>3.1</v>
      </c>
      <c r="Q3" s="6">
        <v>4.2</v>
      </c>
      <c r="R3" s="6">
        <v>4.0999999999999996</v>
      </c>
      <c r="S3" s="6">
        <v>3.1</v>
      </c>
      <c r="T3" s="6">
        <v>4</v>
      </c>
      <c r="U3" s="1" cm="1">
        <f t="array" ref="U3:V3">LINEST(B3:T3,$B$1:$T$1)</f>
        <v>-8.5706139517202073E-2</v>
      </c>
      <c r="V3" s="1">
        <v>176.40994107584112</v>
      </c>
      <c r="W3" s="1">
        <f t="shared" ref="W3:W16" si="0">V3+2020*U3</f>
        <v>3.2835392510929182</v>
      </c>
      <c r="X3" s="1">
        <v>4.3</v>
      </c>
      <c r="Y3" s="1">
        <f t="shared" ref="Y3:Y16" si="1">X3-W3</f>
        <v>1.0164607489070816</v>
      </c>
      <c r="Z3" s="1">
        <f t="shared" ref="Z3:Z16" si="2">Y3/100</f>
        <v>1.0164607489070816E-2</v>
      </c>
    </row>
    <row r="4" spans="1:26" ht="15" customHeight="1">
      <c r="A4" s="10" t="s">
        <v>33</v>
      </c>
      <c r="B4" s="6">
        <v>5.2</v>
      </c>
      <c r="C4" s="6">
        <v>7.7</v>
      </c>
      <c r="D4" s="6">
        <v>7.5</v>
      </c>
      <c r="E4" s="6">
        <v>7.5</v>
      </c>
      <c r="F4" s="6">
        <v>5</v>
      </c>
      <c r="G4" s="6">
        <v>3.6</v>
      </c>
      <c r="H4" s="6">
        <v>3.7</v>
      </c>
      <c r="I4" s="6">
        <v>2.8</v>
      </c>
      <c r="J4" s="6">
        <v>4.0999999999999996</v>
      </c>
      <c r="K4" s="6">
        <v>3.7</v>
      </c>
      <c r="L4" s="6">
        <v>2.8</v>
      </c>
      <c r="M4" s="6">
        <v>2.8</v>
      </c>
      <c r="N4" s="6">
        <v>2.5</v>
      </c>
      <c r="O4" s="6">
        <v>2.5</v>
      </c>
      <c r="P4" s="6">
        <v>2.4</v>
      </c>
      <c r="Q4" s="6">
        <v>3.5</v>
      </c>
      <c r="R4" s="6">
        <v>3.7</v>
      </c>
      <c r="S4" s="6">
        <v>3.4</v>
      </c>
      <c r="T4" s="6">
        <v>3.1</v>
      </c>
      <c r="U4" s="1" cm="1">
        <f t="array" ref="U4:V4">LINEST(B4:T4,$B$1:$T$1)</f>
        <v>-0.22708610530317425</v>
      </c>
      <c r="V4" s="1">
        <v>460.54592282835949</v>
      </c>
      <c r="W4" s="1">
        <f t="shared" si="0"/>
        <v>1.8319901159475194</v>
      </c>
      <c r="X4" s="1">
        <v>5.4</v>
      </c>
      <c r="Y4" s="1">
        <f t="shared" si="1"/>
        <v>3.568009884052481</v>
      </c>
      <c r="Z4" s="1">
        <f t="shared" si="2"/>
        <v>3.568009884052481E-2</v>
      </c>
    </row>
    <row r="5" spans="1:26" ht="15" customHeight="1">
      <c r="A5" s="10" t="s">
        <v>34</v>
      </c>
      <c r="B5" s="6">
        <v>3.8</v>
      </c>
      <c r="C5" s="6">
        <v>5.5</v>
      </c>
      <c r="D5" s="6">
        <v>6.1</v>
      </c>
      <c r="E5" s="6">
        <v>5.6</v>
      </c>
      <c r="F5" s="6">
        <v>4.8</v>
      </c>
      <c r="G5" s="6">
        <v>3.6</v>
      </c>
      <c r="H5" s="6">
        <v>3.6</v>
      </c>
      <c r="I5" s="6">
        <v>4.0999999999999996</v>
      </c>
      <c r="J5" s="6">
        <v>5.4</v>
      </c>
      <c r="K5" s="6">
        <v>4.2</v>
      </c>
      <c r="L5" s="6">
        <v>3.8</v>
      </c>
      <c r="M5" s="6">
        <v>3.7</v>
      </c>
      <c r="N5" s="6">
        <v>4</v>
      </c>
      <c r="O5" s="6">
        <v>3.5</v>
      </c>
      <c r="P5" s="6">
        <v>3.7</v>
      </c>
      <c r="Q5" s="6">
        <v>3.6</v>
      </c>
      <c r="R5" s="6">
        <v>3.5</v>
      </c>
      <c r="S5" s="6">
        <v>3.1</v>
      </c>
      <c r="T5" s="6">
        <v>3</v>
      </c>
      <c r="U5" s="1" cm="1">
        <f t="array" ref="U5:V5">LINEST(B5:T5,$B$1:$T$1)</f>
        <v>-0.11479756700247094</v>
      </c>
      <c r="V5" s="1">
        <v>234.89203573465107</v>
      </c>
      <c r="W5" s="1">
        <f t="shared" si="0"/>
        <v>3.0009503896597778</v>
      </c>
      <c r="X5" s="1">
        <v>4.2</v>
      </c>
      <c r="Y5" s="1">
        <f t="shared" si="1"/>
        <v>1.1990496103402224</v>
      </c>
      <c r="Z5" s="1">
        <f t="shared" si="2"/>
        <v>1.1990496103402224E-2</v>
      </c>
    </row>
    <row r="6" spans="1:26" ht="15" customHeight="1">
      <c r="A6" s="10" t="s">
        <v>35</v>
      </c>
      <c r="B6" s="6">
        <v>2.8</v>
      </c>
      <c r="C6" s="6">
        <v>4.5</v>
      </c>
      <c r="D6" s="6">
        <v>5.7</v>
      </c>
      <c r="E6" s="6">
        <v>5.2</v>
      </c>
      <c r="F6" s="6">
        <v>3.5</v>
      </c>
      <c r="G6" s="6">
        <v>3.3</v>
      </c>
      <c r="H6" s="6">
        <v>3.3</v>
      </c>
      <c r="I6" s="6">
        <v>3.1</v>
      </c>
      <c r="J6" s="6">
        <v>4.7</v>
      </c>
      <c r="K6" s="6">
        <v>3.1</v>
      </c>
      <c r="L6" s="6">
        <v>3.3</v>
      </c>
      <c r="M6" s="6">
        <v>2.8</v>
      </c>
      <c r="N6" s="6">
        <v>3.4</v>
      </c>
      <c r="O6" s="6">
        <v>3.8</v>
      </c>
      <c r="P6" s="6">
        <v>2.8</v>
      </c>
      <c r="Q6" s="6">
        <v>3.6</v>
      </c>
      <c r="R6" s="6">
        <v>3.7</v>
      </c>
      <c r="S6" s="6">
        <v>3.8</v>
      </c>
      <c r="T6" s="6">
        <v>3.6</v>
      </c>
      <c r="U6" s="1" cm="1">
        <f t="array" ref="U6:V6">LINEST(B6:T6,$B$1:$T$1)</f>
        <v>-4.6531077741874184E-2</v>
      </c>
      <c r="V6" s="1">
        <v>97.216574795666261</v>
      </c>
      <c r="W6" s="1">
        <f t="shared" si="0"/>
        <v>3.2237977570804048</v>
      </c>
      <c r="X6" s="1">
        <v>4.5999999999999996</v>
      </c>
      <c r="Y6" s="1">
        <f t="shared" si="1"/>
        <v>1.3762022429195948</v>
      </c>
      <c r="Z6" s="1">
        <f t="shared" si="2"/>
        <v>1.3762022429195948E-2</v>
      </c>
    </row>
    <row r="7" spans="1:26" ht="15" customHeight="1">
      <c r="A7" s="10" t="s">
        <v>36</v>
      </c>
      <c r="B7" s="6">
        <v>5.3</v>
      </c>
      <c r="C7" s="6">
        <v>7.2</v>
      </c>
      <c r="D7" s="6">
        <v>8.3000000000000007</v>
      </c>
      <c r="E7" s="6">
        <v>9</v>
      </c>
      <c r="F7" s="6">
        <v>6.3</v>
      </c>
      <c r="G7" s="6">
        <v>6.3</v>
      </c>
      <c r="H7" s="6">
        <v>6.3</v>
      </c>
      <c r="I7" s="6">
        <v>6.3</v>
      </c>
      <c r="J7" s="6">
        <v>8.8000000000000007</v>
      </c>
      <c r="K7" s="6">
        <v>5.7</v>
      </c>
      <c r="L7" s="6">
        <v>5.9</v>
      </c>
      <c r="M7" s="6">
        <v>6.3</v>
      </c>
      <c r="N7" s="6">
        <v>5.5</v>
      </c>
      <c r="O7" s="6">
        <v>5.7</v>
      </c>
      <c r="P7" s="6">
        <v>5.6</v>
      </c>
      <c r="Q7" s="6">
        <v>5.2</v>
      </c>
      <c r="R7" s="6">
        <v>5.9</v>
      </c>
      <c r="S7" s="6">
        <v>4.5</v>
      </c>
      <c r="T7" s="6">
        <v>6.4</v>
      </c>
      <c r="U7" s="1" cm="1">
        <f t="array" ref="U7:V7">LINEST(B7:T7,$B$1:$T$1)</f>
        <v>-0.11301083444212122</v>
      </c>
      <c r="V7" s="1">
        <v>233.50577836913124</v>
      </c>
      <c r="W7" s="1">
        <f t="shared" si="0"/>
        <v>5.2238927960463855</v>
      </c>
      <c r="X7" s="1">
        <v>8.6999999999999993</v>
      </c>
      <c r="Y7" s="1">
        <f t="shared" si="1"/>
        <v>3.4761072039536138</v>
      </c>
      <c r="Z7" s="1">
        <f t="shared" si="2"/>
        <v>3.4761072039536135E-2</v>
      </c>
    </row>
    <row r="8" spans="1:26" ht="15" customHeight="1">
      <c r="A8" s="10" t="s">
        <v>37</v>
      </c>
      <c r="B8" s="6">
        <v>3.4</v>
      </c>
      <c r="C8" s="6">
        <v>6.9</v>
      </c>
      <c r="D8" s="6">
        <v>7.7</v>
      </c>
      <c r="E8" s="6">
        <v>7.5</v>
      </c>
      <c r="F8" s="6">
        <v>5.6</v>
      </c>
      <c r="G8" s="6">
        <v>3.7</v>
      </c>
      <c r="H8" s="6">
        <v>3.8</v>
      </c>
      <c r="I8" s="6">
        <v>4.3</v>
      </c>
      <c r="J8" s="6">
        <v>6.5</v>
      </c>
      <c r="K8" s="6">
        <v>4.5999999999999996</v>
      </c>
      <c r="L8" s="6">
        <v>4.2</v>
      </c>
      <c r="M8" s="6">
        <v>4.3</v>
      </c>
      <c r="N8" s="6">
        <v>4.0999999999999996</v>
      </c>
      <c r="O8" s="6">
        <v>5</v>
      </c>
      <c r="P8" s="6">
        <v>3.9</v>
      </c>
      <c r="Q8" s="6">
        <v>5.4</v>
      </c>
      <c r="R8" s="6">
        <v>5.8</v>
      </c>
      <c r="S8" s="6">
        <v>5.6</v>
      </c>
      <c r="T8" s="6">
        <v>5.5</v>
      </c>
      <c r="U8" s="1" cm="1">
        <f t="array" ref="U8:V8">LINEST(B8:T8,$B$1:$T$1)</f>
        <v>-4.1703098270290846E-2</v>
      </c>
      <c r="V8" s="1">
        <v>88.974985744155163</v>
      </c>
      <c r="W8" s="1">
        <f t="shared" si="0"/>
        <v>4.7347272381676504</v>
      </c>
      <c r="X8" s="1">
        <v>6.2</v>
      </c>
      <c r="Y8" s="1">
        <f t="shared" si="1"/>
        <v>1.4652727618323498</v>
      </c>
      <c r="Z8" s="1">
        <f t="shared" si="2"/>
        <v>1.4652727618323497E-2</v>
      </c>
    </row>
    <row r="9" spans="1:26" ht="15" customHeight="1">
      <c r="A9" s="10" t="s">
        <v>38</v>
      </c>
      <c r="B9" s="6">
        <v>2.2999999999999998</v>
      </c>
      <c r="C9" s="6">
        <v>4.5999999999999996</v>
      </c>
      <c r="D9" s="6">
        <v>5.3</v>
      </c>
      <c r="E9" s="6">
        <v>4.2</v>
      </c>
      <c r="F9" s="6">
        <v>3.3</v>
      </c>
      <c r="G9" s="6">
        <v>2.4</v>
      </c>
      <c r="H9" s="6">
        <v>2.4</v>
      </c>
      <c r="I9" s="6">
        <v>3.1</v>
      </c>
      <c r="J9" s="6">
        <v>4.7</v>
      </c>
      <c r="K9" s="6">
        <v>4.0999999999999996</v>
      </c>
      <c r="L9" s="6">
        <v>2.5</v>
      </c>
      <c r="M9" s="6">
        <v>3.2</v>
      </c>
      <c r="N9" s="6">
        <v>3.3</v>
      </c>
      <c r="O9" s="6">
        <v>3.4</v>
      </c>
      <c r="P9" s="6">
        <v>3.6</v>
      </c>
      <c r="Q9" s="6">
        <v>3.5</v>
      </c>
      <c r="R9" s="6">
        <v>3.3</v>
      </c>
      <c r="S9" s="6">
        <v>3.4</v>
      </c>
      <c r="T9" s="6">
        <v>3</v>
      </c>
      <c r="U9" s="1" cm="1">
        <f t="array" ref="U9:V9">LINEST(B9:T9,$B$1:$T$1)</f>
        <v>-2.980421973008935E-2</v>
      </c>
      <c r="V9" s="1">
        <v>63.362250522714341</v>
      </c>
      <c r="W9" s="1">
        <f t="shared" si="0"/>
        <v>3.1577266679338507</v>
      </c>
      <c r="X9" s="1">
        <v>3.7</v>
      </c>
      <c r="Y9" s="1">
        <f t="shared" si="1"/>
        <v>0.54227333206614947</v>
      </c>
      <c r="Z9" s="1">
        <f t="shared" si="2"/>
        <v>5.4227333206614946E-3</v>
      </c>
    </row>
    <row r="10" spans="1:26" ht="15" customHeight="1">
      <c r="A10" s="10" t="s">
        <v>39</v>
      </c>
      <c r="B10" s="6">
        <v>2.2999999999999998</v>
      </c>
      <c r="C10" s="6">
        <v>3.1</v>
      </c>
      <c r="D10" s="6">
        <v>3.9</v>
      </c>
      <c r="E10" s="6">
        <v>4.9000000000000004</v>
      </c>
      <c r="F10" s="6">
        <v>3</v>
      </c>
      <c r="G10" s="6">
        <v>2.7</v>
      </c>
      <c r="H10" s="6">
        <v>2.7</v>
      </c>
      <c r="I10" s="6">
        <v>2.6</v>
      </c>
      <c r="J10" s="6">
        <v>3</v>
      </c>
      <c r="K10" s="6">
        <v>2.2999999999999998</v>
      </c>
      <c r="L10" s="6">
        <v>3.3</v>
      </c>
      <c r="M10" s="6">
        <v>1.6</v>
      </c>
      <c r="N10" s="6">
        <v>1.4</v>
      </c>
      <c r="O10" s="6">
        <v>2.5</v>
      </c>
      <c r="P10" s="6">
        <v>2.4</v>
      </c>
      <c r="Q10" s="6">
        <v>2.4</v>
      </c>
      <c r="R10" s="6">
        <v>1.6</v>
      </c>
      <c r="S10" s="6">
        <v>2.7</v>
      </c>
      <c r="T10" s="6">
        <v>3.3</v>
      </c>
      <c r="U10" s="1" cm="1">
        <f t="array" ref="U10:V10">LINEST(B10:T10,$B$1:$T$1)</f>
        <v>-6.2193499334727252E-2</v>
      </c>
      <c r="V10" s="1">
        <v>127.73653297852123</v>
      </c>
      <c r="W10" s="1">
        <f t="shared" si="0"/>
        <v>2.1056643223721778</v>
      </c>
      <c r="X10" s="1">
        <v>3.4</v>
      </c>
      <c r="Y10" s="1">
        <f t="shared" si="1"/>
        <v>1.2943356776278221</v>
      </c>
      <c r="Z10" s="1">
        <f t="shared" si="2"/>
        <v>1.294335677627822E-2</v>
      </c>
    </row>
    <row r="11" spans="1:26" ht="15" customHeight="1">
      <c r="A11" s="10" t="s">
        <v>40</v>
      </c>
      <c r="B11" s="6">
        <v>3.6</v>
      </c>
      <c r="C11" s="6">
        <v>4.9000000000000004</v>
      </c>
      <c r="D11" s="6">
        <v>5.3</v>
      </c>
      <c r="E11" s="6">
        <v>4.2</v>
      </c>
      <c r="F11" s="6">
        <v>2.7</v>
      </c>
      <c r="G11" s="6">
        <v>3.5</v>
      </c>
      <c r="H11" s="6">
        <v>3.5</v>
      </c>
      <c r="I11" s="6">
        <v>3.5</v>
      </c>
      <c r="J11" s="6">
        <v>4.8</v>
      </c>
      <c r="K11" s="6">
        <v>3.2</v>
      </c>
      <c r="L11" s="6">
        <v>3.4</v>
      </c>
      <c r="M11" s="6">
        <v>2.9</v>
      </c>
      <c r="N11" s="6">
        <v>3.3</v>
      </c>
      <c r="O11" s="6">
        <v>3.1</v>
      </c>
      <c r="P11" s="6">
        <v>3.2</v>
      </c>
      <c r="Q11" s="6">
        <v>4.0999999999999996</v>
      </c>
      <c r="R11" s="6">
        <v>3.5</v>
      </c>
      <c r="S11" s="6">
        <v>3.7</v>
      </c>
      <c r="T11" s="6">
        <v>4.3</v>
      </c>
      <c r="U11" s="1" cm="1">
        <f t="array" ref="U11:V11">LINEST(B11:T11,$B$1:$T$1)</f>
        <v>-3.6190838243679919E-2</v>
      </c>
      <c r="V11" s="1">
        <v>76.468447063295969</v>
      </c>
      <c r="W11" s="1">
        <f t="shared" si="0"/>
        <v>3.3629538110625248</v>
      </c>
      <c r="X11" s="1">
        <v>4.3</v>
      </c>
      <c r="Y11" s="1">
        <f t="shared" si="1"/>
        <v>0.93704618893747504</v>
      </c>
      <c r="Z11" s="1">
        <f t="shared" si="2"/>
        <v>9.370461889374751E-3</v>
      </c>
    </row>
    <row r="12" spans="1:26" ht="15" customHeight="1">
      <c r="A12" s="10" t="s">
        <v>41</v>
      </c>
      <c r="B12" s="6">
        <v>5.4</v>
      </c>
      <c r="C12" s="6">
        <v>7.9</v>
      </c>
      <c r="D12" s="6">
        <v>7.3</v>
      </c>
      <c r="E12" s="6">
        <v>7.2</v>
      </c>
      <c r="F12" s="6">
        <v>6.9</v>
      </c>
      <c r="G12" s="6">
        <v>5.5</v>
      </c>
      <c r="H12" s="6">
        <v>5.6</v>
      </c>
      <c r="I12" s="6">
        <v>5.7</v>
      </c>
      <c r="J12" s="6">
        <v>7.9</v>
      </c>
      <c r="K12" s="6">
        <v>5.3</v>
      </c>
      <c r="L12" s="6">
        <v>5.9</v>
      </c>
      <c r="M12" s="6">
        <v>4.4000000000000004</v>
      </c>
      <c r="N12" s="6">
        <v>4.5</v>
      </c>
      <c r="O12" s="6">
        <v>4.4000000000000004</v>
      </c>
      <c r="P12" s="6">
        <v>4.8</v>
      </c>
      <c r="Q12" s="6">
        <v>4.4000000000000004</v>
      </c>
      <c r="R12" s="6">
        <v>5.0999999999999996</v>
      </c>
      <c r="S12" s="6">
        <v>4.7</v>
      </c>
      <c r="T12" s="6">
        <v>4.5</v>
      </c>
      <c r="U12" s="1" cm="1">
        <f t="array" ref="U12:V12">LINEST(B12:T12,$B$1:$T$1)</f>
        <v>-0.15819235886713562</v>
      </c>
      <c r="V12" s="1">
        <v>323.63592472913916</v>
      </c>
      <c r="W12" s="1">
        <f t="shared" si="0"/>
        <v>4.0873598175252255</v>
      </c>
      <c r="X12" s="1">
        <v>6.2</v>
      </c>
      <c r="Y12" s="1">
        <f t="shared" si="1"/>
        <v>2.1126401824747747</v>
      </c>
      <c r="Z12" s="1">
        <f t="shared" si="2"/>
        <v>2.1126401824747745E-2</v>
      </c>
    </row>
    <row r="13" spans="1:26" ht="15" customHeight="1">
      <c r="A13" s="10" t="s">
        <v>42</v>
      </c>
      <c r="B13" s="6">
        <v>1.1000000000000001</v>
      </c>
      <c r="C13" s="6">
        <v>1.7</v>
      </c>
      <c r="D13" s="6">
        <v>1.9</v>
      </c>
      <c r="E13" s="6">
        <v>2.8</v>
      </c>
      <c r="F13" s="6">
        <v>2.5</v>
      </c>
      <c r="G13" s="6">
        <v>2.4</v>
      </c>
      <c r="H13" s="6">
        <v>2.4</v>
      </c>
      <c r="I13" s="6">
        <v>1.8</v>
      </c>
      <c r="J13" s="6">
        <v>3.1</v>
      </c>
      <c r="K13" s="6">
        <v>2.2999999999999998</v>
      </c>
      <c r="L13" s="6">
        <v>2.1</v>
      </c>
      <c r="M13" s="6">
        <v>2.1</v>
      </c>
      <c r="N13" s="6">
        <v>1.9</v>
      </c>
      <c r="O13" s="6">
        <v>2.2999999999999998</v>
      </c>
      <c r="P13" s="6">
        <v>2.2000000000000002</v>
      </c>
      <c r="Q13" s="6">
        <v>1.8</v>
      </c>
      <c r="R13" s="6">
        <v>1.9</v>
      </c>
      <c r="S13" s="6">
        <v>2.1</v>
      </c>
      <c r="T13" s="6">
        <v>2.2000000000000002</v>
      </c>
      <c r="U13" s="1" cm="1">
        <f t="array" ref="U13:V13">LINEST(B13:T13,$B$1:$T$1)</f>
        <v>7.0899068618133542E-3</v>
      </c>
      <c r="V13" s="1">
        <v>-12.114616992967138</v>
      </c>
      <c r="W13" s="1">
        <f t="shared" si="0"/>
        <v>2.2069948678958369</v>
      </c>
      <c r="X13" s="1">
        <v>2.9</v>
      </c>
      <c r="Y13" s="1">
        <f t="shared" si="1"/>
        <v>0.69300513210416304</v>
      </c>
      <c r="Z13" s="1">
        <f t="shared" si="2"/>
        <v>6.9300513210416304E-3</v>
      </c>
    </row>
    <row r="14" spans="1:26" ht="15" customHeight="1">
      <c r="A14" s="10" t="s">
        <v>43</v>
      </c>
      <c r="B14" s="6">
        <v>1.8</v>
      </c>
      <c r="C14" s="6">
        <v>3</v>
      </c>
      <c r="D14" s="6">
        <v>3.4</v>
      </c>
      <c r="E14" s="6">
        <v>3.1</v>
      </c>
      <c r="F14" s="6">
        <v>3.3</v>
      </c>
      <c r="G14" s="6">
        <v>2</v>
      </c>
      <c r="H14" s="6">
        <v>2</v>
      </c>
      <c r="I14" s="6">
        <v>2.8</v>
      </c>
      <c r="J14" s="6">
        <v>3.7</v>
      </c>
      <c r="K14" s="6">
        <v>2.7</v>
      </c>
      <c r="L14" s="6">
        <v>3.1</v>
      </c>
      <c r="M14" s="6">
        <v>2.8</v>
      </c>
      <c r="N14" s="6">
        <v>2.7</v>
      </c>
      <c r="O14" s="6">
        <v>2.4</v>
      </c>
      <c r="P14" s="6">
        <v>3.3</v>
      </c>
      <c r="Q14" s="6">
        <v>3.1</v>
      </c>
      <c r="R14" s="6">
        <v>3.2</v>
      </c>
      <c r="S14" s="6">
        <v>3</v>
      </c>
      <c r="T14" s="6">
        <v>3.4</v>
      </c>
      <c r="U14" s="1" cm="1">
        <f t="array" ref="U14:V14">LINEST(B14:T14,$B$1:$T$1)</f>
        <v>2.8226572894886903E-2</v>
      </c>
      <c r="V14" s="1">
        <v>-53.85417221060635</v>
      </c>
      <c r="W14" s="1">
        <f t="shared" si="0"/>
        <v>3.1635050370651925</v>
      </c>
      <c r="X14" s="1">
        <v>3.9</v>
      </c>
      <c r="Y14" s="1">
        <f t="shared" si="1"/>
        <v>0.73649496293480743</v>
      </c>
      <c r="Z14" s="1">
        <f t="shared" si="2"/>
        <v>7.3649496293480745E-3</v>
      </c>
    </row>
    <row r="15" spans="1:26" ht="15" customHeight="1">
      <c r="A15" s="10" t="s">
        <v>44</v>
      </c>
      <c r="B15" s="6">
        <v>4.3</v>
      </c>
      <c r="C15" s="6">
        <v>4.9000000000000004</v>
      </c>
      <c r="D15" s="6">
        <v>5.7</v>
      </c>
      <c r="E15" s="6">
        <v>5.9</v>
      </c>
      <c r="F15" s="6">
        <v>5.2</v>
      </c>
      <c r="G15" s="6">
        <v>4.8</v>
      </c>
      <c r="H15" s="6">
        <v>4.8</v>
      </c>
      <c r="I15" s="6">
        <v>4.2</v>
      </c>
      <c r="J15" s="6">
        <v>6.4</v>
      </c>
      <c r="K15" s="6">
        <v>4.9000000000000004</v>
      </c>
      <c r="L15" s="6">
        <v>4.8</v>
      </c>
      <c r="M15" s="6">
        <v>4.8</v>
      </c>
      <c r="N15" s="6">
        <v>5.3</v>
      </c>
      <c r="O15" s="6">
        <v>5.7</v>
      </c>
      <c r="P15" s="6">
        <v>5.9</v>
      </c>
      <c r="Q15" s="6">
        <v>3.7</v>
      </c>
      <c r="R15" s="6">
        <v>5.3</v>
      </c>
      <c r="S15" s="6">
        <v>2.6</v>
      </c>
      <c r="T15" s="6">
        <v>5.7</v>
      </c>
      <c r="U15" s="1" cm="1">
        <f t="array" ref="U15:V15">LINEST(B15:T15,$B$1:$T$1)</f>
        <v>-2.453906101501617E-2</v>
      </c>
      <c r="V15" s="1">
        <v>54.320832541341979</v>
      </c>
      <c r="W15" s="1">
        <f t="shared" si="0"/>
        <v>4.7519292910093185</v>
      </c>
      <c r="X15" s="1">
        <v>6.7</v>
      </c>
      <c r="Y15" s="1">
        <f t="shared" si="1"/>
        <v>1.9480707089906817</v>
      </c>
      <c r="Z15" s="1">
        <f t="shared" si="2"/>
        <v>1.9480707089906818E-2</v>
      </c>
    </row>
    <row r="16" spans="1:26" ht="15" customHeight="1">
      <c r="A16" s="10" t="s">
        <v>45</v>
      </c>
      <c r="B16" s="6">
        <v>3.1</v>
      </c>
      <c r="C16" s="6">
        <v>5</v>
      </c>
      <c r="D16" s="6">
        <v>4.2</v>
      </c>
      <c r="E16" s="6">
        <v>6</v>
      </c>
      <c r="F16" s="6">
        <v>4.5999999999999996</v>
      </c>
      <c r="G16" s="6">
        <v>3.7</v>
      </c>
      <c r="H16" s="6">
        <v>3.7</v>
      </c>
      <c r="I16" s="6">
        <v>3.7</v>
      </c>
      <c r="J16" s="6">
        <v>6.2</v>
      </c>
      <c r="K16" s="6">
        <v>4.0999999999999996</v>
      </c>
      <c r="L16" s="6">
        <v>3.5</v>
      </c>
      <c r="M16" s="6">
        <v>3.1</v>
      </c>
      <c r="N16" s="6">
        <v>3.9</v>
      </c>
      <c r="O16" s="6">
        <v>3.1</v>
      </c>
      <c r="P16" s="6">
        <v>2.6</v>
      </c>
      <c r="Q16" s="6">
        <v>3.2</v>
      </c>
      <c r="R16" s="6">
        <v>2.9</v>
      </c>
      <c r="S16" s="6">
        <v>2.7</v>
      </c>
      <c r="T16" s="6">
        <v>3.3</v>
      </c>
      <c r="U16" s="1" cm="1">
        <f t="array" ref="U16:V16">LINEST(B16:T16,$B$1:$T$1)</f>
        <v>-0.10390610150161571</v>
      </c>
      <c r="V16" s="1">
        <v>212.6832541341951</v>
      </c>
      <c r="W16" s="1">
        <f t="shared" si="0"/>
        <v>2.7929291009313602</v>
      </c>
      <c r="X16" s="1">
        <v>5.7</v>
      </c>
      <c r="Y16" s="1">
        <f t="shared" si="1"/>
        <v>2.90707089906864</v>
      </c>
      <c r="Z16" s="1">
        <f t="shared" si="2"/>
        <v>2.9070708990686402E-2</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2025-01-27T04:00:00+00:00</iMAS_PublishDateTime>
    <_dlc_DocId xmlns="e5775c44-5034-46ee-b1b0-8650967f43ea">4XQ4D5TRQRHF-1623496119-2294</_dlc_DocId>
    <_dlc_DocIdUrl xmlns="e5775c44-5034-46ee-b1b0-8650967f43ea">
      <Url>http://stats.mom.gov.sg/_layouts/15/DocIdRedir.aspx?ID=4XQ4D5TRQRHF-1623496119-2294</Url>
      <Description>4XQ4D5TRQRHF-1623496119-2294</Description>
    </_dlc_DocIdUrl>
    <_dlc_DocIdPersistId xmlns="e5775c44-5034-46ee-b1b0-8650967f43ea">false</_dlc_DocIdPersistId>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274B14-B804-42B6-A5C5-1354D994904E}">
  <ds:schemaRefs>
    <ds:schemaRef ds:uri="http://schemas.microsoft.com/sharepoint/events"/>
  </ds:schemaRefs>
</ds:datastoreItem>
</file>

<file path=customXml/itemProps2.xml><?xml version="1.0" encoding="utf-8"?>
<ds:datastoreItem xmlns:ds="http://schemas.openxmlformats.org/officeDocument/2006/customXml" ds:itemID="{5B452299-0958-4538-8BE4-7865E777E4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775c44-5034-46ee-b1b0-8650967f43ea"/>
    <ds:schemaRef ds:uri="34e1e7f4-1fc7-4644-a9e8-08ea5cae6a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440ADA-BE72-44E8-A17B-9E85CF2F0053}">
  <ds:schemaRefs>
    <ds:schemaRef ds:uri="http://schemas.microsoft.com/office/2006/metadata/properties"/>
    <ds:schemaRef ds:uri="http://schemas.microsoft.com/office/infopath/2007/PartnerControls"/>
    <ds:schemaRef ds:uri="34e1e7f4-1fc7-4644-a9e8-08ea5cae6a7f"/>
    <ds:schemaRef ds:uri="e5775c44-5034-46ee-b1b0-8650967f43ea"/>
  </ds:schemaRefs>
</ds:datastoreItem>
</file>

<file path=customXml/itemProps4.xml><?xml version="1.0" encoding="utf-8"?>
<ds:datastoreItem xmlns:ds="http://schemas.openxmlformats.org/officeDocument/2006/customXml" ds:itemID="{1325F928-625F-4966-A80B-9538946102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UR RES IND</vt:lpstr>
      <vt:lpstr>unemployment_data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2025-01-27T04:02:08Z</dcterms:created>
  <dcterms:modified xsi:type="dcterms:W3CDTF">2025-10-30T01:12:06Z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2025-01-27T04:02:16Z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d15ab728-0dad-4e46-9015-cd75a2e74927</vt:lpwstr>
  </property>
  <property fmtid="{D5CDD505-2E9C-101B-9397-08002B2CF9AE}" pid="8" name="MSIP_Label_5434c4c7-833e-41e4-b0ab-cdb227a2f6f7_ContentBits">
    <vt:lpwstr>0</vt:lpwstr>
  </property>
  <property fmtid="{D5CDD505-2E9C-101B-9397-08002B2CF9AE}" pid="9" name="ContentTypeId">
    <vt:lpwstr>0x01010061D1B60B48AE2C4381B419F34A85A18B</vt:lpwstr>
  </property>
  <property fmtid="{D5CDD505-2E9C-101B-9397-08002B2CF9AE}" pid="10" name="iMAS_Searchable">
    <vt:bool>false</vt:bool>
  </property>
  <property fmtid="{D5CDD505-2E9C-101B-9397-08002B2CF9AE}" pid="11" name="_dlc_DocIdItemGuid">
    <vt:lpwstr>f914e648-1c22-4195-8f82-6e4600e253a7</vt:lpwstr>
  </property>
  <property fmtid="{D5CDD505-2E9C-101B-9397-08002B2CF9AE}" pid="12" name="ReportMaster">
    <vt:lpwstr/>
  </property>
  <property fmtid="{D5CDD505-2E9C-101B-9397-08002B2CF9AE}" pid="13" name="Order">
    <vt:r8>229400</vt:r8>
  </property>
  <property fmtid="{D5CDD505-2E9C-101B-9397-08002B2CF9AE}" pid="14" name="Topic">
    <vt:lpwstr/>
  </property>
  <property fmtid="{D5CDD505-2E9C-101B-9397-08002B2CF9AE}" pid="15" name="iMAS_Keyword">
    <vt:lpwstr/>
  </property>
  <property fmtid="{D5CDD505-2E9C-101B-9397-08002B2CF9AE}" pid="16" name="Year">
    <vt:lpwstr/>
  </property>
  <property fmtid="{D5CDD505-2E9C-101B-9397-08002B2CF9AE}" pid="17" name="xd_Signature">
    <vt:bool>false</vt:bool>
  </property>
  <property fmtid="{D5CDD505-2E9C-101B-9397-08002B2CF9AE}" pid="18" name="xd_ProgID">
    <vt:lpwstr/>
  </property>
  <property fmtid="{D5CDD505-2E9C-101B-9397-08002B2CF9AE}" pid="19" name="_SourceUrl">
    <vt:lpwstr/>
  </property>
  <property fmtid="{D5CDD505-2E9C-101B-9397-08002B2CF9AE}" pid="20" name="_SharedFileIndex">
    <vt:lpwstr/>
  </property>
  <property fmtid="{D5CDD505-2E9C-101B-9397-08002B2CF9AE}" pid="21" name="TaxCatchAll">
    <vt:lpwstr/>
  </property>
  <property fmtid="{D5CDD505-2E9C-101B-9397-08002B2CF9AE}" pid="22" name="TemplateUrl">
    <vt:lpwstr/>
  </property>
  <property fmtid="{D5CDD505-2E9C-101B-9397-08002B2CF9AE}" pid="23" name="iMAS_Description">
    <vt:lpwstr/>
  </property>
  <property fmtid="{D5CDD505-2E9C-101B-9397-08002B2CF9AE}" pid="24" name="Quarter">
    <vt:lpwstr/>
  </property>
  <property fmtid="{D5CDD505-2E9C-101B-9397-08002B2CF9AE}" pid="25" name="ComplianceAssetId">
    <vt:lpwstr/>
  </property>
  <property fmtid="{D5CDD505-2E9C-101B-9397-08002B2CF9AE}" pid="26" name="iMAS_Image_Url">
    <vt:lpwstr/>
  </property>
  <property fmtid="{D5CDD505-2E9C-101B-9397-08002B2CF9AE}" pid="27" name="DocumentType">
    <vt:lpwstr/>
  </property>
  <property fmtid="{D5CDD505-2E9C-101B-9397-08002B2CF9AE}" pid="28" name="iMAS_LongTitle">
    <vt:lpwstr/>
  </property>
  <property fmtid="{D5CDD505-2E9C-101B-9397-08002B2CF9AE}" pid="29" name="iMAS_Notes">
    <vt:lpwstr/>
  </property>
  <property fmtid="{D5CDD505-2E9C-101B-9397-08002B2CF9AE}" pid="30" name="iMAS_Archive">
    <vt:bool>false</vt:bool>
  </property>
</Properties>
</file>