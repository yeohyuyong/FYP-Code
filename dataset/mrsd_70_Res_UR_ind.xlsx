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filterPrivacy="1" defaultThemeVersion="166925"/>
  <xr:revisionPtr revIDLastSave="0" documentId="13_ncr:1_{0D35B925-0222-574D-884C-A1C41FD7A6CE}" xr6:coauthVersionLast="47" xr6:coauthVersionMax="47" xr10:uidLastSave="{00000000-0000-0000-0000-000000000000}"/>
  <bookViews>
    <workbookView xWindow="0" yWindow="600" windowWidth="25600" windowHeight="13920" firstSheet="1" activeTab="4" xr2:uid="{AFEBBCA6-A9F1-4369-85C2-35AD25BA59A0}"/>
  </bookViews>
  <sheets>
    <sheet name="sector_no" sheetId="14" state="hidden" r:id="rId1"/>
    <sheet name="sector_mapping" sheetId="15" state="hidden" r:id="rId2"/>
    <sheet name="2020 resident unemployment rate" sheetId="3" r:id="rId3"/>
    <sheet name="lapi div sector output" sheetId="7" r:id="rId4"/>
    <sheet name="sector inoperability" sheetId="8" r:id="rId5"/>
    <sheet name="sector mapping" sheetId="16" r:id="rId6"/>
    <sheet name="c_star" sheetId="13" r:id="rId7"/>
    <sheet name="A" sheetId="9" r:id="rId8"/>
    <sheet name="2019IOTable" sheetId="6" r:id="rId9"/>
    <sheet name="updated 2019 IO table" sheetId="4" r:id="rId10"/>
    <sheet name="updated 2021 IO table" sheetId="10" r:id="rId11"/>
    <sheet name="updated 2021 IO table (2)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7" i="8"/>
  <c r="C10" i="8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2" i="13"/>
  <c r="E6" i="13"/>
  <c r="E8" i="13"/>
  <c r="E9" i="13"/>
  <c r="E14" i="13"/>
  <c r="E16" i="13"/>
  <c r="E2" i="13"/>
  <c r="D3" i="13"/>
  <c r="E3" i="13" s="1"/>
  <c r="D4" i="13"/>
  <c r="E4" i="13" s="1"/>
  <c r="D5" i="13"/>
  <c r="E5" i="13" s="1"/>
  <c r="D6" i="13"/>
  <c r="D7" i="13"/>
  <c r="E7" i="13" s="1"/>
  <c r="D8" i="13"/>
  <c r="D9" i="13"/>
  <c r="D10" i="13"/>
  <c r="E10" i="13" s="1"/>
  <c r="D11" i="13"/>
  <c r="E11" i="13" s="1"/>
  <c r="D12" i="13"/>
  <c r="E12" i="13" s="1"/>
  <c r="D13" i="13"/>
  <c r="E13" i="13" s="1"/>
  <c r="D14" i="13"/>
  <c r="D15" i="13"/>
  <c r="E15" i="13" s="1"/>
  <c r="D16" i="13"/>
  <c r="D2" i="13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4" i="4"/>
  <c r="C12" i="8" l="1"/>
  <c r="C11" i="8"/>
  <c r="C9" i="8"/>
  <c r="C3" i="8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4" i="4"/>
  <c r="C5" i="8"/>
  <c r="C6" i="8"/>
  <c r="C8" i="8"/>
  <c r="C13" i="8"/>
  <c r="C14" i="8"/>
  <c r="C15" i="8"/>
  <c r="C16" i="8"/>
  <c r="C2" i="8"/>
</calcChain>
</file>

<file path=xl/sharedStrings.xml><?xml version="1.0" encoding="utf-8"?>
<sst xmlns="http://schemas.openxmlformats.org/spreadsheetml/2006/main" count="573" uniqueCount="102">
  <si>
    <t>Agriculture, Fishing, Quarrying, Utilities and Sewerage &amp; Waste Management</t>
  </si>
  <si>
    <t>Manufacturing</t>
  </si>
  <si>
    <t>Construction</t>
  </si>
  <si>
    <t>Wholesale  &amp;  Retail  Trade</t>
  </si>
  <si>
    <t>Transportation  &amp;  Storage</t>
  </si>
  <si>
    <t>Accommodation  &amp;  Food  Services</t>
  </si>
  <si>
    <t>Information  &amp;  Communications</t>
  </si>
  <si>
    <t>Financial  &amp;  Insurance  Services</t>
  </si>
  <si>
    <t>Real  Estate  Services</t>
  </si>
  <si>
    <t>Professional  Services</t>
  </si>
  <si>
    <t>Administrative  &amp;  Support  Services</t>
  </si>
  <si>
    <t>Public  Administration  &amp;  Education</t>
  </si>
  <si>
    <t>Health  &amp;  Social  Services</t>
  </si>
  <si>
    <t>Arts,  Entertainment  &amp;  Recreation</t>
  </si>
  <si>
    <t>Other  Community,  Social  &amp;  Personal  Services</t>
  </si>
  <si>
    <t>Accommodation</t>
  </si>
  <si>
    <t>Real estate</t>
  </si>
  <si>
    <t>Education</t>
  </si>
  <si>
    <t>PURCHASES BY FINAL DEMAND</t>
  </si>
  <si>
    <t>Household and NPISHs final consumption expenditure</t>
  </si>
  <si>
    <t>Government final consumption expenditure</t>
  </si>
  <si>
    <t>Gross fixed capital formation</t>
  </si>
  <si>
    <t xml:space="preserve">Changes in inventories </t>
  </si>
  <si>
    <t>Exports of goods &amp; services</t>
  </si>
  <si>
    <t>Total final output at basic prices</t>
  </si>
  <si>
    <t>Total output at basic prices</t>
  </si>
  <si>
    <t>CT1</t>
  </si>
  <si>
    <t>CT2</t>
  </si>
  <si>
    <t>CT3</t>
  </si>
  <si>
    <t>RT1</t>
  </si>
  <si>
    <t>Total domestic use at basic prices</t>
  </si>
  <si>
    <t>Imports of goods and services</t>
  </si>
  <si>
    <t>Taxes less subsidies on products</t>
  </si>
  <si>
    <t>RT2</t>
  </si>
  <si>
    <t>Total use at purchasers' prices</t>
  </si>
  <si>
    <t>Compensation of employees</t>
  </si>
  <si>
    <t>Other taxes less subsidies on production</t>
  </si>
  <si>
    <t>Gross operating surplus</t>
  </si>
  <si>
    <t>RT3</t>
  </si>
  <si>
    <t>Value added at basic prices</t>
  </si>
  <si>
    <t>RT4</t>
  </si>
  <si>
    <t>Total inputs at basic prices</t>
  </si>
  <si>
    <t>Other Goods Industries</t>
  </si>
  <si>
    <t>Utilities</t>
  </si>
  <si>
    <t>Wholesale Trade</t>
  </si>
  <si>
    <t>Retail Trade</t>
  </si>
  <si>
    <t>Transportation &amp; Storage</t>
  </si>
  <si>
    <t>Food &amp; Beverage Services</t>
  </si>
  <si>
    <t>Information &amp; Communications</t>
  </si>
  <si>
    <t>Finance &amp; Insurance</t>
  </si>
  <si>
    <t>Ownership of Dwellings</t>
  </si>
  <si>
    <t>Professional Services</t>
  </si>
  <si>
    <t>Administrative &amp; Support Services</t>
  </si>
  <si>
    <t>Public Administration &amp; Defence</t>
  </si>
  <si>
    <t>Health &amp; Social Services</t>
  </si>
  <si>
    <t>Arts, Entertainment &amp; Recreation</t>
  </si>
  <si>
    <t>Other Services – Others</t>
  </si>
  <si>
    <t>Total intermediate use at basic prices</t>
  </si>
  <si>
    <t>Wholesale &amp; Retail Trade</t>
  </si>
  <si>
    <t>Accommodation &amp; Food Services</t>
  </si>
  <si>
    <t>Financial &amp; Insurance Services</t>
  </si>
  <si>
    <t>Real Estate Services</t>
  </si>
  <si>
    <t>Public Administration &amp; Education</t>
  </si>
  <si>
    <t>Other Community, Social &amp; Personal Services</t>
  </si>
  <si>
    <t>Wholesale Trade,Retail Trade</t>
  </si>
  <si>
    <t>Accommodation,Food &amp; Beverage Services</t>
  </si>
  <si>
    <t>Real estate, Ownership of Dwellings</t>
  </si>
  <si>
    <t>Public Administration &amp; Defence, Education</t>
  </si>
  <si>
    <t>Manufacturing, Utilities</t>
  </si>
  <si>
    <t>Unemployment data from MOM website (15)</t>
  </si>
  <si>
    <t>Singapore IOT (broad sector) (20)</t>
  </si>
  <si>
    <t>Agriculture, hunting, forestry, and fishing; Mining and quarrying; Electricity, gas, and water supply; Other nonmetallic minerals</t>
  </si>
  <si>
    <t>Manufacturing, nec; recycling; Food, beverages, and tobacco; Textiles and textile products; Leather, leather products, and footwear; Wood and products of wood and cork; Pulp, paper, paper products, printing, publishing; Coke, petroleum, nuclear fuel; Chemicals and chemical products; Rubber and plastics; Basic metals, fabricated metal; Machinery, nec; Electrical, optical equipment; Transport equipment</t>
  </si>
  <si>
    <t>Wholesale trade and commission trade, except motor vehicles and motorcycles; Retail trade except motor vehicles and motorcycles; repair of household goods; Sale, maintenance, repair of motor vehicles, motorcycles, retail sale of fuel</t>
  </si>
  <si>
    <t>Inland transport; Water transport; Air transport; Other supporting auxiliary transport activities, activities of travel agencies</t>
  </si>
  <si>
    <t>Hotels and restaurants</t>
  </si>
  <si>
    <t>Post and telecommunications</t>
  </si>
  <si>
    <t>Financial intermediation</t>
  </si>
  <si>
    <t>Real estate activities</t>
  </si>
  <si>
    <t>Renting of M&amp;E and other business activities</t>
  </si>
  <si>
    <t>Other supporting auxiliary transport activities; Activities of travel agencies; Other community, social, personal services</t>
  </si>
  <si>
    <t>Public administration, defense, compulsory social security; Education</t>
  </si>
  <si>
    <t>Health and social work</t>
  </si>
  <si>
    <t>Private households with employed persons; Other community, social and personal services</t>
  </si>
  <si>
    <t>ADB dataset (35)</t>
  </si>
  <si>
    <t>Sectors</t>
  </si>
  <si>
    <t>GDP change</t>
  </si>
  <si>
    <t>as planned c</t>
  </si>
  <si>
    <t>reduced c</t>
  </si>
  <si>
    <t>c_diff</t>
  </si>
  <si>
    <t>x</t>
  </si>
  <si>
    <t>c*</t>
  </si>
  <si>
    <t>Aggregated Sectors</t>
  </si>
  <si>
    <t>Singapore IOT Sectors</t>
  </si>
  <si>
    <t>Wholesale Trade, Retail Trade</t>
  </si>
  <si>
    <t>Accommodation &amp; Food &amp; Beverage Services</t>
  </si>
  <si>
    <t>Real Estate, Ownership of Dwellings</t>
  </si>
  <si>
    <t>Professional, Scientific &amp; Technical Services</t>
  </si>
  <si>
    <t>Arts, Entertainment, Recreation</t>
  </si>
  <si>
    <t>Sector ID</t>
  </si>
  <si>
    <t>Sector</t>
  </si>
  <si>
    <t>Initial inoperability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</si>
</sst>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_ ;\-#,##0.0\ "/>
    <numFmt numFmtId="165" formatCode="_(* #,##0.000000_);_(* \(#,##0.000000\);_(* &quot;-&quot;??_);_(@_)"/>
    <numFmt numFmtId="166" formatCode="0.000000"/>
    <numFmt numFmtId="167" formatCode="_(* #,##0.00000000_);_(* \(#,##0.00000000\);_(* &quot;-&quot;??_);_(@_)"/>
    <numFmt numFmtId="168" formatCode="#,##0.00000_ ;\-#,##0.00000\ "/>
  </numFmts>
  <fonts count="8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8"/>
      <name val="Univers (W1)"/>
      <family val="2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>
      <alignment textRotation="90" wrapText="1"/>
    </xf>
  </cellStyleXfs>
  <cellXfs count="7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wrapText="1"/>
    </xf>
    <xf numFmtId="0" fontId="3" fillId="3" borderId="0" xfId="0" applyFont="1" applyFill="1" applyAlignment="1">
      <alignment horizontal="right"/>
    </xf>
    <xf numFmtId="164" fontId="0" fillId="0" borderId="0" xfId="0" applyNumberFormat="1"/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0" fillId="0" borderId="0" xfId="0" applyAlignment="1">
      <alignment horizontal="left" vertical="top"/>
    </xf>
    <xf numFmtId="165" fontId="3" fillId="3" borderId="0" xfId="1" applyNumberFormat="1" applyFont="1" applyFill="1"/>
    <xf numFmtId="165" fontId="3" fillId="3" borderId="2" xfId="1" applyNumberFormat="1" applyFont="1" applyFill="1" applyBorder="1"/>
    <xf numFmtId="165" fontId="3" fillId="3" borderId="3" xfId="1" applyNumberFormat="1" applyFont="1" applyFill="1" applyBorder="1"/>
    <xf numFmtId="165" fontId="3" fillId="3" borderId="4" xfId="1" applyNumberFormat="1" applyFont="1" applyFill="1" applyBorder="1"/>
    <xf numFmtId="165" fontId="3" fillId="3" borderId="5" xfId="1" applyNumberFormat="1" applyFont="1" applyFill="1" applyBorder="1"/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5" fontId="3" fillId="3" borderId="0" xfId="1" applyNumberFormat="1" applyFont="1" applyFill="1" applyBorder="1" applyAlignment="1">
      <alignment horizontal="left" vertical="top" wrapText="1"/>
    </xf>
    <xf numFmtId="165" fontId="3" fillId="3" borderId="0" xfId="1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66" fontId="0" fillId="2" borderId="0" xfId="0" applyNumberFormat="1" applyFill="1"/>
    <xf numFmtId="165" fontId="3" fillId="3" borderId="1" xfId="1" applyNumberFormat="1" applyFont="1" applyFill="1" applyBorder="1" applyAlignment="1">
      <alignment horizontal="left" vertical="center" wrapText="1"/>
    </xf>
    <xf numFmtId="165" fontId="3" fillId="3" borderId="1" xfId="1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/>
    </xf>
    <xf numFmtId="167" fontId="3" fillId="3" borderId="0" xfId="1" applyNumberFormat="1" applyFont="1" applyFill="1"/>
    <xf numFmtId="167" fontId="3" fillId="3" borderId="2" xfId="1" applyNumberFormat="1" applyFont="1" applyFill="1" applyBorder="1"/>
    <xf numFmtId="167" fontId="3" fillId="3" borderId="3" xfId="1" applyNumberFormat="1" applyFont="1" applyFill="1" applyBorder="1"/>
    <xf numFmtId="167" fontId="3" fillId="3" borderId="4" xfId="1" applyNumberFormat="1" applyFont="1" applyFill="1" applyBorder="1"/>
    <xf numFmtId="167" fontId="3" fillId="3" borderId="5" xfId="1" applyNumberFormat="1" applyFont="1" applyFill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4" borderId="0" xfId="0" applyFill="1"/>
    <xf numFmtId="0" fontId="3" fillId="4" borderId="0" xfId="0" applyFont="1" applyFill="1" applyAlignment="1">
      <alignment horizontal="right"/>
    </xf>
    <xf numFmtId="165" fontId="3" fillId="4" borderId="0" xfId="1" applyNumberFormat="1" applyFont="1" applyFill="1"/>
    <xf numFmtId="164" fontId="0" fillId="4" borderId="0" xfId="0" applyNumberFormat="1" applyFill="1"/>
    <xf numFmtId="43" fontId="0" fillId="4" borderId="0" xfId="0" applyNumberFormat="1" applyFill="1"/>
    <xf numFmtId="43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left" vertical="center"/>
    </xf>
    <xf numFmtId="165" fontId="3" fillId="4" borderId="1" xfId="1" applyNumberFormat="1" applyFont="1" applyFill="1" applyBorder="1" applyAlignment="1">
      <alignment horizontal="center" vertical="center"/>
    </xf>
    <xf numFmtId="43" fontId="0" fillId="4" borderId="0" xfId="0" applyNumberFormat="1" applyFill="1" applyAlignment="1">
      <alignment horizontal="left" vertical="center"/>
    </xf>
    <xf numFmtId="168" fontId="0" fillId="4" borderId="0" xfId="0" applyNumberFormat="1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left" vertical="center"/>
    </xf>
    <xf numFmtId="165" fontId="3" fillId="5" borderId="1" xfId="1" applyNumberFormat="1" applyFont="1" applyFill="1" applyBorder="1" applyAlignment="1">
      <alignment horizontal="center" vertical="center"/>
    </xf>
    <xf numFmtId="43" fontId="0" fillId="5" borderId="0" xfId="0" applyNumberFormat="1" applyFill="1" applyAlignment="1">
      <alignment horizontal="left" vertical="center"/>
    </xf>
    <xf numFmtId="168" fontId="0" fillId="5" borderId="0" xfId="0" applyNumberFormat="1" applyFill="1" applyAlignment="1">
      <alignment horizontal="left" vertical="center"/>
    </xf>
    <xf numFmtId="16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6" fontId="0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IOMHeader" xfId="2" xr:uid="{370606BB-66CD-D843-A940-EC35CA42D5A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3E61-CD2F-E441-8993-978A3AAD31FD}">
  <dimension ref="A1:B15"/>
  <sheetViews>
    <sheetView workbookViewId="0">
      <selection activeCell="B15" sqref="B15"/>
    </sheetView>
  </sheetViews>
  <sheetFormatPr baseColWidth="10" defaultRowHeight="12" x14ac:dyDescent="0.15"/>
  <cols>
    <col min="1" max="1" width="11" style="24"/>
    <col min="2" max="2" width="66.3984375" style="23" bestFit="1" customWidth="1"/>
    <col min="3" max="16384" width="11" style="24"/>
  </cols>
  <sheetData>
    <row r="1" spans="1:2" x14ac:dyDescent="0.15">
      <c r="A1" s="42">
        <v>1</v>
      </c>
      <c r="B1" s="41" t="s">
        <v>0</v>
      </c>
    </row>
    <row r="2" spans="1:2" x14ac:dyDescent="0.15">
      <c r="A2" s="42">
        <v>2</v>
      </c>
      <c r="B2" s="41" t="s">
        <v>1</v>
      </c>
    </row>
    <row r="3" spans="1:2" x14ac:dyDescent="0.15">
      <c r="A3" s="42">
        <v>3</v>
      </c>
      <c r="B3" s="41" t="s">
        <v>2</v>
      </c>
    </row>
    <row r="4" spans="1:2" x14ac:dyDescent="0.15">
      <c r="A4" s="42">
        <v>4</v>
      </c>
      <c r="B4" s="41" t="s">
        <v>3</v>
      </c>
    </row>
    <row r="5" spans="1:2" x14ac:dyDescent="0.15">
      <c r="A5" s="42">
        <v>5</v>
      </c>
      <c r="B5" s="41" t="s">
        <v>4</v>
      </c>
    </row>
    <row r="6" spans="1:2" x14ac:dyDescent="0.15">
      <c r="A6" s="42">
        <v>6</v>
      </c>
      <c r="B6" s="41" t="s">
        <v>5</v>
      </c>
    </row>
    <row r="7" spans="1:2" x14ac:dyDescent="0.15">
      <c r="A7" s="42">
        <v>7</v>
      </c>
      <c r="B7" s="41" t="s">
        <v>6</v>
      </c>
    </row>
    <row r="8" spans="1:2" x14ac:dyDescent="0.15">
      <c r="A8" s="42">
        <v>8</v>
      </c>
      <c r="B8" s="41" t="s">
        <v>7</v>
      </c>
    </row>
    <row r="9" spans="1:2" x14ac:dyDescent="0.15">
      <c r="A9" s="42">
        <v>9</v>
      </c>
      <c r="B9" s="41" t="s">
        <v>8</v>
      </c>
    </row>
    <row r="10" spans="1:2" x14ac:dyDescent="0.15">
      <c r="A10" s="42">
        <v>10</v>
      </c>
      <c r="B10" s="41" t="s">
        <v>9</v>
      </c>
    </row>
    <row r="11" spans="1:2" x14ac:dyDescent="0.15">
      <c r="A11" s="42">
        <v>11</v>
      </c>
      <c r="B11" s="41" t="s">
        <v>10</v>
      </c>
    </row>
    <row r="12" spans="1:2" x14ac:dyDescent="0.15">
      <c r="A12" s="42">
        <v>12</v>
      </c>
      <c r="B12" s="41" t="s">
        <v>11</v>
      </c>
    </row>
    <row r="13" spans="1:2" x14ac:dyDescent="0.15">
      <c r="A13" s="42">
        <v>13</v>
      </c>
      <c r="B13" s="41" t="s">
        <v>12</v>
      </c>
    </row>
    <row r="14" spans="1:2" x14ac:dyDescent="0.15">
      <c r="A14" s="42">
        <v>14</v>
      </c>
      <c r="B14" s="41" t="s">
        <v>13</v>
      </c>
    </row>
    <row r="15" spans="1:2" x14ac:dyDescent="0.15">
      <c r="A15" s="42">
        <v>15</v>
      </c>
      <c r="B15" s="4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4EF7-EA6A-DD42-87B2-EF74630C78EA}">
  <dimension ref="A1:C16"/>
  <sheetViews>
    <sheetView workbookViewId="0">
      <selection activeCell="A2" sqref="A2:A16"/>
    </sheetView>
  </sheetViews>
  <sheetFormatPr baseColWidth="10" defaultRowHeight="12" x14ac:dyDescent="0.15"/>
  <cols>
    <col min="1" max="1" width="66.3984375" style="3" bestFit="1" customWidth="1"/>
    <col min="2" max="2" width="44.59765625" style="3" customWidth="1"/>
    <col min="3" max="3" width="58.19921875" style="3" customWidth="1"/>
    <col min="4" max="16384" width="11" style="3"/>
  </cols>
  <sheetData>
    <row r="1" spans="1:3" ht="17" x14ac:dyDescent="0.15">
      <c r="A1" s="44" t="s">
        <v>69</v>
      </c>
      <c r="B1" s="44" t="s">
        <v>70</v>
      </c>
      <c r="C1" s="44" t="s">
        <v>84</v>
      </c>
    </row>
    <row r="2" spans="1:3" ht="26" x14ac:dyDescent="0.15">
      <c r="A2" s="43" t="s">
        <v>0</v>
      </c>
      <c r="B2" s="43" t="s">
        <v>42</v>
      </c>
      <c r="C2" s="43" t="s">
        <v>71</v>
      </c>
    </row>
    <row r="3" spans="1:3" ht="91" x14ac:dyDescent="0.15">
      <c r="A3" s="43" t="s">
        <v>1</v>
      </c>
      <c r="B3" s="43" t="s">
        <v>68</v>
      </c>
      <c r="C3" s="43" t="s">
        <v>72</v>
      </c>
    </row>
    <row r="4" spans="1:3" ht="13" x14ac:dyDescent="0.15">
      <c r="A4" s="43" t="s">
        <v>2</v>
      </c>
      <c r="B4" s="43" t="s">
        <v>2</v>
      </c>
      <c r="C4" s="43" t="s">
        <v>2</v>
      </c>
    </row>
    <row r="5" spans="1:3" ht="52" x14ac:dyDescent="0.15">
      <c r="A5" s="43" t="s">
        <v>3</v>
      </c>
      <c r="B5" s="43" t="s">
        <v>64</v>
      </c>
      <c r="C5" s="43" t="s">
        <v>73</v>
      </c>
    </row>
    <row r="6" spans="1:3" ht="26" x14ac:dyDescent="0.15">
      <c r="A6" s="43" t="s">
        <v>4</v>
      </c>
      <c r="B6" s="43" t="s">
        <v>46</v>
      </c>
      <c r="C6" s="43" t="s">
        <v>74</v>
      </c>
    </row>
    <row r="7" spans="1:3" ht="13" x14ac:dyDescent="0.15">
      <c r="A7" s="43" t="s">
        <v>5</v>
      </c>
      <c r="B7" s="43" t="s">
        <v>65</v>
      </c>
      <c r="C7" s="43" t="s">
        <v>75</v>
      </c>
    </row>
    <row r="8" spans="1:3" ht="13" x14ac:dyDescent="0.15">
      <c r="A8" s="43" t="s">
        <v>6</v>
      </c>
      <c r="B8" s="43" t="s">
        <v>48</v>
      </c>
      <c r="C8" s="43" t="s">
        <v>76</v>
      </c>
    </row>
    <row r="9" spans="1:3" ht="13" x14ac:dyDescent="0.15">
      <c r="A9" s="43" t="s">
        <v>7</v>
      </c>
      <c r="B9" s="43" t="s">
        <v>49</v>
      </c>
      <c r="C9" s="43" t="s">
        <v>77</v>
      </c>
    </row>
    <row r="10" spans="1:3" ht="13" x14ac:dyDescent="0.15">
      <c r="A10" s="43" t="s">
        <v>8</v>
      </c>
      <c r="B10" s="43" t="s">
        <v>66</v>
      </c>
      <c r="C10" s="43" t="s">
        <v>78</v>
      </c>
    </row>
    <row r="11" spans="1:3" ht="13" x14ac:dyDescent="0.15">
      <c r="A11" s="43" t="s">
        <v>9</v>
      </c>
      <c r="B11" s="43" t="s">
        <v>51</v>
      </c>
      <c r="C11" s="43" t="s">
        <v>79</v>
      </c>
    </row>
    <row r="12" spans="1:3" ht="26" x14ac:dyDescent="0.15">
      <c r="A12" s="43" t="s">
        <v>10</v>
      </c>
      <c r="B12" s="43" t="s">
        <v>52</v>
      </c>
      <c r="C12" s="43" t="s">
        <v>80</v>
      </c>
    </row>
    <row r="13" spans="1:3" ht="26" x14ac:dyDescent="0.15">
      <c r="A13" s="43" t="s">
        <v>11</v>
      </c>
      <c r="B13" s="43" t="s">
        <v>67</v>
      </c>
      <c r="C13" s="43" t="s">
        <v>81</v>
      </c>
    </row>
    <row r="14" spans="1:3" ht="13" x14ac:dyDescent="0.15">
      <c r="A14" s="43" t="s">
        <v>12</v>
      </c>
      <c r="B14" s="43" t="s">
        <v>54</v>
      </c>
      <c r="C14" s="43" t="s">
        <v>82</v>
      </c>
    </row>
    <row r="15" spans="1:3" ht="13" x14ac:dyDescent="0.15">
      <c r="A15" s="43" t="s">
        <v>13</v>
      </c>
      <c r="B15" s="43" t="s">
        <v>55</v>
      </c>
      <c r="C15" s="43"/>
    </row>
    <row r="16" spans="1:3" ht="26" x14ac:dyDescent="0.15">
      <c r="A16" s="43" t="s">
        <v>14</v>
      </c>
      <c r="B16" s="43" t="s">
        <v>56</v>
      </c>
      <c r="C16" s="43" t="s">
        <v>83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B77C-7A0D-AE40-860B-8E0BB1045590}">
  <dimension ref="A1:B15"/>
  <sheetViews>
    <sheetView workbookViewId="0">
      <selection activeCell="J18" sqref="J18"/>
    </sheetView>
  </sheetViews>
  <sheetFormatPr baseColWidth="10" defaultColWidth="8.796875" defaultRowHeight="15" customHeight="1" x14ac:dyDescent="0.15"/>
  <cols>
    <col min="1" max="1" width="69.796875" style="1" customWidth="1"/>
    <col min="2" max="2" width="9.59765625" style="1" customWidth="1"/>
    <col min="3" max="16384" width="8.796875" style="1"/>
  </cols>
  <sheetData>
    <row r="1" spans="1:2" ht="15" customHeight="1" x14ac:dyDescent="0.15">
      <c r="A1" s="2" t="s">
        <v>0</v>
      </c>
      <c r="B1" s="26">
        <v>2.8002661091047577E-2</v>
      </c>
    </row>
    <row r="2" spans="1:2" ht="15" customHeight="1" x14ac:dyDescent="0.15">
      <c r="A2" s="2" t="s">
        <v>1</v>
      </c>
      <c r="B2" s="26">
        <v>1.0164607489070816E-2</v>
      </c>
    </row>
    <row r="3" spans="1:2" ht="15" customHeight="1" x14ac:dyDescent="0.15">
      <c r="A3" s="2" t="s">
        <v>2</v>
      </c>
      <c r="B3" s="26">
        <v>3.568009884052481E-2</v>
      </c>
    </row>
    <row r="4" spans="1:2" ht="15" customHeight="1" x14ac:dyDescent="0.15">
      <c r="A4" s="2" t="s">
        <v>3</v>
      </c>
      <c r="B4" s="26">
        <v>1.1990496103402224E-2</v>
      </c>
    </row>
    <row r="5" spans="1:2" ht="15" customHeight="1" x14ac:dyDescent="0.15">
      <c r="A5" s="2" t="s">
        <v>4</v>
      </c>
      <c r="B5" s="26">
        <v>1.3762022429195948E-2</v>
      </c>
    </row>
    <row r="6" spans="1:2" ht="15" customHeight="1" x14ac:dyDescent="0.15">
      <c r="A6" s="2" t="s">
        <v>5</v>
      </c>
      <c r="B6" s="26">
        <v>3.4761072039536135E-2</v>
      </c>
    </row>
    <row r="7" spans="1:2" ht="15" customHeight="1" x14ac:dyDescent="0.15">
      <c r="A7" s="2" t="s">
        <v>6</v>
      </c>
      <c r="B7" s="26">
        <v>1.4652727618323497E-2</v>
      </c>
    </row>
    <row r="8" spans="1:2" ht="15" customHeight="1" x14ac:dyDescent="0.15">
      <c r="A8" s="2" t="s">
        <v>7</v>
      </c>
      <c r="B8" s="26">
        <v>5.4227333206614946E-3</v>
      </c>
    </row>
    <row r="9" spans="1:2" ht="15" customHeight="1" x14ac:dyDescent="0.15">
      <c r="A9" s="2" t="s">
        <v>8</v>
      </c>
      <c r="B9" s="26">
        <v>1.294335677627822E-2</v>
      </c>
    </row>
    <row r="10" spans="1:2" ht="15" customHeight="1" x14ac:dyDescent="0.15">
      <c r="A10" s="2" t="s">
        <v>9</v>
      </c>
      <c r="B10" s="26">
        <v>9.370461889374751E-3</v>
      </c>
    </row>
    <row r="11" spans="1:2" ht="15" customHeight="1" x14ac:dyDescent="0.15">
      <c r="A11" s="2" t="s">
        <v>10</v>
      </c>
      <c r="B11" s="26">
        <v>2.1126401824747745E-2</v>
      </c>
    </row>
    <row r="12" spans="1:2" ht="15" customHeight="1" x14ac:dyDescent="0.15">
      <c r="A12" s="2" t="s">
        <v>11</v>
      </c>
      <c r="B12" s="26">
        <v>6.9300513210416304E-3</v>
      </c>
    </row>
    <row r="13" spans="1:2" ht="15" customHeight="1" x14ac:dyDescent="0.15">
      <c r="A13" s="2" t="s">
        <v>12</v>
      </c>
      <c r="B13" s="26">
        <v>7.3649496293480745E-3</v>
      </c>
    </row>
    <row r="14" spans="1:2" ht="15" customHeight="1" x14ac:dyDescent="0.15">
      <c r="A14" s="2" t="s">
        <v>13</v>
      </c>
      <c r="B14" s="26">
        <v>1.9480707089906818E-2</v>
      </c>
    </row>
    <row r="15" spans="1:2" ht="15" customHeight="1" x14ac:dyDescent="0.15">
      <c r="A15" s="2" t="s">
        <v>14</v>
      </c>
      <c r="B15" s="26">
        <v>2.9070708990686402E-2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F7A1-BDD5-C146-904E-7D56E1878B20}">
  <dimension ref="A1:B15"/>
  <sheetViews>
    <sheetView workbookViewId="0">
      <selection activeCell="B1" sqref="B1"/>
    </sheetView>
  </sheetViews>
  <sheetFormatPr baseColWidth="10" defaultColWidth="8.796875" defaultRowHeight="15" customHeight="1" x14ac:dyDescent="0.15"/>
  <cols>
    <col min="1" max="1" width="69.796875" style="1" customWidth="1"/>
    <col min="2" max="2" width="9.59765625" style="1" customWidth="1"/>
    <col min="3" max="16384" width="8.796875" style="1"/>
  </cols>
  <sheetData>
    <row r="1" spans="1:2" ht="15" customHeight="1" x14ac:dyDescent="0.15">
      <c r="A1" s="2" t="s">
        <v>0</v>
      </c>
      <c r="B1" s="26">
        <v>9.1518025822972165E-2</v>
      </c>
    </row>
    <row r="2" spans="1:2" ht="15" customHeight="1" x14ac:dyDescent="0.15">
      <c r="A2" s="2" t="s">
        <v>1</v>
      </c>
      <c r="B2" s="26">
        <v>7.3984330901063183E-2</v>
      </c>
    </row>
    <row r="3" spans="1:2" ht="15" customHeight="1" x14ac:dyDescent="0.15">
      <c r="A3" s="2" t="s">
        <v>2</v>
      </c>
      <c r="B3" s="26">
        <v>0.19309509527592625</v>
      </c>
    </row>
    <row r="4" spans="1:2" ht="15" customHeight="1" x14ac:dyDescent="0.15">
      <c r="A4" s="2" t="s">
        <v>3</v>
      </c>
      <c r="B4" s="26">
        <v>0.13671499369384216</v>
      </c>
    </row>
    <row r="5" spans="1:2" ht="15" customHeight="1" x14ac:dyDescent="0.15">
      <c r="A5" s="2" t="s">
        <v>4</v>
      </c>
      <c r="B5" s="26">
        <v>8.0462305559159022E-2</v>
      </c>
    </row>
    <row r="6" spans="1:2" ht="15" customHeight="1" x14ac:dyDescent="0.15">
      <c r="A6" s="2" t="s">
        <v>5</v>
      </c>
      <c r="B6" s="26">
        <v>0.24343913222843444</v>
      </c>
    </row>
    <row r="7" spans="1:2" ht="15" customHeight="1" x14ac:dyDescent="0.15">
      <c r="A7" s="2" t="s">
        <v>6</v>
      </c>
      <c r="B7" s="26">
        <v>0.13211656236910921</v>
      </c>
    </row>
    <row r="8" spans="1:2" ht="15" customHeight="1" x14ac:dyDescent="0.15">
      <c r="A8" s="2" t="s">
        <v>7</v>
      </c>
      <c r="B8" s="26">
        <v>0.20112269294945295</v>
      </c>
    </row>
    <row r="9" spans="1:2" ht="15" customHeight="1" x14ac:dyDescent="0.15">
      <c r="A9" s="2" t="s">
        <v>8</v>
      </c>
      <c r="B9" s="26">
        <v>5.9095595539516571E-2</v>
      </c>
    </row>
    <row r="10" spans="1:2" ht="15" customHeight="1" x14ac:dyDescent="0.15">
      <c r="A10" s="2" t="s">
        <v>9</v>
      </c>
      <c r="B10" s="26">
        <v>0.32948689216132715</v>
      </c>
    </row>
    <row r="11" spans="1:2" ht="15" customHeight="1" x14ac:dyDescent="0.15">
      <c r="A11" s="2" t="s">
        <v>10</v>
      </c>
      <c r="B11" s="26">
        <v>0.2520608639192346</v>
      </c>
    </row>
    <row r="12" spans="1:2" ht="15" customHeight="1" x14ac:dyDescent="0.15">
      <c r="A12" s="2" t="s">
        <v>11</v>
      </c>
      <c r="B12" s="26">
        <v>0.42623458604993736</v>
      </c>
    </row>
    <row r="13" spans="1:2" ht="15" customHeight="1" x14ac:dyDescent="0.15">
      <c r="A13" s="2" t="s">
        <v>12</v>
      </c>
      <c r="B13" s="26">
        <v>0.46562485353852751</v>
      </c>
    </row>
    <row r="14" spans="1:2" ht="15" customHeight="1" x14ac:dyDescent="0.15">
      <c r="A14" s="2" t="s">
        <v>13</v>
      </c>
      <c r="B14" s="26">
        <v>0.23366092773841493</v>
      </c>
    </row>
    <row r="15" spans="1:2" ht="15" customHeight="1" x14ac:dyDescent="0.15">
      <c r="A15" s="2" t="s">
        <v>14</v>
      </c>
      <c r="B15" s="26">
        <v>0.5441493140593191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CB27-5416-E445-A677-479886D08A71}">
  <dimension ref="A1:F16"/>
  <sheetViews>
    <sheetView tabSelected="1" workbookViewId="0">
      <selection sqref="A1:C16"/>
    </sheetView>
  </sheetViews>
  <sheetFormatPr baseColWidth="10" defaultColWidth="8.796875" defaultRowHeight="15" customHeight="1" x14ac:dyDescent="0.15"/>
  <cols>
    <col min="1" max="1" width="11" style="1" bestFit="1" customWidth="1"/>
    <col min="2" max="2" width="66.3984375" style="1" bestFit="1" customWidth="1"/>
    <col min="3" max="3" width="22.59765625" style="27" customWidth="1"/>
    <col min="4" max="16384" width="8.796875" style="1"/>
  </cols>
  <sheetData>
    <row r="1" spans="1:6" ht="15" customHeight="1" x14ac:dyDescent="0.15">
      <c r="A1" s="69" t="s">
        <v>99</v>
      </c>
      <c r="B1" s="69" t="s">
        <v>100</v>
      </c>
      <c r="C1" s="70" t="s">
        <v>101</v>
      </c>
    </row>
    <row r="2" spans="1:6" ht="15" customHeight="1" x14ac:dyDescent="0.15">
      <c r="A2" s="68">
        <v>1</v>
      </c>
      <c r="B2" s="68" t="s">
        <v>0</v>
      </c>
      <c r="C2" s="71">
        <f>'lapi div sector output'!B1*'2020 resident unemployment rate'!B1</f>
        <v>2.5627482608424302E-3</v>
      </c>
    </row>
    <row r="3" spans="1:6" ht="15" customHeight="1" x14ac:dyDescent="0.15">
      <c r="A3" s="68">
        <v>2</v>
      </c>
      <c r="B3" s="68" t="s">
        <v>1</v>
      </c>
      <c r="C3" s="71">
        <f>'lapi div sector output'!B2*'2020 resident unemployment rate'!B2</f>
        <v>7.5202168395084026E-4</v>
      </c>
    </row>
    <row r="4" spans="1:6" ht="15" customHeight="1" x14ac:dyDescent="0.15">
      <c r="A4" s="68">
        <v>3</v>
      </c>
      <c r="B4" s="68" t="s">
        <v>2</v>
      </c>
      <c r="C4" s="71">
        <f>'lapi div sector output'!B3*'2020 resident unemployment rate'!B3</f>
        <v>6.8896520850656034E-3</v>
      </c>
    </row>
    <row r="5" spans="1:6" ht="15" customHeight="1" x14ac:dyDescent="0.15">
      <c r="A5" s="68">
        <v>4</v>
      </c>
      <c r="B5" s="68" t="s">
        <v>3</v>
      </c>
      <c r="C5" s="71">
        <f>'lapi div sector output'!B4*'2020 resident unemployment rate'!B4</f>
        <v>1.639280599162674E-3</v>
      </c>
    </row>
    <row r="6" spans="1:6" ht="15" customHeight="1" x14ac:dyDescent="0.15">
      <c r="A6" s="68">
        <v>5</v>
      </c>
      <c r="B6" s="68" t="s">
        <v>4</v>
      </c>
      <c r="C6" s="71">
        <f>'lapi div sector output'!B5*'2020 resident unemployment rate'!B5</f>
        <v>1.1073240538099643E-3</v>
      </c>
      <c r="F6" s="27"/>
    </row>
    <row r="7" spans="1:6" ht="15" customHeight="1" x14ac:dyDescent="0.15">
      <c r="A7" s="68">
        <v>6</v>
      </c>
      <c r="B7" s="68" t="s">
        <v>5</v>
      </c>
      <c r="C7" s="71">
        <f>'lapi div sector output'!B6*'2020 resident unemployment rate'!B6</f>
        <v>8.4622052126347731E-3</v>
      </c>
    </row>
    <row r="8" spans="1:6" ht="15" customHeight="1" x14ac:dyDescent="0.15">
      <c r="A8" s="68">
        <v>7</v>
      </c>
      <c r="B8" s="68" t="s">
        <v>6</v>
      </c>
      <c r="C8" s="71">
        <f>'lapi div sector output'!B7*'2020 resident unemployment rate'!B7</f>
        <v>1.9358680022638053E-3</v>
      </c>
    </row>
    <row r="9" spans="1:6" ht="15" customHeight="1" x14ac:dyDescent="0.15">
      <c r="A9" s="68">
        <v>8</v>
      </c>
      <c r="B9" s="68" t="s">
        <v>7</v>
      </c>
      <c r="C9" s="71">
        <f>'lapi div sector output'!B8*'2020 resident unemployment rate'!B8</f>
        <v>1.0906347285981693E-3</v>
      </c>
    </row>
    <row r="10" spans="1:6" ht="15" customHeight="1" x14ac:dyDescent="0.15">
      <c r="A10" s="68">
        <v>9</v>
      </c>
      <c r="B10" s="68" t="s">
        <v>8</v>
      </c>
      <c r="C10" s="71">
        <f>'lapi div sector output'!B9*'2020 resident unemployment rate'!B9</f>
        <v>7.6489537697459881E-4</v>
      </c>
    </row>
    <row r="11" spans="1:6" ht="15" customHeight="1" x14ac:dyDescent="0.15">
      <c r="A11" s="68">
        <v>10</v>
      </c>
      <c r="B11" s="68" t="s">
        <v>9</v>
      </c>
      <c r="C11" s="71">
        <f>'lapi div sector output'!B10*'2020 resident unemployment rate'!B10</f>
        <v>3.0874443660462445E-3</v>
      </c>
    </row>
    <row r="12" spans="1:6" ht="15" customHeight="1" x14ac:dyDescent="0.15">
      <c r="A12" s="68">
        <v>11</v>
      </c>
      <c r="B12" s="68" t="s">
        <v>10</v>
      </c>
      <c r="C12" s="71">
        <f>'lapi div sector output'!B11*'2020 resident unemployment rate'!B11</f>
        <v>5.3251390954508109E-3</v>
      </c>
    </row>
    <row r="13" spans="1:6" ht="15" customHeight="1" x14ac:dyDescent="0.15">
      <c r="A13" s="68">
        <v>12</v>
      </c>
      <c r="B13" s="68" t="s">
        <v>11</v>
      </c>
      <c r="C13" s="71">
        <f>'lapi div sector output'!B12*'2020 resident unemployment rate'!B12</f>
        <v>2.9538275561290009E-3</v>
      </c>
    </row>
    <row r="14" spans="1:6" ht="15" customHeight="1" x14ac:dyDescent="0.15">
      <c r="A14" s="68">
        <v>13</v>
      </c>
      <c r="B14" s="68" t="s">
        <v>12</v>
      </c>
      <c r="C14" s="71">
        <f>'lapi div sector output'!B13*'2020 resident unemployment rate'!B13</f>
        <v>3.4293035924838297E-3</v>
      </c>
    </row>
    <row r="15" spans="1:6" ht="15" customHeight="1" x14ac:dyDescent="0.15">
      <c r="A15" s="68">
        <v>14</v>
      </c>
      <c r="B15" s="68" t="s">
        <v>13</v>
      </c>
      <c r="C15" s="71">
        <f>'lapi div sector output'!B14*'2020 resident unemployment rate'!B14</f>
        <v>4.5518800916279443E-3</v>
      </c>
    </row>
    <row r="16" spans="1:6" ht="15" customHeight="1" x14ac:dyDescent="0.15">
      <c r="A16" s="68">
        <v>15</v>
      </c>
      <c r="B16" s="68" t="s">
        <v>14</v>
      </c>
      <c r="C16" s="71">
        <f>'lapi div sector output'!B15*'2020 resident unemployment rate'!B15</f>
        <v>1.5818806356500088E-2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4CBF-0FBF-4C42-8241-66B0E4A10732}">
  <dimension ref="A1:C17"/>
  <sheetViews>
    <sheetView workbookViewId="0">
      <selection sqref="A1:A17"/>
    </sheetView>
  </sheetViews>
  <sheetFormatPr baseColWidth="10" defaultRowHeight="12" x14ac:dyDescent="0.15"/>
  <cols>
    <col min="1" max="1" width="11" style="24"/>
    <col min="2" max="2" width="66.3984375" style="24" bestFit="1" customWidth="1"/>
    <col min="3" max="3" width="53.19921875" style="24" customWidth="1"/>
    <col min="4" max="16384" width="11" style="24"/>
  </cols>
  <sheetData>
    <row r="1" spans="1:3" x14ac:dyDescent="0.15">
      <c r="A1" s="67" t="s">
        <v>99</v>
      </c>
      <c r="B1" s="67" t="s">
        <v>92</v>
      </c>
      <c r="C1" s="67" t="s">
        <v>93</v>
      </c>
    </row>
    <row r="2" spans="1:3" x14ac:dyDescent="0.15">
      <c r="A2" s="67"/>
      <c r="B2" s="67"/>
      <c r="C2" s="67"/>
    </row>
    <row r="3" spans="1:3" x14ac:dyDescent="0.15">
      <c r="A3" s="24">
        <v>1</v>
      </c>
      <c r="B3" s="24" t="s">
        <v>0</v>
      </c>
      <c r="C3" s="24" t="s">
        <v>42</v>
      </c>
    </row>
    <row r="4" spans="1:3" x14ac:dyDescent="0.15">
      <c r="A4" s="24">
        <v>2</v>
      </c>
      <c r="B4" s="24" t="s">
        <v>1</v>
      </c>
      <c r="C4" s="24" t="s">
        <v>68</v>
      </c>
    </row>
    <row r="5" spans="1:3" x14ac:dyDescent="0.15">
      <c r="A5" s="24">
        <v>3</v>
      </c>
      <c r="B5" s="24" t="s">
        <v>2</v>
      </c>
      <c r="C5" s="24" t="s">
        <v>2</v>
      </c>
    </row>
    <row r="6" spans="1:3" x14ac:dyDescent="0.15">
      <c r="A6" s="24">
        <v>4</v>
      </c>
      <c r="B6" s="24" t="s">
        <v>58</v>
      </c>
      <c r="C6" s="24" t="s">
        <v>94</v>
      </c>
    </row>
    <row r="7" spans="1:3" x14ac:dyDescent="0.15">
      <c r="A7" s="24">
        <v>5</v>
      </c>
      <c r="B7" s="24" t="s">
        <v>46</v>
      </c>
      <c r="C7" s="24" t="s">
        <v>46</v>
      </c>
    </row>
    <row r="8" spans="1:3" x14ac:dyDescent="0.15">
      <c r="A8" s="24">
        <v>6</v>
      </c>
      <c r="B8" s="24" t="s">
        <v>59</v>
      </c>
      <c r="C8" s="24" t="s">
        <v>95</v>
      </c>
    </row>
    <row r="9" spans="1:3" x14ac:dyDescent="0.15">
      <c r="A9" s="24">
        <v>7</v>
      </c>
      <c r="B9" s="24" t="s">
        <v>48</v>
      </c>
      <c r="C9" s="24" t="s">
        <v>48</v>
      </c>
    </row>
    <row r="10" spans="1:3" x14ac:dyDescent="0.15">
      <c r="A10" s="24">
        <v>8</v>
      </c>
      <c r="B10" s="24" t="s">
        <v>60</v>
      </c>
      <c r="C10" s="24" t="s">
        <v>60</v>
      </c>
    </row>
    <row r="11" spans="1:3" x14ac:dyDescent="0.15">
      <c r="A11" s="24">
        <v>9</v>
      </c>
      <c r="B11" s="24" t="s">
        <v>61</v>
      </c>
      <c r="C11" s="24" t="s">
        <v>96</v>
      </c>
    </row>
    <row r="12" spans="1:3" x14ac:dyDescent="0.15">
      <c r="A12" s="24">
        <v>10</v>
      </c>
      <c r="B12" s="24" t="s">
        <v>51</v>
      </c>
      <c r="C12" s="24" t="s">
        <v>97</v>
      </c>
    </row>
    <row r="13" spans="1:3" x14ac:dyDescent="0.15">
      <c r="A13" s="24">
        <v>11</v>
      </c>
      <c r="B13" s="24" t="s">
        <v>52</v>
      </c>
      <c r="C13" s="24" t="s">
        <v>52</v>
      </c>
    </row>
    <row r="14" spans="1:3" x14ac:dyDescent="0.15">
      <c r="A14" s="24">
        <v>12</v>
      </c>
      <c r="B14" s="24" t="s">
        <v>62</v>
      </c>
      <c r="C14" s="24" t="s">
        <v>67</v>
      </c>
    </row>
    <row r="15" spans="1:3" x14ac:dyDescent="0.15">
      <c r="A15" s="24">
        <v>13</v>
      </c>
      <c r="B15" s="24" t="s">
        <v>54</v>
      </c>
      <c r="C15" s="24" t="s">
        <v>54</v>
      </c>
    </row>
    <row r="16" spans="1:3" x14ac:dyDescent="0.15">
      <c r="A16" s="24">
        <v>14</v>
      </c>
      <c r="B16" s="24" t="s">
        <v>55</v>
      </c>
      <c r="C16" s="24" t="s">
        <v>98</v>
      </c>
    </row>
    <row r="17" spans="1:3" x14ac:dyDescent="0.15">
      <c r="A17" s="24">
        <v>15</v>
      </c>
      <c r="B17" s="24" t="s">
        <v>63</v>
      </c>
      <c r="C17" s="24" t="s">
        <v>56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AE7C-6ACE-754E-9F7B-02F7BC7BE074}">
  <dimension ref="A1:G16"/>
  <sheetViews>
    <sheetView workbookViewId="0">
      <selection activeCell="E23" sqref="E23"/>
    </sheetView>
  </sheetViews>
  <sheetFormatPr baseColWidth="10" defaultColWidth="8.796875" defaultRowHeight="15" customHeight="1" x14ac:dyDescent="0.15"/>
  <cols>
    <col min="1" max="1" width="73.3984375" style="1" customWidth="1"/>
    <col min="2" max="7" width="17" style="27" customWidth="1"/>
    <col min="8" max="16384" width="8.796875" style="1"/>
  </cols>
  <sheetData>
    <row r="1" spans="1:7" ht="15" customHeight="1" x14ac:dyDescent="0.15">
      <c r="A1" s="39" t="s">
        <v>85</v>
      </c>
      <c r="B1" s="39" t="s">
        <v>86</v>
      </c>
      <c r="C1" s="39" t="s">
        <v>87</v>
      </c>
      <c r="D1" s="39" t="s">
        <v>88</v>
      </c>
      <c r="E1" s="39" t="s">
        <v>89</v>
      </c>
      <c r="F1" s="39" t="s">
        <v>90</v>
      </c>
      <c r="G1" s="39" t="s">
        <v>91</v>
      </c>
    </row>
    <row r="2" spans="1:7" ht="15" customHeight="1" x14ac:dyDescent="0.15">
      <c r="A2" s="39" t="s">
        <v>0</v>
      </c>
      <c r="B2" s="39">
        <v>2.4468015878180458E-2</v>
      </c>
      <c r="C2" s="39">
        <v>4100.8372999999992</v>
      </c>
      <c r="D2" s="39">
        <f>C2*(1+B2)</f>
        <v>4201.1766521702339</v>
      </c>
      <c r="E2" s="39">
        <f>C2-D2</f>
        <v>-100.33935217023463</v>
      </c>
      <c r="F2" s="39">
        <v>18178.163100000002</v>
      </c>
      <c r="G2" s="39">
        <f>E2/F2</f>
        <v>-5.5197740067715988E-3</v>
      </c>
    </row>
    <row r="3" spans="1:7" ht="15" customHeight="1" x14ac:dyDescent="0.15">
      <c r="A3" s="39" t="s">
        <v>1</v>
      </c>
      <c r="B3" s="40">
        <v>-0.10572320245767729</v>
      </c>
      <c r="C3" s="40">
        <v>257868.23850000001</v>
      </c>
      <c r="D3" s="39">
        <f t="shared" ref="D3:D16" si="0">C3*(1+B3)</f>
        <v>230605.5825136599</v>
      </c>
      <c r="E3" s="39">
        <f t="shared" ref="E3:E16" si="1">C3-D3</f>
        <v>27262.655986340105</v>
      </c>
      <c r="F3" s="39">
        <v>358100.85969999997</v>
      </c>
      <c r="G3" s="39">
        <f t="shared" ref="G3:G16" si="2">E3/F3</f>
        <v>7.6131221827223414E-2</v>
      </c>
    </row>
    <row r="4" spans="1:7" ht="15" customHeight="1" x14ac:dyDescent="0.15">
      <c r="A4" s="39" t="s">
        <v>2</v>
      </c>
      <c r="B4" s="40">
        <v>-0.64822831866735686</v>
      </c>
      <c r="C4" s="40">
        <v>34218.741199999997</v>
      </c>
      <c r="D4" s="39">
        <f t="shared" si="0"/>
        <v>12037.184125010586</v>
      </c>
      <c r="E4" s="39">
        <f t="shared" si="1"/>
        <v>22181.55707498941</v>
      </c>
      <c r="F4" s="39">
        <v>62463.207999999999</v>
      </c>
      <c r="G4" s="39">
        <f t="shared" si="2"/>
        <v>0.35511395884421132</v>
      </c>
    </row>
    <row r="5" spans="1:7" ht="15" customHeight="1" x14ac:dyDescent="0.15">
      <c r="A5" s="39" t="s">
        <v>3</v>
      </c>
      <c r="B5" s="40">
        <v>1.4681562776013379E-2</v>
      </c>
      <c r="C5" s="40">
        <v>178435.42250000002</v>
      </c>
      <c r="D5" s="39">
        <f t="shared" si="0"/>
        <v>181055.13335689821</v>
      </c>
      <c r="E5" s="39">
        <f t="shared" si="1"/>
        <v>-2619.710856898193</v>
      </c>
      <c r="F5" s="39">
        <v>214668.5876</v>
      </c>
      <c r="G5" s="39">
        <f t="shared" si="2"/>
        <v>-1.2203512801694108E-2</v>
      </c>
    </row>
    <row r="6" spans="1:7" ht="15" customHeight="1" x14ac:dyDescent="0.15">
      <c r="A6" s="39" t="s">
        <v>4</v>
      </c>
      <c r="B6" s="40">
        <v>-0.10064194906364951</v>
      </c>
      <c r="C6" s="40">
        <v>97650.934200000003</v>
      </c>
      <c r="D6" s="39">
        <f t="shared" si="0"/>
        <v>87823.153854225806</v>
      </c>
      <c r="E6" s="39">
        <f t="shared" si="1"/>
        <v>9827.7803457741975</v>
      </c>
      <c r="F6" s="39">
        <v>171885.81539999999</v>
      </c>
      <c r="G6" s="39">
        <f t="shared" si="2"/>
        <v>5.7176215052438806E-2</v>
      </c>
    </row>
    <row r="7" spans="1:7" ht="15" customHeight="1" x14ac:dyDescent="0.15">
      <c r="A7" s="39" t="s">
        <v>5</v>
      </c>
      <c r="B7" s="40">
        <v>-0.39541051036423669</v>
      </c>
      <c r="C7" s="40">
        <v>17603.874800000001</v>
      </c>
      <c r="D7" s="39">
        <f t="shared" si="0"/>
        <v>10643.117680943877</v>
      </c>
      <c r="E7" s="39">
        <f t="shared" si="1"/>
        <v>6960.7571190561248</v>
      </c>
      <c r="F7" s="39">
        <v>23161.395</v>
      </c>
      <c r="G7" s="39">
        <f t="shared" si="2"/>
        <v>0.3005327234847523</v>
      </c>
    </row>
    <row r="8" spans="1:7" ht="15" customHeight="1" x14ac:dyDescent="0.15">
      <c r="A8" s="39" t="s">
        <v>6</v>
      </c>
      <c r="B8" s="40">
        <v>-8.0595652242353363E-3</v>
      </c>
      <c r="C8" s="40">
        <v>68734.6872</v>
      </c>
      <c r="D8" s="39">
        <f t="shared" si="0"/>
        <v>68180.715505344182</v>
      </c>
      <c r="E8" s="39">
        <f t="shared" si="1"/>
        <v>553.97169465581828</v>
      </c>
      <c r="F8" s="39">
        <v>102294.4857</v>
      </c>
      <c r="G8" s="39">
        <f t="shared" si="2"/>
        <v>5.4154599914648018E-3</v>
      </c>
    </row>
    <row r="9" spans="1:7" ht="15" customHeight="1" x14ac:dyDescent="0.15">
      <c r="A9" s="39" t="s">
        <v>7</v>
      </c>
      <c r="B9" s="40">
        <v>-8.3654301719572999E-2</v>
      </c>
      <c r="C9" s="40">
        <v>86157.010799999989</v>
      </c>
      <c r="D9" s="39">
        <f t="shared" si="0"/>
        <v>78949.60622328028</v>
      </c>
      <c r="E9" s="39">
        <f t="shared" si="1"/>
        <v>7207.4045767197094</v>
      </c>
      <c r="F9" s="39">
        <v>136763.0037</v>
      </c>
      <c r="G9" s="39">
        <f t="shared" si="2"/>
        <v>5.2699958188471036E-2</v>
      </c>
    </row>
    <row r="10" spans="1:7" ht="15" customHeight="1" x14ac:dyDescent="0.15">
      <c r="A10" s="39" t="s">
        <v>8</v>
      </c>
      <c r="B10" s="40">
        <v>-0.2721298390315286</v>
      </c>
      <c r="C10" s="40">
        <v>34240.699999999997</v>
      </c>
      <c r="D10" s="39">
        <f t="shared" si="0"/>
        <v>24922.783820673139</v>
      </c>
      <c r="E10" s="39">
        <f t="shared" si="1"/>
        <v>9317.9161793268577</v>
      </c>
      <c r="F10" s="39">
        <v>54765.059399999998</v>
      </c>
      <c r="G10" s="39">
        <f t="shared" si="2"/>
        <v>0.17014345061272512</v>
      </c>
    </row>
    <row r="11" spans="1:7" ht="15" customHeight="1" x14ac:dyDescent="0.15">
      <c r="A11" s="39" t="s">
        <v>9</v>
      </c>
      <c r="B11" s="40">
        <v>-0.13419437705151993</v>
      </c>
      <c r="C11" s="40">
        <v>30143.9611</v>
      </c>
      <c r="D11" s="39">
        <f t="shared" si="0"/>
        <v>26098.811018320252</v>
      </c>
      <c r="E11" s="39">
        <f t="shared" si="1"/>
        <v>4045.1500816797488</v>
      </c>
      <c r="F11" s="39">
        <v>61620.38</v>
      </c>
      <c r="G11" s="39">
        <f t="shared" si="2"/>
        <v>6.5646302111083202E-2</v>
      </c>
    </row>
    <row r="12" spans="1:7" ht="15" customHeight="1" x14ac:dyDescent="0.15">
      <c r="A12" s="39" t="s">
        <v>10</v>
      </c>
      <c r="B12" s="40">
        <v>-0.24623281393217228</v>
      </c>
      <c r="C12" s="40">
        <v>8929.3159999999989</v>
      </c>
      <c r="D12" s="39">
        <f t="shared" si="0"/>
        <v>6730.6253948304302</v>
      </c>
      <c r="E12" s="39">
        <f t="shared" si="1"/>
        <v>2198.6906051695687</v>
      </c>
      <c r="F12" s="39">
        <v>31876.146400000001</v>
      </c>
      <c r="G12" s="39">
        <f t="shared" si="2"/>
        <v>6.8976048032254253E-2</v>
      </c>
    </row>
    <row r="13" spans="1:7" ht="15" customHeight="1" x14ac:dyDescent="0.15">
      <c r="A13" s="39" t="s">
        <v>11</v>
      </c>
      <c r="B13" s="40">
        <v>-0.2838309185813942</v>
      </c>
      <c r="C13" s="40">
        <v>51219.460200000001</v>
      </c>
      <c r="D13" s="39">
        <f t="shared" si="0"/>
        <v>36681.793762190842</v>
      </c>
      <c r="E13" s="39">
        <f t="shared" si="1"/>
        <v>14537.666437809159</v>
      </c>
      <c r="F13" s="39">
        <v>57064.582499999997</v>
      </c>
      <c r="G13" s="39">
        <f t="shared" si="2"/>
        <v>0.25475813194303421</v>
      </c>
    </row>
    <row r="14" spans="1:7" ht="15" customHeight="1" x14ac:dyDescent="0.15">
      <c r="A14" s="39" t="s">
        <v>12</v>
      </c>
      <c r="B14" s="40">
        <v>-0.11147466632110935</v>
      </c>
      <c r="C14" s="40">
        <v>20927.833899999998</v>
      </c>
      <c r="D14" s="39">
        <f t="shared" si="0"/>
        <v>18594.910599173898</v>
      </c>
      <c r="E14" s="39">
        <f t="shared" si="1"/>
        <v>2332.9233008260999</v>
      </c>
      <c r="F14" s="39">
        <v>23096.944500000001</v>
      </c>
      <c r="G14" s="39">
        <f t="shared" si="2"/>
        <v>0.10100571098597477</v>
      </c>
    </row>
    <row r="15" spans="1:7" ht="15" customHeight="1" x14ac:dyDescent="0.15">
      <c r="A15" s="39" t="s">
        <v>13</v>
      </c>
      <c r="B15" s="40">
        <v>-0.92329524236313387</v>
      </c>
      <c r="C15" s="40">
        <v>8637.2286999999997</v>
      </c>
      <c r="D15" s="39">
        <f t="shared" si="0"/>
        <v>662.51653408768425</v>
      </c>
      <c r="E15" s="39">
        <f t="shared" si="1"/>
        <v>7974.712165912315</v>
      </c>
      <c r="F15" s="39">
        <v>9977.3274999999994</v>
      </c>
      <c r="G15" s="39">
        <f t="shared" si="2"/>
        <v>0.79928339186142938</v>
      </c>
    </row>
    <row r="16" spans="1:7" ht="15" customHeight="1" x14ac:dyDescent="0.15">
      <c r="A16" s="39" t="s">
        <v>14</v>
      </c>
      <c r="B16" s="40">
        <v>-0.27456700091157699</v>
      </c>
      <c r="C16" s="40">
        <v>6986.8236999999999</v>
      </c>
      <c r="D16" s="39">
        <f t="shared" si="0"/>
        <v>5068.4724707930718</v>
      </c>
      <c r="E16" s="39">
        <f t="shared" si="1"/>
        <v>1918.3512292069281</v>
      </c>
      <c r="F16" s="39">
        <v>9609.5116999999991</v>
      </c>
      <c r="G16" s="39">
        <f t="shared" si="2"/>
        <v>0.1996304587679443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E76F-5E9C-6744-8A61-E9E812034228}">
  <dimension ref="A1:Q17"/>
  <sheetViews>
    <sheetView workbookViewId="0">
      <selection activeCell="B2" sqref="B2:E5"/>
    </sheetView>
  </sheetViews>
  <sheetFormatPr baseColWidth="10" defaultColWidth="10.59765625" defaultRowHeight="12" x14ac:dyDescent="0.15"/>
  <cols>
    <col min="1" max="1" width="5.796875" style="24" customWidth="1"/>
    <col min="2" max="2" width="28.796875" style="23" bestFit="1" customWidth="1"/>
    <col min="3" max="3" width="28.796875" style="24" customWidth="1"/>
    <col min="4" max="17" width="15.3984375" style="24" customWidth="1"/>
    <col min="18" max="16384" width="10.59765625" style="24"/>
  </cols>
  <sheetData>
    <row r="1" spans="1:17" x14ac:dyDescent="0.15">
      <c r="A1" s="30"/>
      <c r="B1" s="20"/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  <c r="Q1" s="30">
        <v>15</v>
      </c>
    </row>
    <row r="2" spans="1:17" ht="36" x14ac:dyDescent="0.15">
      <c r="A2" s="20"/>
      <c r="B2" s="19"/>
      <c r="C2" s="28" t="s">
        <v>0</v>
      </c>
      <c r="D2" s="28" t="s">
        <v>1</v>
      </c>
      <c r="E2" s="28" t="s">
        <v>2</v>
      </c>
      <c r="F2" s="28" t="s">
        <v>58</v>
      </c>
      <c r="G2" s="28" t="s">
        <v>46</v>
      </c>
      <c r="H2" s="28" t="s">
        <v>59</v>
      </c>
      <c r="I2" s="28" t="s">
        <v>48</v>
      </c>
      <c r="J2" s="28" t="s">
        <v>60</v>
      </c>
      <c r="K2" s="28" t="s">
        <v>61</v>
      </c>
      <c r="L2" s="28" t="s">
        <v>51</v>
      </c>
      <c r="M2" s="28" t="s">
        <v>52</v>
      </c>
      <c r="N2" s="28" t="s">
        <v>62</v>
      </c>
      <c r="O2" s="28" t="s">
        <v>54</v>
      </c>
      <c r="P2" s="28" t="s">
        <v>55</v>
      </c>
      <c r="Q2" s="28" t="s">
        <v>63</v>
      </c>
    </row>
    <row r="3" spans="1:17" x14ac:dyDescent="0.15">
      <c r="A3" s="30">
        <v>1</v>
      </c>
      <c r="B3" s="29" t="s">
        <v>0</v>
      </c>
      <c r="C3" s="33">
        <v>0.23703322917154371</v>
      </c>
      <c r="D3" s="33">
        <v>8.3369866872173848E-3</v>
      </c>
      <c r="E3" s="33">
        <v>3.185140603089102E-3</v>
      </c>
      <c r="F3" s="33">
        <v>3.9608692147560399E-3</v>
      </c>
      <c r="G3" s="33">
        <v>3.3022905274590797E-3</v>
      </c>
      <c r="H3" s="33">
        <v>3.9216415936950258E-2</v>
      </c>
      <c r="I3" s="33">
        <v>5.6449582404029825E-3</v>
      </c>
      <c r="J3" s="33">
        <v>2.1996584738654726E-3</v>
      </c>
      <c r="K3" s="33">
        <v>1.3054769004778985E-2</v>
      </c>
      <c r="L3" s="33">
        <v>4.0668444433481265E-3</v>
      </c>
      <c r="M3" s="33">
        <v>2.1786479183694548E-3</v>
      </c>
      <c r="N3" s="33">
        <v>2.9730964911554379E-2</v>
      </c>
      <c r="O3" s="33">
        <v>1.1414016256565884E-2</v>
      </c>
      <c r="P3" s="33">
        <v>2.6220748993154731E-2</v>
      </c>
      <c r="Q3" s="33">
        <v>1.2775113224535645E-2</v>
      </c>
    </row>
    <row r="4" spans="1:17" x14ac:dyDescent="0.15">
      <c r="A4" s="30">
        <v>2</v>
      </c>
      <c r="B4" s="29" t="s">
        <v>1</v>
      </c>
      <c r="C4" s="33">
        <v>2.7445875430614879E-2</v>
      </c>
      <c r="D4" s="33">
        <v>0.1669286246619977</v>
      </c>
      <c r="E4" s="33">
        <v>7.9083230883690764E-2</v>
      </c>
      <c r="F4" s="33">
        <v>2.3051885491606038E-2</v>
      </c>
      <c r="G4" s="33">
        <v>6.2283419810335319E-2</v>
      </c>
      <c r="H4" s="33">
        <v>8.9176865210407227E-2</v>
      </c>
      <c r="I4" s="33">
        <v>5.5410144165767089E-2</v>
      </c>
      <c r="J4" s="33">
        <v>6.3642971889480374E-3</v>
      </c>
      <c r="K4" s="33">
        <v>2.0920185471395656E-2</v>
      </c>
      <c r="L4" s="33">
        <v>6.3928758634724428E-2</v>
      </c>
      <c r="M4" s="33">
        <v>4.6738036690658444E-2</v>
      </c>
      <c r="N4" s="33">
        <v>3.6401168798527526E-2</v>
      </c>
      <c r="O4" s="33">
        <v>6.2288329956371499E-2</v>
      </c>
      <c r="P4" s="33">
        <v>2.8431721821299341E-2</v>
      </c>
      <c r="Q4" s="33">
        <v>3.9967379403887927E-2</v>
      </c>
    </row>
    <row r="5" spans="1:17" x14ac:dyDescent="0.15">
      <c r="A5" s="30">
        <v>3</v>
      </c>
      <c r="B5" s="29" t="s">
        <v>2</v>
      </c>
      <c r="C5" s="33">
        <v>9.18541103858838E-3</v>
      </c>
      <c r="D5" s="33">
        <v>1.3910955154291689E-3</v>
      </c>
      <c r="E5" s="33">
        <v>0.37755069832468419</v>
      </c>
      <c r="F5" s="33">
        <v>8.0783128048120625E-4</v>
      </c>
      <c r="G5" s="33">
        <v>1.1572473245514824E-3</v>
      </c>
      <c r="H5" s="33">
        <v>5.8282499823520987E-3</v>
      </c>
      <c r="I5" s="33">
        <v>7.3048512330513619E-4</v>
      </c>
      <c r="J5" s="33">
        <v>8.5148612453296102E-4</v>
      </c>
      <c r="K5" s="33">
        <v>4.4740415272881084E-2</v>
      </c>
      <c r="L5" s="33">
        <v>5.4590234594463711E-3</v>
      </c>
      <c r="M5" s="33">
        <v>9.3373269235581119E-4</v>
      </c>
      <c r="N5" s="33">
        <v>5.400255053123363E-3</v>
      </c>
      <c r="O5" s="33">
        <v>2.9441296878035101E-3</v>
      </c>
      <c r="P5" s="33">
        <v>9.5219787062216822E-3</v>
      </c>
      <c r="Q5" s="33">
        <v>1.0703561555578315E-3</v>
      </c>
    </row>
    <row r="6" spans="1:17" x14ac:dyDescent="0.15">
      <c r="A6" s="30">
        <v>4</v>
      </c>
      <c r="B6" s="29" t="s">
        <v>58</v>
      </c>
      <c r="C6" s="33">
        <v>1.3335775384257609E-2</v>
      </c>
      <c r="D6" s="33">
        <v>3.3549144813739752E-2</v>
      </c>
      <c r="E6" s="33">
        <v>2.8265431067837566E-2</v>
      </c>
      <c r="F6" s="33">
        <v>3.1357346574352733E-2</v>
      </c>
      <c r="G6" s="33">
        <v>2.1724064846830871E-2</v>
      </c>
      <c r="H6" s="33">
        <v>5.4948533972154961E-2</v>
      </c>
      <c r="I6" s="33">
        <v>4.7453055428969222E-2</v>
      </c>
      <c r="J6" s="33">
        <v>1.1072325548813608E-2</v>
      </c>
      <c r="K6" s="33">
        <v>9.9302384761039818E-3</v>
      </c>
      <c r="L6" s="33">
        <v>1.7204243141635933E-2</v>
      </c>
      <c r="M6" s="33">
        <v>1.843702474650449E-2</v>
      </c>
      <c r="N6" s="33">
        <v>1.8236223843397084E-2</v>
      </c>
      <c r="O6" s="33">
        <v>2.4870947756747652E-2</v>
      </c>
      <c r="P6" s="33">
        <v>1.4821193350624203E-2</v>
      </c>
      <c r="Q6" s="33">
        <v>1.5603654449996665E-2</v>
      </c>
    </row>
    <row r="7" spans="1:17" x14ac:dyDescent="0.15">
      <c r="A7" s="30">
        <v>5</v>
      </c>
      <c r="B7" s="29" t="s">
        <v>46</v>
      </c>
      <c r="C7" s="33">
        <v>8.7515388174727073E-3</v>
      </c>
      <c r="D7" s="33">
        <v>8.7432914922990906E-3</v>
      </c>
      <c r="E7" s="33">
        <v>4.7596434688400892E-3</v>
      </c>
      <c r="F7" s="33">
        <v>0.10324923011698242</v>
      </c>
      <c r="G7" s="33">
        <v>0.24589471447450223</v>
      </c>
      <c r="H7" s="33">
        <v>9.9719986641564565E-3</v>
      </c>
      <c r="I7" s="33">
        <v>1.1698820242467869E-2</v>
      </c>
      <c r="J7" s="33">
        <v>7.7762601816853778E-3</v>
      </c>
      <c r="K7" s="33">
        <v>8.7593130593774174E-3</v>
      </c>
      <c r="L7" s="33">
        <v>9.001088600881722E-3</v>
      </c>
      <c r="M7" s="33">
        <v>1.092082761923819E-2</v>
      </c>
      <c r="N7" s="33">
        <v>3.6484602336309041E-2</v>
      </c>
      <c r="O7" s="33">
        <v>5.3664587538840907E-3</v>
      </c>
      <c r="P7" s="33">
        <v>6.6955003732211867E-3</v>
      </c>
      <c r="Q7" s="33">
        <v>7.3820088069615451E-3</v>
      </c>
    </row>
    <row r="8" spans="1:17" x14ac:dyDescent="0.15">
      <c r="A8" s="30">
        <v>6</v>
      </c>
      <c r="B8" s="29" t="s">
        <v>59</v>
      </c>
      <c r="C8" s="33">
        <v>1.1454732739195194E-3</v>
      </c>
      <c r="D8" s="33">
        <v>9.9798615479280311E-4</v>
      </c>
      <c r="E8" s="33">
        <v>6.8808025357903493E-4</v>
      </c>
      <c r="F8" s="33">
        <v>4.4660185764412233E-3</v>
      </c>
      <c r="G8" s="33">
        <v>6.2864820897838907E-3</v>
      </c>
      <c r="H8" s="33">
        <v>1.0234236754737787E-2</v>
      </c>
      <c r="I8" s="33">
        <v>7.8423826515215574E-3</v>
      </c>
      <c r="J8" s="33">
        <v>5.9587255175209339E-3</v>
      </c>
      <c r="K8" s="33">
        <v>2.6695506514871053E-3</v>
      </c>
      <c r="L8" s="33">
        <v>6.5381145004298905E-3</v>
      </c>
      <c r="M8" s="33">
        <v>6.7031565647471111E-3</v>
      </c>
      <c r="N8" s="33">
        <v>4.5688076312483325E-3</v>
      </c>
      <c r="O8" s="33">
        <v>3.1672630983721676E-3</v>
      </c>
      <c r="P8" s="33">
        <v>8.5110667160118777E-3</v>
      </c>
      <c r="Q8" s="33">
        <v>6.3815209257719113E-3</v>
      </c>
    </row>
    <row r="9" spans="1:17" x14ac:dyDescent="0.15">
      <c r="A9" s="30">
        <v>7</v>
      </c>
      <c r="B9" s="29" t="s">
        <v>48</v>
      </c>
      <c r="C9" s="33">
        <v>7.9552867473171689E-3</v>
      </c>
      <c r="D9" s="33">
        <v>2.7550746480377694E-3</v>
      </c>
      <c r="E9" s="33">
        <v>3.2204894119431077E-3</v>
      </c>
      <c r="F9" s="33">
        <v>1.2246955315599235E-2</v>
      </c>
      <c r="G9" s="33">
        <v>6.6718495492560578E-3</v>
      </c>
      <c r="H9" s="33">
        <v>8.5433023356322017E-3</v>
      </c>
      <c r="I9" s="33">
        <v>0.15528350126892518</v>
      </c>
      <c r="J9" s="33">
        <v>3.8572592421059849E-2</v>
      </c>
      <c r="K9" s="33">
        <v>1.0917437259275574E-2</v>
      </c>
      <c r="L9" s="33">
        <v>4.6024565249354193E-2</v>
      </c>
      <c r="M9" s="33">
        <v>1.386170694711077E-2</v>
      </c>
      <c r="N9" s="33">
        <v>3.7250849947075323E-2</v>
      </c>
      <c r="O9" s="33">
        <v>2.915999992986085E-2</v>
      </c>
      <c r="P9" s="33">
        <v>2.587925474030997E-2</v>
      </c>
      <c r="Q9" s="33">
        <v>1.6707643948235165E-2</v>
      </c>
    </row>
    <row r="10" spans="1:17" x14ac:dyDescent="0.15">
      <c r="A10" s="30">
        <v>8</v>
      </c>
      <c r="B10" s="29" t="s">
        <v>60</v>
      </c>
      <c r="C10" s="33">
        <v>1.5451885784873387E-2</v>
      </c>
      <c r="D10" s="33">
        <v>8.4776942522375078E-3</v>
      </c>
      <c r="E10" s="33">
        <v>1.1673140450935534E-2</v>
      </c>
      <c r="F10" s="33">
        <v>3.4137085830437543E-2</v>
      </c>
      <c r="G10" s="33">
        <v>1.1187724801635959E-2</v>
      </c>
      <c r="H10" s="33">
        <v>1.952947998166777E-2</v>
      </c>
      <c r="I10" s="33">
        <v>1.2979540303803492E-2</v>
      </c>
      <c r="J10" s="33">
        <v>0.17021553395437744</v>
      </c>
      <c r="K10" s="33">
        <v>7.9697906800773058E-2</v>
      </c>
      <c r="L10" s="33">
        <v>2.451937492108942E-2</v>
      </c>
      <c r="M10" s="33">
        <v>2.2791390492547116E-2</v>
      </c>
      <c r="N10" s="33">
        <v>8.5672522006097235E-2</v>
      </c>
      <c r="O10" s="33">
        <v>1.7582767279022554E-2</v>
      </c>
      <c r="P10" s="33">
        <v>2.1484280234361358E-2</v>
      </c>
      <c r="Q10" s="33">
        <v>1.439027333719777E-2</v>
      </c>
    </row>
    <row r="11" spans="1:17" x14ac:dyDescent="0.15">
      <c r="A11" s="30">
        <v>9</v>
      </c>
      <c r="B11" s="29" t="s">
        <v>61</v>
      </c>
      <c r="C11" s="33">
        <v>8.6795568469731684E-3</v>
      </c>
      <c r="D11" s="33">
        <v>2.940981490193278E-3</v>
      </c>
      <c r="E11" s="33">
        <v>4.0238663374445966E-3</v>
      </c>
      <c r="F11" s="33">
        <v>2.7753387054007896E-2</v>
      </c>
      <c r="G11" s="33">
        <v>8.8465938650106914E-3</v>
      </c>
      <c r="H11" s="33">
        <v>7.4563431952177309E-2</v>
      </c>
      <c r="I11" s="33">
        <v>9.8098953539193547E-3</v>
      </c>
      <c r="J11" s="33">
        <v>1.9399614868213077E-2</v>
      </c>
      <c r="K11" s="33">
        <v>4.0731965315826901E-2</v>
      </c>
      <c r="L11" s="33">
        <v>1.8984587566645974E-2</v>
      </c>
      <c r="M11" s="33">
        <v>1.4399105658518371E-2</v>
      </c>
      <c r="N11" s="33">
        <v>1.8157237897955356E-2</v>
      </c>
      <c r="O11" s="33">
        <v>3.15868144377279E-2</v>
      </c>
      <c r="P11" s="33">
        <v>2.3697117289173879E-2</v>
      </c>
      <c r="Q11" s="33">
        <v>3.5215358549383943E-2</v>
      </c>
    </row>
    <row r="12" spans="1:17" x14ac:dyDescent="0.15">
      <c r="A12" s="30">
        <v>10</v>
      </c>
      <c r="B12" s="29" t="s">
        <v>51</v>
      </c>
      <c r="C12" s="33">
        <v>1.6306878663664315E-2</v>
      </c>
      <c r="D12" s="33">
        <v>1.7419438214211023E-2</v>
      </c>
      <c r="E12" s="33">
        <v>2.1717976764818098E-2</v>
      </c>
      <c r="F12" s="33">
        <v>2.2616099329103703E-2</v>
      </c>
      <c r="G12" s="33">
        <v>1.1621262029979002E-2</v>
      </c>
      <c r="H12" s="33">
        <v>2.7797138298448779E-2</v>
      </c>
      <c r="I12" s="33">
        <v>3.1431760744460142E-2</v>
      </c>
      <c r="J12" s="33">
        <v>2.4594253628549105E-2</v>
      </c>
      <c r="K12" s="33">
        <v>6.1373241202035474E-2</v>
      </c>
      <c r="L12" s="33">
        <v>4.6676855936299E-2</v>
      </c>
      <c r="M12" s="33">
        <v>1.4932093548171179E-2</v>
      </c>
      <c r="N12" s="33">
        <v>2.9821001494228058E-2</v>
      </c>
      <c r="O12" s="33">
        <v>2.0383752491590391E-2</v>
      </c>
      <c r="P12" s="33">
        <v>4.0715061222556845E-2</v>
      </c>
      <c r="Q12" s="33">
        <v>2.270846915145543E-2</v>
      </c>
    </row>
    <row r="13" spans="1:17" x14ac:dyDescent="0.15">
      <c r="A13" s="30">
        <v>11</v>
      </c>
      <c r="B13" s="29" t="s">
        <v>52</v>
      </c>
      <c r="C13" s="33">
        <v>1.4632644593226253E-2</v>
      </c>
      <c r="D13" s="33">
        <v>6.3115162635841065E-3</v>
      </c>
      <c r="E13" s="33">
        <v>1.2948822609303065E-2</v>
      </c>
      <c r="F13" s="33">
        <v>2.3006397234059037E-2</v>
      </c>
      <c r="G13" s="33">
        <v>1.6798468176566012E-2</v>
      </c>
      <c r="H13" s="33">
        <v>1.5100886626215736E-2</v>
      </c>
      <c r="I13" s="33">
        <v>1.9254082822961E-2</v>
      </c>
      <c r="J13" s="33">
        <v>1.8184148729690409E-2</v>
      </c>
      <c r="K13" s="33">
        <v>3.6042646929001596E-2</v>
      </c>
      <c r="L13" s="33">
        <v>1.4096621929303259E-2</v>
      </c>
      <c r="M13" s="33">
        <v>6.1058387534573502E-2</v>
      </c>
      <c r="N13" s="33">
        <v>2.1557800760217599E-2</v>
      </c>
      <c r="O13" s="33">
        <v>2.2240275115178114E-2</v>
      </c>
      <c r="P13" s="33">
        <v>3.3004108565144324E-2</v>
      </c>
      <c r="Q13" s="33">
        <v>1.2220693794462003E-2</v>
      </c>
    </row>
    <row r="14" spans="1:17" x14ac:dyDescent="0.15">
      <c r="A14" s="30">
        <v>12</v>
      </c>
      <c r="B14" s="29" t="s">
        <v>62</v>
      </c>
      <c r="C14" s="33">
        <v>4.5189714465704179E-3</v>
      </c>
      <c r="D14" s="33">
        <v>1.0000967333617379E-3</v>
      </c>
      <c r="E14" s="33">
        <v>2.4749433298398636E-3</v>
      </c>
      <c r="F14" s="33">
        <v>4.2347020128249068E-3</v>
      </c>
      <c r="G14" s="33">
        <v>3.3380543860747226E-3</v>
      </c>
      <c r="H14" s="33">
        <v>7.2725369089383434E-3</v>
      </c>
      <c r="I14" s="33">
        <v>4.0716486050039347E-3</v>
      </c>
      <c r="J14" s="33">
        <v>3.9706410747689649E-3</v>
      </c>
      <c r="K14" s="33">
        <v>1.2044639542562057E-2</v>
      </c>
      <c r="L14" s="33">
        <v>7.300524599166705E-3</v>
      </c>
      <c r="M14" s="33">
        <v>2.098211595614958E-3</v>
      </c>
      <c r="N14" s="33">
        <v>2.1483541038787062E-2</v>
      </c>
      <c r="O14" s="33">
        <v>3.7930255233543987E-3</v>
      </c>
      <c r="P14" s="33">
        <v>1.1072223498727492E-2</v>
      </c>
      <c r="Q14" s="33">
        <v>4.062797488450948E-3</v>
      </c>
    </row>
    <row r="15" spans="1:17" x14ac:dyDescent="0.15">
      <c r="A15" s="30">
        <v>13</v>
      </c>
      <c r="B15" s="29" t="s">
        <v>54</v>
      </c>
      <c r="C15" s="33">
        <v>2.4734072278183045E-4</v>
      </c>
      <c r="D15" s="33">
        <v>1.0439572815133345E-4</v>
      </c>
      <c r="E15" s="33">
        <v>1.3421981144484286E-4</v>
      </c>
      <c r="F15" s="33">
        <v>3.6278992129540615E-4</v>
      </c>
      <c r="G15" s="33">
        <v>2.098148699243975E-4</v>
      </c>
      <c r="H15" s="33">
        <v>7.2705897032540568E-4</v>
      </c>
      <c r="I15" s="33">
        <v>2.994628673322515E-4</v>
      </c>
      <c r="J15" s="33">
        <v>3.7261685266715155E-4</v>
      </c>
      <c r="K15" s="33">
        <v>5.8319666498891812E-4</v>
      </c>
      <c r="L15" s="33">
        <v>5.0092518092228577E-4</v>
      </c>
      <c r="M15" s="33">
        <v>3.4181986314380831E-4</v>
      </c>
      <c r="N15" s="33">
        <v>5.4441807227801941E-3</v>
      </c>
      <c r="O15" s="33">
        <v>6.1543110171996984E-2</v>
      </c>
      <c r="P15" s="33">
        <v>7.3192846481184466E-3</v>
      </c>
      <c r="Q15" s="33">
        <v>2.8734966834995375E-3</v>
      </c>
    </row>
    <row r="16" spans="1:17" x14ac:dyDescent="0.15">
      <c r="A16" s="30">
        <v>14</v>
      </c>
      <c r="B16" s="29" t="s">
        <v>55</v>
      </c>
      <c r="C16" s="33">
        <v>1.7270721924593139E-4</v>
      </c>
      <c r="D16" s="33">
        <v>8.719331203549189E-5</v>
      </c>
      <c r="E16" s="33">
        <v>6.5205264513471678E-4</v>
      </c>
      <c r="F16" s="33">
        <v>4.8420079137838422E-4</v>
      </c>
      <c r="G16" s="33">
        <v>3.3914549530653126E-4</v>
      </c>
      <c r="H16" s="33">
        <v>1.1689667224275566E-3</v>
      </c>
      <c r="I16" s="33">
        <v>1.2946807356596349E-3</v>
      </c>
      <c r="J16" s="33">
        <v>1.1240437533619335E-3</v>
      </c>
      <c r="K16" s="33">
        <v>4.8320772934284451E-4</v>
      </c>
      <c r="L16" s="33">
        <v>1.3233154355750485E-3</v>
      </c>
      <c r="M16" s="33">
        <v>1.5011287562664726E-3</v>
      </c>
      <c r="N16" s="33">
        <v>2.5873999866729948E-3</v>
      </c>
      <c r="O16" s="33">
        <v>1.1421597345917336E-3</v>
      </c>
      <c r="P16" s="33">
        <v>4.3269753348278886E-2</v>
      </c>
      <c r="Q16" s="33">
        <v>2.9059645143051341E-3</v>
      </c>
    </row>
    <row r="17" spans="1:17" x14ac:dyDescent="0.15">
      <c r="A17" s="30">
        <v>15</v>
      </c>
      <c r="B17" s="29" t="s">
        <v>63</v>
      </c>
      <c r="C17" s="33">
        <v>1.6953968247759863E-3</v>
      </c>
      <c r="D17" s="33">
        <v>3.6329122501684962E-4</v>
      </c>
      <c r="E17" s="33">
        <v>1.5273999375760529E-3</v>
      </c>
      <c r="F17" s="33">
        <v>1.2466872912895617E-3</v>
      </c>
      <c r="G17" s="33">
        <v>2.3946234251043383E-3</v>
      </c>
      <c r="H17" s="33">
        <v>3.4468347005869033E-3</v>
      </c>
      <c r="I17" s="33">
        <v>2.1996180777513795E-3</v>
      </c>
      <c r="J17" s="33">
        <v>1.844832982415697E-3</v>
      </c>
      <c r="K17" s="33">
        <v>2.4075642653279038E-3</v>
      </c>
      <c r="L17" s="33">
        <v>2.0673728399597667E-3</v>
      </c>
      <c r="M17" s="33">
        <v>2.6723525149828019E-3</v>
      </c>
      <c r="N17" s="33">
        <v>8.1337246268296109E-3</v>
      </c>
      <c r="O17" s="33">
        <v>4.650060963691539E-3</v>
      </c>
      <c r="P17" s="33">
        <v>1.4025980404071131E-2</v>
      </c>
      <c r="Q17" s="33">
        <v>7.7085706654584753E-3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828B-3C3D-5A44-B89F-4DC678B41F7E}">
  <dimension ref="A1:AB40"/>
  <sheetViews>
    <sheetView workbookViewId="0">
      <selection activeCell="B2" sqref="B2:E5"/>
    </sheetView>
  </sheetViews>
  <sheetFormatPr baseColWidth="10" defaultColWidth="10.59765625" defaultRowHeight="12" x14ac:dyDescent="0.15"/>
  <cols>
    <col min="1" max="1" width="5.796875" style="23" customWidth="1"/>
    <col min="2" max="2" width="28.796875" style="23" bestFit="1" customWidth="1"/>
    <col min="3" max="3" width="28.796875" style="23" customWidth="1"/>
    <col min="4" max="25" width="15.3984375" style="23" customWidth="1"/>
    <col min="26" max="26" width="11.796875" style="23" bestFit="1" customWidth="1"/>
    <col min="27" max="27" width="22.3984375" style="23" customWidth="1"/>
    <col min="28" max="16384" width="10.59765625" style="23"/>
  </cols>
  <sheetData>
    <row r="1" spans="1:28" x14ac:dyDescent="0.15">
      <c r="A1" s="30"/>
      <c r="B1" s="20"/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  <c r="Q1" s="30">
        <v>15</v>
      </c>
      <c r="R1" s="30" t="s">
        <v>26</v>
      </c>
      <c r="S1" s="30">
        <v>21</v>
      </c>
      <c r="T1" s="30">
        <v>22</v>
      </c>
      <c r="U1" s="30">
        <v>23</v>
      </c>
      <c r="V1" s="30">
        <v>24</v>
      </c>
      <c r="W1" s="30">
        <v>25</v>
      </c>
      <c r="X1" s="30"/>
      <c r="Y1" s="30" t="s">
        <v>28</v>
      </c>
    </row>
    <row r="2" spans="1:28" ht="48" x14ac:dyDescent="0.15">
      <c r="A2" s="30"/>
      <c r="B2" s="19"/>
      <c r="C2" s="32" t="s">
        <v>0</v>
      </c>
      <c r="D2" s="32" t="s">
        <v>1</v>
      </c>
      <c r="E2" s="32" t="s">
        <v>2</v>
      </c>
      <c r="F2" s="32" t="s">
        <v>58</v>
      </c>
      <c r="G2" s="32" t="s">
        <v>46</v>
      </c>
      <c r="H2" s="32" t="s">
        <v>59</v>
      </c>
      <c r="I2" s="32" t="s">
        <v>48</v>
      </c>
      <c r="J2" s="32" t="s">
        <v>60</v>
      </c>
      <c r="K2" s="32" t="s">
        <v>61</v>
      </c>
      <c r="L2" s="32" t="s">
        <v>51</v>
      </c>
      <c r="M2" s="32" t="s">
        <v>52</v>
      </c>
      <c r="N2" s="32" t="s">
        <v>62</v>
      </c>
      <c r="O2" s="32" t="s">
        <v>54</v>
      </c>
      <c r="P2" s="32" t="s">
        <v>55</v>
      </c>
      <c r="Q2" s="32" t="s">
        <v>63</v>
      </c>
      <c r="R2" s="31" t="s">
        <v>57</v>
      </c>
      <c r="S2" s="31" t="s">
        <v>19</v>
      </c>
      <c r="T2" s="31" t="s">
        <v>20</v>
      </c>
      <c r="U2" s="31" t="s">
        <v>21</v>
      </c>
      <c r="V2" s="31" t="s">
        <v>22</v>
      </c>
      <c r="W2" s="31" t="s">
        <v>23</v>
      </c>
      <c r="X2" s="31" t="s">
        <v>24</v>
      </c>
      <c r="Y2" s="31" t="s">
        <v>25</v>
      </c>
    </row>
    <row r="3" spans="1:28" x14ac:dyDescent="0.15">
      <c r="A3" s="30">
        <v>1</v>
      </c>
      <c r="B3" s="29" t="s">
        <v>0</v>
      </c>
      <c r="C3" s="33">
        <v>4308.8287</v>
      </c>
      <c r="D3" s="33">
        <v>2985.4821000000002</v>
      </c>
      <c r="E3" s="33">
        <v>198.95410000000001</v>
      </c>
      <c r="F3" s="33">
        <v>850.27420000000006</v>
      </c>
      <c r="G3" s="33">
        <v>567.61689999999999</v>
      </c>
      <c r="H3" s="33">
        <v>908.30690000000004</v>
      </c>
      <c r="I3" s="33">
        <v>577.44810000000007</v>
      </c>
      <c r="J3" s="33">
        <v>300.83189999999996</v>
      </c>
      <c r="K3" s="33">
        <v>714.9452</v>
      </c>
      <c r="L3" s="33">
        <v>250.60050000000001</v>
      </c>
      <c r="M3" s="33">
        <v>69.446899999999999</v>
      </c>
      <c r="N3" s="33">
        <v>1696.5851</v>
      </c>
      <c r="O3" s="33">
        <v>263.62889999999999</v>
      </c>
      <c r="P3" s="33">
        <v>261.613</v>
      </c>
      <c r="Q3" s="33">
        <v>122.76259999999999</v>
      </c>
      <c r="R3" s="33">
        <v>14077.324999999999</v>
      </c>
      <c r="S3" s="33">
        <v>2089.3867</v>
      </c>
      <c r="T3" s="33">
        <v>436.75890000000004</v>
      </c>
      <c r="U3" s="33">
        <v>112.3873</v>
      </c>
      <c r="V3" s="33">
        <v>20.3125</v>
      </c>
      <c r="W3" s="33">
        <v>1441.9919</v>
      </c>
      <c r="X3" s="33">
        <v>4100.8372999999992</v>
      </c>
      <c r="Y3" s="33">
        <v>18178.163100000002</v>
      </c>
      <c r="Z3" s="51"/>
      <c r="AA3" s="52"/>
      <c r="AB3" s="25"/>
    </row>
    <row r="4" spans="1:28" x14ac:dyDescent="0.15">
      <c r="A4" s="30">
        <v>2</v>
      </c>
      <c r="B4" s="29" t="s">
        <v>1</v>
      </c>
      <c r="C4" s="33">
        <v>498.91560000000004</v>
      </c>
      <c r="D4" s="33">
        <v>59777.284</v>
      </c>
      <c r="E4" s="33">
        <v>4939.7923000000001</v>
      </c>
      <c r="F4" s="33">
        <v>4948.5156999999999</v>
      </c>
      <c r="G4" s="33">
        <v>10705.636399999999</v>
      </c>
      <c r="H4" s="33">
        <v>2065.4605999999999</v>
      </c>
      <c r="I4" s="33">
        <v>5668.1522000000004</v>
      </c>
      <c r="J4" s="33">
        <v>870.40039999999999</v>
      </c>
      <c r="K4" s="33">
        <v>1145.6952000000001</v>
      </c>
      <c r="L4" s="33">
        <v>3939.3144000000002</v>
      </c>
      <c r="M4" s="33">
        <v>1489.8285000000001</v>
      </c>
      <c r="N4" s="33">
        <v>2077.2174999999997</v>
      </c>
      <c r="O4" s="33">
        <v>1438.6701</v>
      </c>
      <c r="P4" s="33">
        <v>283.67259999999999</v>
      </c>
      <c r="Q4" s="33">
        <v>384.06700000000001</v>
      </c>
      <c r="R4" s="33">
        <v>100232.62239999999</v>
      </c>
      <c r="S4" s="33">
        <v>4764.5358999999999</v>
      </c>
      <c r="T4" s="33">
        <v>264.39850000000001</v>
      </c>
      <c r="U4" s="33">
        <v>9283.9755000000005</v>
      </c>
      <c r="V4" s="33">
        <v>1722.4049</v>
      </c>
      <c r="W4" s="33">
        <v>241832.92370000001</v>
      </c>
      <c r="X4" s="33">
        <v>257868.23850000001</v>
      </c>
      <c r="Y4" s="33">
        <v>358100.85969999997</v>
      </c>
      <c r="Z4" s="51"/>
      <c r="AA4" s="52"/>
      <c r="AB4" s="25"/>
    </row>
    <row r="5" spans="1:28" s="59" customFormat="1" x14ac:dyDescent="0.15">
      <c r="A5" s="53">
        <v>3</v>
      </c>
      <c r="B5" s="54" t="s">
        <v>2</v>
      </c>
      <c r="C5" s="55">
        <v>166.97389999999999</v>
      </c>
      <c r="D5" s="55">
        <v>498.15249999999997</v>
      </c>
      <c r="E5" s="55">
        <v>23583.0278</v>
      </c>
      <c r="F5" s="55">
        <v>173.416</v>
      </c>
      <c r="G5" s="55">
        <v>198.9144</v>
      </c>
      <c r="H5" s="55">
        <v>134.99039999999999</v>
      </c>
      <c r="I5" s="55">
        <v>74.724599999999995</v>
      </c>
      <c r="J5" s="55">
        <v>116.45180000000001</v>
      </c>
      <c r="K5" s="55">
        <v>2450.2114999999999</v>
      </c>
      <c r="L5" s="55">
        <v>336.38709999999998</v>
      </c>
      <c r="M5" s="55">
        <v>29.7638</v>
      </c>
      <c r="N5" s="55">
        <v>308.16329999999999</v>
      </c>
      <c r="O5" s="55">
        <v>68.000399999999999</v>
      </c>
      <c r="P5" s="55">
        <v>95.003900000000002</v>
      </c>
      <c r="Q5" s="55">
        <v>10.285600000000001</v>
      </c>
      <c r="R5" s="55">
        <v>28244.466799999998</v>
      </c>
      <c r="S5" s="55">
        <v>31.907</v>
      </c>
      <c r="T5" s="55">
        <v>5.6616999999999997</v>
      </c>
      <c r="U5" s="55">
        <v>32445.845099999999</v>
      </c>
      <c r="V5" s="55">
        <v>0</v>
      </c>
      <c r="W5" s="55">
        <v>1735.3273999999999</v>
      </c>
      <c r="X5" s="55">
        <v>34218.741199999997</v>
      </c>
      <c r="Y5" s="55">
        <v>62463.207999999999</v>
      </c>
      <c r="Z5" s="56"/>
      <c r="AA5" s="57"/>
      <c r="AB5" s="58"/>
    </row>
    <row r="6" spans="1:28" x14ac:dyDescent="0.15">
      <c r="A6" s="30">
        <v>4</v>
      </c>
      <c r="B6" s="29" t="s">
        <v>58</v>
      </c>
      <c r="C6" s="33">
        <v>242.41990000000001</v>
      </c>
      <c r="D6" s="33">
        <v>12013.9776</v>
      </c>
      <c r="E6" s="33">
        <v>1765.5494999999999</v>
      </c>
      <c r="F6" s="33">
        <v>6731.4372999999996</v>
      </c>
      <c r="G6" s="33">
        <v>3734.0585999999998</v>
      </c>
      <c r="H6" s="33">
        <v>1272.6847</v>
      </c>
      <c r="I6" s="33">
        <v>4854.1858999999995</v>
      </c>
      <c r="J6" s="33">
        <v>1514.2845</v>
      </c>
      <c r="K6" s="33">
        <v>543.83010000000002</v>
      </c>
      <c r="L6" s="33">
        <v>1060.1320000000001</v>
      </c>
      <c r="M6" s="33">
        <v>587.70130000000006</v>
      </c>
      <c r="N6" s="33">
        <v>1040.6424999999999</v>
      </c>
      <c r="O6" s="33">
        <v>574.44290000000001</v>
      </c>
      <c r="P6" s="33">
        <v>147.8759</v>
      </c>
      <c r="Q6" s="33">
        <v>149.9435</v>
      </c>
      <c r="R6" s="33">
        <v>36233.166000000005</v>
      </c>
      <c r="S6" s="33">
        <v>15876.881399999998</v>
      </c>
      <c r="T6" s="33">
        <v>94.085300000000004</v>
      </c>
      <c r="U6" s="33">
        <v>5070.2533999999996</v>
      </c>
      <c r="V6" s="33">
        <v>3.1219999999999999</v>
      </c>
      <c r="W6" s="33">
        <v>157391.08040000001</v>
      </c>
      <c r="X6" s="33">
        <v>178435.42250000002</v>
      </c>
      <c r="Y6" s="33">
        <v>214668.5876</v>
      </c>
      <c r="Z6" s="51"/>
      <c r="AA6" s="52"/>
      <c r="AB6" s="25"/>
    </row>
    <row r="7" spans="1:28" x14ac:dyDescent="0.15">
      <c r="A7" s="30">
        <v>5</v>
      </c>
      <c r="B7" s="29" t="s">
        <v>46</v>
      </c>
      <c r="C7" s="33">
        <v>159.08690000000001</v>
      </c>
      <c r="D7" s="33">
        <v>3130.9802</v>
      </c>
      <c r="E7" s="33">
        <v>297.30259999999998</v>
      </c>
      <c r="F7" s="33">
        <v>22164.366399999999</v>
      </c>
      <c r="G7" s="33">
        <v>42265.813499999997</v>
      </c>
      <c r="H7" s="33">
        <v>230.96540000000002</v>
      </c>
      <c r="I7" s="33">
        <v>1196.7248</v>
      </c>
      <c r="J7" s="33">
        <v>1063.5047</v>
      </c>
      <c r="K7" s="33">
        <v>479.70429999999999</v>
      </c>
      <c r="L7" s="33">
        <v>554.65049999999997</v>
      </c>
      <c r="M7" s="33">
        <v>348.1139</v>
      </c>
      <c r="N7" s="33">
        <v>2081.9785999999999</v>
      </c>
      <c r="O7" s="33">
        <v>123.94880000000001</v>
      </c>
      <c r="P7" s="33">
        <v>66.803200000000004</v>
      </c>
      <c r="Q7" s="33">
        <v>70.9375</v>
      </c>
      <c r="R7" s="33">
        <v>74234.881399999998</v>
      </c>
      <c r="S7" s="33">
        <v>8152.9351999999999</v>
      </c>
      <c r="T7" s="33">
        <v>100.1712</v>
      </c>
      <c r="U7" s="33">
        <v>532.59680000000003</v>
      </c>
      <c r="V7" s="33">
        <v>2.7953999999999999</v>
      </c>
      <c r="W7" s="33">
        <v>88862.435599999997</v>
      </c>
      <c r="X7" s="33">
        <v>97650.934200000003</v>
      </c>
      <c r="Y7" s="33">
        <v>171885.81539999999</v>
      </c>
      <c r="Z7" s="51"/>
      <c r="AA7" s="52"/>
      <c r="AB7" s="25"/>
    </row>
    <row r="8" spans="1:28" x14ac:dyDescent="0.15">
      <c r="A8" s="30">
        <v>6</v>
      </c>
      <c r="B8" s="29" t="s">
        <v>59</v>
      </c>
      <c r="C8" s="33">
        <v>20.822600000000001</v>
      </c>
      <c r="D8" s="33">
        <v>357.37970000000001</v>
      </c>
      <c r="E8" s="33">
        <v>42.979700000000001</v>
      </c>
      <c r="F8" s="33">
        <v>958.71389999999997</v>
      </c>
      <c r="G8" s="33">
        <v>1080.5571</v>
      </c>
      <c r="H8" s="33">
        <v>237.03919999999999</v>
      </c>
      <c r="I8" s="33">
        <v>802.23250000000007</v>
      </c>
      <c r="J8" s="33">
        <v>814.93319999999994</v>
      </c>
      <c r="K8" s="33">
        <v>146.19810000000001</v>
      </c>
      <c r="L8" s="33">
        <v>402.8811</v>
      </c>
      <c r="M8" s="33">
        <v>213.67080000000001</v>
      </c>
      <c r="N8" s="33">
        <v>260.71710000000002</v>
      </c>
      <c r="O8" s="33">
        <v>73.1541</v>
      </c>
      <c r="P8" s="33">
        <v>84.917699999999996</v>
      </c>
      <c r="Q8" s="33">
        <v>61.323300000000003</v>
      </c>
      <c r="R8" s="33">
        <v>5557.52</v>
      </c>
      <c r="S8" s="33">
        <v>9773.76</v>
      </c>
      <c r="T8" s="33">
        <v>8.2426999999999992</v>
      </c>
      <c r="U8" s="33">
        <v>119.4198</v>
      </c>
      <c r="V8" s="33">
        <v>0</v>
      </c>
      <c r="W8" s="33">
        <v>7702.4523000000008</v>
      </c>
      <c r="X8" s="33">
        <v>17603.874800000001</v>
      </c>
      <c r="Y8" s="33">
        <v>23161.395</v>
      </c>
      <c r="Z8" s="51"/>
      <c r="AA8" s="52"/>
      <c r="AB8" s="25"/>
    </row>
    <row r="9" spans="1:28" x14ac:dyDescent="0.15">
      <c r="A9" s="30">
        <v>7</v>
      </c>
      <c r="B9" s="29" t="s">
        <v>48</v>
      </c>
      <c r="C9" s="33">
        <v>144.61249999999998</v>
      </c>
      <c r="D9" s="33">
        <v>986.59460000000001</v>
      </c>
      <c r="E9" s="33">
        <v>201.16210000000001</v>
      </c>
      <c r="F9" s="33">
        <v>2629.0365999999999</v>
      </c>
      <c r="G9" s="33">
        <v>1146.7963</v>
      </c>
      <c r="H9" s="33">
        <v>197.87479999999999</v>
      </c>
      <c r="I9" s="33">
        <v>15884.6459</v>
      </c>
      <c r="J9" s="33">
        <v>5275.3036000000002</v>
      </c>
      <c r="K9" s="33">
        <v>597.89409999999998</v>
      </c>
      <c r="L9" s="33">
        <v>2836.0511999999999</v>
      </c>
      <c r="M9" s="33">
        <v>441.8578</v>
      </c>
      <c r="N9" s="33">
        <v>2125.7042000000001</v>
      </c>
      <c r="O9" s="33">
        <v>673.50689999999997</v>
      </c>
      <c r="P9" s="33">
        <v>258.20580000000001</v>
      </c>
      <c r="Q9" s="33">
        <v>160.5523</v>
      </c>
      <c r="R9" s="33">
        <v>33559.798499999997</v>
      </c>
      <c r="S9" s="33">
        <v>5351.8589000000002</v>
      </c>
      <c r="T9" s="33">
        <v>98.263499999999993</v>
      </c>
      <c r="U9" s="33">
        <v>5809.1773999999996</v>
      </c>
      <c r="V9" s="33">
        <v>0.29920000000000002</v>
      </c>
      <c r="W9" s="33">
        <v>57475.088199999998</v>
      </c>
      <c r="X9" s="33">
        <v>68734.6872</v>
      </c>
      <c r="Y9" s="33">
        <v>102294.4857</v>
      </c>
      <c r="Z9" s="51"/>
      <c r="AA9" s="52"/>
      <c r="AB9" s="25"/>
    </row>
    <row r="10" spans="1:28" x14ac:dyDescent="0.15">
      <c r="A10" s="30">
        <v>8</v>
      </c>
      <c r="B10" s="29" t="s">
        <v>60</v>
      </c>
      <c r="C10" s="33">
        <v>280.88689999999997</v>
      </c>
      <c r="D10" s="33">
        <v>3035.8696</v>
      </c>
      <c r="E10" s="33">
        <v>729.14179999999999</v>
      </c>
      <c r="F10" s="33">
        <v>7328.16</v>
      </c>
      <c r="G10" s="33">
        <v>1923.0111999999999</v>
      </c>
      <c r="H10" s="33">
        <v>452.33</v>
      </c>
      <c r="I10" s="33">
        <v>1327.7354</v>
      </c>
      <c r="J10" s="33">
        <v>23279.187699999999</v>
      </c>
      <c r="K10" s="33">
        <v>4364.6606000000002</v>
      </c>
      <c r="L10" s="33">
        <v>1510.8932</v>
      </c>
      <c r="M10" s="33">
        <v>726.50170000000003</v>
      </c>
      <c r="N10" s="33">
        <v>4888.8667000000005</v>
      </c>
      <c r="O10" s="33">
        <v>406.10820000000001</v>
      </c>
      <c r="P10" s="33">
        <v>214.35570000000001</v>
      </c>
      <c r="Q10" s="33">
        <v>138.2835</v>
      </c>
      <c r="R10" s="33">
        <v>50605.992200000001</v>
      </c>
      <c r="S10" s="33">
        <v>20750.337599999999</v>
      </c>
      <c r="T10" s="33">
        <v>429.3211</v>
      </c>
      <c r="U10" s="33">
        <v>597.48249999999996</v>
      </c>
      <c r="V10" s="33">
        <v>0</v>
      </c>
      <c r="W10" s="33">
        <v>64379.869599999998</v>
      </c>
      <c r="X10" s="33">
        <v>86157.010799999989</v>
      </c>
      <c r="Y10" s="33">
        <v>136763.0037</v>
      </c>
      <c r="Z10" s="51"/>
      <c r="AA10" s="52"/>
      <c r="AB10" s="25"/>
    </row>
    <row r="11" spans="1:28" s="66" customFormat="1" x14ac:dyDescent="0.15">
      <c r="A11" s="60">
        <v>9</v>
      </c>
      <c r="B11" s="61" t="s">
        <v>61</v>
      </c>
      <c r="C11" s="62">
        <v>157.7784</v>
      </c>
      <c r="D11" s="62">
        <v>1053.1679999999999</v>
      </c>
      <c r="E11" s="62">
        <v>251.34360000000001</v>
      </c>
      <c r="F11" s="62">
        <v>5957.7803999999996</v>
      </c>
      <c r="G11" s="62">
        <v>1520.604</v>
      </c>
      <c r="H11" s="62">
        <v>1726.9930999999999</v>
      </c>
      <c r="I11" s="62">
        <v>1003.4982</v>
      </c>
      <c r="J11" s="62">
        <v>2653.1496000000002</v>
      </c>
      <c r="K11" s="62">
        <v>2230.6884999999997</v>
      </c>
      <c r="L11" s="62">
        <v>1169.8375000000001</v>
      </c>
      <c r="M11" s="62">
        <v>458.988</v>
      </c>
      <c r="N11" s="62">
        <v>1036.1351999999999</v>
      </c>
      <c r="O11" s="62">
        <v>729.55889999999999</v>
      </c>
      <c r="P11" s="62">
        <v>236.43389999999999</v>
      </c>
      <c r="Q11" s="62">
        <v>338.4024</v>
      </c>
      <c r="R11" s="62">
        <v>20524.359700000001</v>
      </c>
      <c r="S11" s="62">
        <v>24074.317899999998</v>
      </c>
      <c r="T11" s="62">
        <v>141.06139999999999</v>
      </c>
      <c r="U11" s="62">
        <v>7888.5219999999999</v>
      </c>
      <c r="V11" s="62">
        <v>1.1000000000000001E-3</v>
      </c>
      <c r="W11" s="62">
        <v>2136.7975999999999</v>
      </c>
      <c r="X11" s="62">
        <v>34240.699999999997</v>
      </c>
      <c r="Y11" s="62">
        <v>54765.059399999998</v>
      </c>
      <c r="Z11" s="63"/>
      <c r="AA11" s="64"/>
      <c r="AB11" s="65"/>
    </row>
    <row r="12" spans="1:28" s="66" customFormat="1" x14ac:dyDescent="0.15">
      <c r="A12" s="60">
        <v>10</v>
      </c>
      <c r="B12" s="61" t="s">
        <v>51</v>
      </c>
      <c r="C12" s="62">
        <v>296.42910000000001</v>
      </c>
      <c r="D12" s="62">
        <v>6237.9157999999998</v>
      </c>
      <c r="E12" s="62">
        <v>1356.5744999999999</v>
      </c>
      <c r="F12" s="62">
        <v>4854.9660999999996</v>
      </c>
      <c r="G12" s="62">
        <v>1997.5300999999999</v>
      </c>
      <c r="H12" s="62">
        <v>643.82050000000004</v>
      </c>
      <c r="I12" s="62">
        <v>3215.2957999999999</v>
      </c>
      <c r="J12" s="62">
        <v>3363.5839999999998</v>
      </c>
      <c r="K12" s="62">
        <v>3361.1091999999999</v>
      </c>
      <c r="L12" s="62">
        <v>2876.2456000000002</v>
      </c>
      <c r="M12" s="62">
        <v>475.9776</v>
      </c>
      <c r="N12" s="62">
        <v>1701.7230000000002</v>
      </c>
      <c r="O12" s="62">
        <v>470.80239999999998</v>
      </c>
      <c r="P12" s="62">
        <v>406.22750000000002</v>
      </c>
      <c r="Q12" s="62">
        <v>218.21729999999999</v>
      </c>
      <c r="R12" s="62">
        <v>31476.4185</v>
      </c>
      <c r="S12" s="62">
        <v>849.0924</v>
      </c>
      <c r="T12" s="62">
        <v>1331.1493</v>
      </c>
      <c r="U12" s="62">
        <v>7328.8945999999996</v>
      </c>
      <c r="V12" s="62">
        <v>12.2659</v>
      </c>
      <c r="W12" s="62">
        <v>20622.5589</v>
      </c>
      <c r="X12" s="62">
        <v>30143.9611</v>
      </c>
      <c r="Y12" s="62">
        <v>61620.38</v>
      </c>
      <c r="Z12" s="63"/>
      <c r="AA12" s="64"/>
      <c r="AB12" s="65"/>
    </row>
    <row r="13" spans="1:28" x14ac:dyDescent="0.15">
      <c r="A13" s="30">
        <v>11</v>
      </c>
      <c r="B13" s="29" t="s">
        <v>52</v>
      </c>
      <c r="C13" s="33">
        <v>265.99459999999999</v>
      </c>
      <c r="D13" s="33">
        <v>2260.1594</v>
      </c>
      <c r="E13" s="33">
        <v>808.82500000000005</v>
      </c>
      <c r="F13" s="33">
        <v>4938.7507999999998</v>
      </c>
      <c r="G13" s="33">
        <v>2887.4184</v>
      </c>
      <c r="H13" s="33">
        <v>349.75760000000002</v>
      </c>
      <c r="I13" s="33">
        <v>1969.5864999999999</v>
      </c>
      <c r="J13" s="33">
        <v>2486.9187999999999</v>
      </c>
      <c r="K13" s="33">
        <v>1973.8777</v>
      </c>
      <c r="L13" s="33">
        <v>868.63919999999996</v>
      </c>
      <c r="M13" s="33">
        <v>1946.3061</v>
      </c>
      <c r="N13" s="33">
        <v>1230.1868999999999</v>
      </c>
      <c r="O13" s="33">
        <v>513.68240000000003</v>
      </c>
      <c r="P13" s="33">
        <v>329.2928</v>
      </c>
      <c r="Q13" s="33">
        <v>117.4349</v>
      </c>
      <c r="R13" s="33">
        <v>22946.830999999998</v>
      </c>
      <c r="S13" s="33">
        <v>941.1703</v>
      </c>
      <c r="T13" s="33">
        <v>29.305499999999999</v>
      </c>
      <c r="U13" s="33">
        <v>73.060400000000001</v>
      </c>
      <c r="V13" s="33">
        <v>0.34160000000000001</v>
      </c>
      <c r="W13" s="33">
        <v>7885.4381999999996</v>
      </c>
      <c r="X13" s="33">
        <v>8929.3159999999989</v>
      </c>
      <c r="Y13" s="33">
        <v>31876.146400000001</v>
      </c>
      <c r="Z13" s="51"/>
      <c r="AA13" s="52"/>
      <c r="AB13" s="25"/>
    </row>
    <row r="14" spans="1:28" s="59" customFormat="1" x14ac:dyDescent="0.15">
      <c r="A14" s="53">
        <v>12</v>
      </c>
      <c r="B14" s="54" t="s">
        <v>62</v>
      </c>
      <c r="C14" s="55">
        <v>82.146600000000007</v>
      </c>
      <c r="D14" s="55">
        <v>358.13549999999998</v>
      </c>
      <c r="E14" s="55">
        <v>154.59290000000001</v>
      </c>
      <c r="F14" s="55">
        <v>909.05749999999989</v>
      </c>
      <c r="G14" s="55">
        <v>573.76420000000007</v>
      </c>
      <c r="H14" s="55">
        <v>168.44210000000001</v>
      </c>
      <c r="I14" s="55">
        <v>416.50720000000001</v>
      </c>
      <c r="J14" s="55">
        <v>543.03679999999997</v>
      </c>
      <c r="K14" s="55">
        <v>659.6253999999999</v>
      </c>
      <c r="L14" s="55">
        <v>449.86110000000002</v>
      </c>
      <c r="M14" s="55">
        <v>66.882900000000006</v>
      </c>
      <c r="N14" s="55">
        <v>1225.9493</v>
      </c>
      <c r="O14" s="55">
        <v>87.607300000000009</v>
      </c>
      <c r="P14" s="55">
        <v>110.47120000000001</v>
      </c>
      <c r="Q14" s="55">
        <v>39.041499999999999</v>
      </c>
      <c r="R14" s="55">
        <v>5845.1212999999998</v>
      </c>
      <c r="S14" s="55">
        <v>6119.3827000000001</v>
      </c>
      <c r="T14" s="55">
        <v>40697.752999999997</v>
      </c>
      <c r="U14" s="55">
        <v>655.78520000000003</v>
      </c>
      <c r="V14" s="55">
        <v>0.41930000000000001</v>
      </c>
      <c r="W14" s="55">
        <v>3746.12</v>
      </c>
      <c r="X14" s="55">
        <v>51219.460200000001</v>
      </c>
      <c r="Y14" s="55">
        <v>57064.582499999997</v>
      </c>
      <c r="Z14" s="56"/>
      <c r="AA14" s="57"/>
      <c r="AB14" s="58"/>
    </row>
    <row r="15" spans="1:28" s="59" customFormat="1" x14ac:dyDescent="0.15">
      <c r="A15" s="53">
        <v>13</v>
      </c>
      <c r="B15" s="54" t="s">
        <v>54</v>
      </c>
      <c r="C15" s="55">
        <v>4.4962</v>
      </c>
      <c r="D15" s="55">
        <v>37.3842</v>
      </c>
      <c r="E15" s="55">
        <v>8.3838000000000008</v>
      </c>
      <c r="F15" s="55">
        <v>77.879599999999996</v>
      </c>
      <c r="G15" s="55">
        <v>36.0642</v>
      </c>
      <c r="H15" s="55">
        <v>16.839700000000001</v>
      </c>
      <c r="I15" s="55">
        <v>30.633400000000002</v>
      </c>
      <c r="J15" s="55">
        <v>50.9602</v>
      </c>
      <c r="K15" s="55">
        <v>31.938800000000001</v>
      </c>
      <c r="L15" s="55">
        <v>30.8672</v>
      </c>
      <c r="M15" s="55">
        <v>10.895899999999999</v>
      </c>
      <c r="N15" s="55">
        <v>310.66989999999998</v>
      </c>
      <c r="O15" s="55">
        <v>1421.4577999999999</v>
      </c>
      <c r="P15" s="55">
        <v>73.026899999999998</v>
      </c>
      <c r="Q15" s="55">
        <v>27.6129</v>
      </c>
      <c r="R15" s="55">
        <v>2169.1107000000002</v>
      </c>
      <c r="S15" s="55">
        <v>10383.1994</v>
      </c>
      <c r="T15" s="55">
        <v>7847.1927999999998</v>
      </c>
      <c r="U15" s="55">
        <v>87.609300000000005</v>
      </c>
      <c r="V15" s="55">
        <v>0</v>
      </c>
      <c r="W15" s="55">
        <v>2609.8323999999998</v>
      </c>
      <c r="X15" s="55">
        <v>20927.833899999998</v>
      </c>
      <c r="Y15" s="55">
        <v>23096.944500000001</v>
      </c>
      <c r="Z15" s="56"/>
      <c r="AA15" s="57"/>
      <c r="AB15" s="58"/>
    </row>
    <row r="16" spans="1:28" x14ac:dyDescent="0.15">
      <c r="A16" s="30">
        <v>14</v>
      </c>
      <c r="B16" s="29" t="s">
        <v>55</v>
      </c>
      <c r="C16" s="33">
        <v>3.1395</v>
      </c>
      <c r="D16" s="33">
        <v>31.224</v>
      </c>
      <c r="E16" s="33">
        <v>40.729300000000002</v>
      </c>
      <c r="F16" s="33">
        <v>103.9427</v>
      </c>
      <c r="G16" s="33">
        <v>58.2943</v>
      </c>
      <c r="H16" s="33">
        <v>27.0749</v>
      </c>
      <c r="I16" s="33">
        <v>132.43870000000001</v>
      </c>
      <c r="J16" s="33">
        <v>153.7276</v>
      </c>
      <c r="K16" s="33">
        <v>26.462900000000001</v>
      </c>
      <c r="L16" s="33">
        <v>81.543199999999999</v>
      </c>
      <c r="M16" s="33">
        <v>47.850200000000001</v>
      </c>
      <c r="N16" s="33">
        <v>147.6489</v>
      </c>
      <c r="O16" s="33">
        <v>26.380400000000002</v>
      </c>
      <c r="P16" s="33">
        <v>431.7165</v>
      </c>
      <c r="Q16" s="33">
        <v>27.924900000000001</v>
      </c>
      <c r="R16" s="33">
        <v>1340.0980999999999</v>
      </c>
      <c r="S16" s="33">
        <v>2041.1493</v>
      </c>
      <c r="T16" s="33">
        <v>1105.8552999999999</v>
      </c>
      <c r="U16" s="33">
        <v>61.569400000000002</v>
      </c>
      <c r="V16" s="33">
        <v>0</v>
      </c>
      <c r="W16" s="33">
        <v>5428.6547</v>
      </c>
      <c r="X16" s="33">
        <v>8637.2286999999997</v>
      </c>
      <c r="Y16" s="33">
        <v>9977.3274999999994</v>
      </c>
      <c r="Z16" s="51"/>
      <c r="AA16" s="52"/>
      <c r="AB16" s="25"/>
    </row>
    <row r="17" spans="1:28" x14ac:dyDescent="0.15">
      <c r="A17" s="30">
        <v>15</v>
      </c>
      <c r="B17" s="29" t="s">
        <v>63</v>
      </c>
      <c r="C17" s="33">
        <v>30.819200000000002</v>
      </c>
      <c r="D17" s="33">
        <v>130.0949</v>
      </c>
      <c r="E17" s="33">
        <v>95.406300000000002</v>
      </c>
      <c r="F17" s="33">
        <v>267.62459999999999</v>
      </c>
      <c r="G17" s="33">
        <v>411.60180000000003</v>
      </c>
      <c r="H17" s="33">
        <v>79.833500000000001</v>
      </c>
      <c r="I17" s="33">
        <v>225.00880000000001</v>
      </c>
      <c r="J17" s="33">
        <v>252.3049</v>
      </c>
      <c r="K17" s="33">
        <v>131.85040000000001</v>
      </c>
      <c r="L17" s="33">
        <v>127.39230000000001</v>
      </c>
      <c r="M17" s="33">
        <v>85.184299999999993</v>
      </c>
      <c r="N17" s="33">
        <v>464.14760000000001</v>
      </c>
      <c r="O17" s="33">
        <v>107.40219999999999</v>
      </c>
      <c r="P17" s="33">
        <v>139.9418</v>
      </c>
      <c r="Q17" s="33">
        <v>74.075599999999994</v>
      </c>
      <c r="R17" s="33">
        <v>2622.6884</v>
      </c>
      <c r="S17" s="33">
        <v>5758.3581999999997</v>
      </c>
      <c r="T17" s="33">
        <v>59.668799999999997</v>
      </c>
      <c r="U17" s="33">
        <v>70.417199999999994</v>
      </c>
      <c r="V17" s="33">
        <v>0</v>
      </c>
      <c r="W17" s="33">
        <v>1098.3795</v>
      </c>
      <c r="X17" s="33">
        <v>6986.8236999999999</v>
      </c>
      <c r="Y17" s="33">
        <v>9609.5116999999991</v>
      </c>
      <c r="Z17" s="51"/>
      <c r="AA17" s="52"/>
      <c r="AB17" s="25"/>
    </row>
    <row r="18" spans="1:28" x14ac:dyDescent="0.15">
      <c r="A18" s="30">
        <v>21</v>
      </c>
      <c r="B18" s="29" t="s">
        <v>31</v>
      </c>
      <c r="C18" s="33">
        <v>5430.2474999999995</v>
      </c>
      <c r="D18" s="33">
        <v>165120.70929999999</v>
      </c>
      <c r="E18" s="33">
        <v>10003.008</v>
      </c>
      <c r="F18" s="33">
        <v>60208.364300000001</v>
      </c>
      <c r="G18" s="33">
        <v>70648.137300000002</v>
      </c>
      <c r="H18" s="33">
        <v>4314.8416999999999</v>
      </c>
      <c r="I18" s="33">
        <v>42107.4018</v>
      </c>
      <c r="J18" s="33">
        <v>25510.167700000002</v>
      </c>
      <c r="K18" s="33">
        <v>493.63319999999999</v>
      </c>
      <c r="L18" s="33">
        <v>15529.9074</v>
      </c>
      <c r="M18" s="33">
        <v>3110.9041999999999</v>
      </c>
      <c r="N18" s="33">
        <v>8661.3400999999994</v>
      </c>
      <c r="O18" s="33">
        <v>2785.8874000000001</v>
      </c>
      <c r="P18" s="33">
        <v>641.51080000000002</v>
      </c>
      <c r="Q18" s="33">
        <v>949.89869999999996</v>
      </c>
      <c r="R18" s="33">
        <v>415515.9546</v>
      </c>
      <c r="S18" s="33">
        <v>47588.063199999997</v>
      </c>
      <c r="T18" s="33">
        <v>0</v>
      </c>
      <c r="U18" s="33">
        <v>42944.230199999998</v>
      </c>
      <c r="V18" s="33">
        <v>7311.3612000000003</v>
      </c>
      <c r="W18" s="33">
        <v>245965.19099999999</v>
      </c>
      <c r="X18" s="33">
        <v>343808.8456</v>
      </c>
      <c r="Y18" s="33">
        <v>759324.80020000006</v>
      </c>
      <c r="Z18" s="51"/>
      <c r="AA18" s="25"/>
    </row>
    <row r="19" spans="1:28" x14ac:dyDescent="0.15">
      <c r="A19" s="30">
        <v>22</v>
      </c>
      <c r="B19" s="29" t="s">
        <v>32</v>
      </c>
      <c r="C19" s="33">
        <v>34.379199999999997</v>
      </c>
      <c r="D19" s="33">
        <v>114.65389999999999</v>
      </c>
      <c r="E19" s="33">
        <v>22.1007</v>
      </c>
      <c r="F19" s="33">
        <v>92.746200000000002</v>
      </c>
      <c r="G19" s="33">
        <v>418.4051</v>
      </c>
      <c r="H19" s="33">
        <v>346.77360000000004</v>
      </c>
      <c r="I19" s="33">
        <v>157.99289999999999</v>
      </c>
      <c r="J19" s="33">
        <v>337.65699999999998</v>
      </c>
      <c r="K19" s="33">
        <v>189.8057</v>
      </c>
      <c r="L19" s="33">
        <v>73.131299999999996</v>
      </c>
      <c r="M19" s="33">
        <v>27.425999999999998</v>
      </c>
      <c r="N19" s="33">
        <v>165.54470000000001</v>
      </c>
      <c r="O19" s="33">
        <v>180.9264</v>
      </c>
      <c r="P19" s="33">
        <v>43.331400000000002</v>
      </c>
      <c r="Q19" s="33">
        <v>11.764900000000001</v>
      </c>
      <c r="R19" s="33">
        <v>2216.6392999999998</v>
      </c>
      <c r="S19" s="33">
        <v>18340.383600000001</v>
      </c>
      <c r="T19" s="33">
        <v>0</v>
      </c>
      <c r="U19" s="33">
        <v>5386.4540999999999</v>
      </c>
      <c r="V19" s="33">
        <v>0</v>
      </c>
      <c r="W19" s="33">
        <v>0</v>
      </c>
      <c r="X19" s="33">
        <v>23726.8377</v>
      </c>
      <c r="Y19" s="33">
        <v>25943.476999999999</v>
      </c>
      <c r="Z19" s="51"/>
      <c r="AA19" s="25"/>
    </row>
    <row r="20" spans="1:28" x14ac:dyDescent="0.15">
      <c r="A20" s="30">
        <v>23</v>
      </c>
      <c r="B20" s="29" t="s">
        <v>35</v>
      </c>
      <c r="C20" s="33">
        <v>1663.6296</v>
      </c>
      <c r="D20" s="33">
        <v>26493.852500000001</v>
      </c>
      <c r="E20" s="33">
        <v>12061.339099999999</v>
      </c>
      <c r="F20" s="33">
        <v>29348.4146</v>
      </c>
      <c r="G20" s="33">
        <v>13830.329</v>
      </c>
      <c r="H20" s="33">
        <v>5638.3899000000001</v>
      </c>
      <c r="I20" s="33">
        <v>13514.7958</v>
      </c>
      <c r="J20" s="33">
        <v>27506.143599999999</v>
      </c>
      <c r="K20" s="33">
        <v>3236.3737999999998</v>
      </c>
      <c r="L20" s="33">
        <v>20303.107499999998</v>
      </c>
      <c r="M20" s="33">
        <v>8034.7290000000003</v>
      </c>
      <c r="N20" s="33">
        <v>24322.898699999998</v>
      </c>
      <c r="O20" s="33">
        <v>10754.511399999999</v>
      </c>
      <c r="P20" s="33">
        <v>2331.3116</v>
      </c>
      <c r="Q20" s="33">
        <v>5229.0092000000004</v>
      </c>
      <c r="R20" s="33">
        <v>204268.83590000001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204268.83590000001</v>
      </c>
      <c r="Z20" s="51"/>
      <c r="AA20" s="25"/>
    </row>
    <row r="21" spans="1:28" x14ac:dyDescent="0.15">
      <c r="A21" s="30">
        <v>24</v>
      </c>
      <c r="B21" s="29" t="s">
        <v>36</v>
      </c>
      <c r="C21" s="33">
        <v>296.09999999999997</v>
      </c>
      <c r="D21" s="33">
        <v>1165.9002</v>
      </c>
      <c r="E21" s="33">
        <v>2000.4</v>
      </c>
      <c r="F21" s="33">
        <v>588.79999999999995</v>
      </c>
      <c r="G21" s="33">
        <v>712.49980000000005</v>
      </c>
      <c r="H21" s="33">
        <v>455.8</v>
      </c>
      <c r="I21" s="33">
        <v>273.39999999999998</v>
      </c>
      <c r="J21" s="33">
        <v>120.1001</v>
      </c>
      <c r="K21" s="33">
        <v>2659.7</v>
      </c>
      <c r="L21" s="33">
        <v>230.90010000000001</v>
      </c>
      <c r="M21" s="33">
        <v>262.80020000000002</v>
      </c>
      <c r="N21" s="33">
        <v>-11.855800000000002</v>
      </c>
      <c r="O21" s="33">
        <v>88.507599999999996</v>
      </c>
      <c r="P21" s="33">
        <v>299.24520000000001</v>
      </c>
      <c r="Q21" s="33">
        <v>503.10289999999998</v>
      </c>
      <c r="R21" s="33">
        <v>9645.4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9645.4</v>
      </c>
      <c r="Z21" s="51"/>
      <c r="AA21" s="25"/>
    </row>
    <row r="22" spans="1:28" x14ac:dyDescent="0.15">
      <c r="A22" s="30">
        <v>25</v>
      </c>
      <c r="B22" s="29" t="s">
        <v>37</v>
      </c>
      <c r="C22" s="33">
        <v>4090.4566</v>
      </c>
      <c r="D22" s="33">
        <v>72311.945300000007</v>
      </c>
      <c r="E22" s="33">
        <v>3902.5947000000001</v>
      </c>
      <c r="F22" s="33">
        <v>61536.340899999996</v>
      </c>
      <c r="G22" s="33">
        <v>17168.762200000001</v>
      </c>
      <c r="H22" s="33">
        <v>3893.1767</v>
      </c>
      <c r="I22" s="33">
        <v>8862.0758000000005</v>
      </c>
      <c r="J22" s="33">
        <v>40550.357100000001</v>
      </c>
      <c r="K22" s="33">
        <v>29326.854500000001</v>
      </c>
      <c r="L22" s="33">
        <v>8988.0388000000003</v>
      </c>
      <c r="M22" s="33">
        <v>13441.3169</v>
      </c>
      <c r="N22" s="33">
        <v>3330.319</v>
      </c>
      <c r="O22" s="33">
        <v>2308.7597999999998</v>
      </c>
      <c r="P22" s="33">
        <v>3522.3706000000002</v>
      </c>
      <c r="Q22" s="33">
        <v>974.87120000000004</v>
      </c>
      <c r="R22" s="33">
        <v>274208.2403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274208.2403</v>
      </c>
      <c r="Z22" s="51"/>
      <c r="AA22" s="25"/>
    </row>
    <row r="23" spans="1:28" x14ac:dyDescent="0.15">
      <c r="A23" s="30" t="s">
        <v>40</v>
      </c>
      <c r="B23" s="29" t="s">
        <v>41</v>
      </c>
      <c r="C23" s="33">
        <v>18178.163100000002</v>
      </c>
      <c r="D23" s="33">
        <v>358100.85969999997</v>
      </c>
      <c r="E23" s="33">
        <v>62463.207999999999</v>
      </c>
      <c r="F23" s="33">
        <v>214668.5876</v>
      </c>
      <c r="G23" s="33">
        <v>171885.81539999999</v>
      </c>
      <c r="H23" s="33">
        <v>23161.395</v>
      </c>
      <c r="I23" s="33">
        <v>102294.4857</v>
      </c>
      <c r="J23" s="33">
        <v>136763.0037</v>
      </c>
      <c r="K23" s="33">
        <v>54765.059399999998</v>
      </c>
      <c r="L23" s="33">
        <v>61620.38</v>
      </c>
      <c r="M23" s="33">
        <v>31876.146400000001</v>
      </c>
      <c r="N23" s="33">
        <v>57064.582499999997</v>
      </c>
      <c r="O23" s="33">
        <v>23096.944500000001</v>
      </c>
      <c r="P23" s="33">
        <v>9977.3274999999994</v>
      </c>
      <c r="Q23" s="33">
        <v>9609.5116999999991</v>
      </c>
      <c r="R23" s="33">
        <v>1335525.4713000001</v>
      </c>
      <c r="S23" s="33">
        <v>182886.71969999999</v>
      </c>
      <c r="T23" s="33">
        <v>52648.889000000003</v>
      </c>
      <c r="U23" s="33">
        <v>118467.6802</v>
      </c>
      <c r="V23" s="33">
        <v>9073.3230000000003</v>
      </c>
      <c r="W23" s="33">
        <v>910314.14150000003</v>
      </c>
      <c r="X23" s="33">
        <v>1273390.7534</v>
      </c>
      <c r="Y23" s="33">
        <v>2608916.2247000001</v>
      </c>
      <c r="Z23" s="51"/>
      <c r="AA23" s="25"/>
    </row>
    <row r="32" spans="1:28" x14ac:dyDescent="0.15">
      <c r="F32" s="23" t="s">
        <v>0</v>
      </c>
      <c r="G32" s="23" t="s">
        <v>1</v>
      </c>
      <c r="H32" s="23" t="s">
        <v>2</v>
      </c>
      <c r="I32" s="23" t="s">
        <v>58</v>
      </c>
      <c r="J32" s="23" t="s">
        <v>46</v>
      </c>
      <c r="K32" s="23" t="s">
        <v>59</v>
      </c>
      <c r="L32" s="23" t="s">
        <v>48</v>
      </c>
    </row>
    <row r="33" spans="5:12" x14ac:dyDescent="0.15">
      <c r="E33" s="23" t="s">
        <v>0</v>
      </c>
      <c r="F33" s="23">
        <v>4308.8287</v>
      </c>
      <c r="G33" s="23">
        <v>2985.4821000000002</v>
      </c>
      <c r="H33" s="23">
        <v>198.95410000000001</v>
      </c>
      <c r="I33" s="23">
        <v>850.27420000000006</v>
      </c>
      <c r="J33" s="23">
        <v>567.61689999999999</v>
      </c>
      <c r="K33" s="23">
        <v>908.30690000000004</v>
      </c>
      <c r="L33" s="23">
        <v>577.44810000000007</v>
      </c>
    </row>
    <row r="34" spans="5:12" x14ac:dyDescent="0.15">
      <c r="E34" s="23" t="s">
        <v>1</v>
      </c>
      <c r="F34" s="23">
        <v>498.91560000000004</v>
      </c>
      <c r="G34" s="23">
        <v>59777.284</v>
      </c>
      <c r="H34" s="23">
        <v>4939.7923000000001</v>
      </c>
      <c r="I34" s="23">
        <v>4948.5156999999999</v>
      </c>
      <c r="J34" s="23">
        <v>10705.636399999999</v>
      </c>
      <c r="K34" s="23">
        <v>2065.4605999999999</v>
      </c>
      <c r="L34" s="23">
        <v>5668.1522000000004</v>
      </c>
    </row>
    <row r="35" spans="5:12" x14ac:dyDescent="0.15">
      <c r="E35" s="23" t="s">
        <v>2</v>
      </c>
      <c r="F35" s="23">
        <v>166.97389999999999</v>
      </c>
      <c r="G35" s="23">
        <v>498.15249999999997</v>
      </c>
      <c r="H35" s="23">
        <v>23583.0278</v>
      </c>
      <c r="I35" s="23">
        <v>173.416</v>
      </c>
      <c r="J35" s="23">
        <v>198.9144</v>
      </c>
      <c r="K35" s="23">
        <v>134.99039999999999</v>
      </c>
      <c r="L35" s="23">
        <v>74.724599999999995</v>
      </c>
    </row>
    <row r="36" spans="5:12" x14ac:dyDescent="0.15">
      <c r="E36" s="23" t="s">
        <v>58</v>
      </c>
      <c r="F36" s="23">
        <v>242.41990000000001</v>
      </c>
      <c r="G36" s="23">
        <v>12013.9776</v>
      </c>
      <c r="H36" s="23">
        <v>1765.5494999999999</v>
      </c>
      <c r="I36" s="23">
        <v>6731.4372999999996</v>
      </c>
      <c r="J36" s="23">
        <v>3734.0585999999998</v>
      </c>
      <c r="K36" s="23">
        <v>1272.6847</v>
      </c>
      <c r="L36" s="23">
        <v>4854.1858999999995</v>
      </c>
    </row>
    <row r="37" spans="5:12" x14ac:dyDescent="0.15">
      <c r="E37" s="23" t="s">
        <v>46</v>
      </c>
      <c r="F37" s="23">
        <v>159.08690000000001</v>
      </c>
      <c r="G37" s="23">
        <v>3130.9802</v>
      </c>
      <c r="H37" s="23">
        <v>297.30259999999998</v>
      </c>
      <c r="I37" s="23">
        <v>22164.366399999999</v>
      </c>
      <c r="J37" s="23">
        <v>42265.813499999997</v>
      </c>
      <c r="K37" s="23">
        <v>230.96540000000002</v>
      </c>
      <c r="L37" s="23">
        <v>1196.7248</v>
      </c>
    </row>
    <row r="38" spans="5:12" x14ac:dyDescent="0.15">
      <c r="E38" s="23" t="s">
        <v>59</v>
      </c>
      <c r="F38" s="23">
        <v>20.822600000000001</v>
      </c>
      <c r="G38" s="23">
        <v>357.37970000000001</v>
      </c>
      <c r="H38" s="23">
        <v>42.979700000000001</v>
      </c>
      <c r="I38" s="23">
        <v>958.71389999999997</v>
      </c>
      <c r="J38" s="23">
        <v>1080.5571</v>
      </c>
      <c r="K38" s="23">
        <v>237.03919999999999</v>
      </c>
      <c r="L38" s="23">
        <v>802.23250000000007</v>
      </c>
    </row>
    <row r="39" spans="5:12" x14ac:dyDescent="0.15">
      <c r="E39" s="23" t="s">
        <v>48</v>
      </c>
      <c r="F39" s="23">
        <v>144.61249999999998</v>
      </c>
      <c r="G39" s="23">
        <v>986.59460000000001</v>
      </c>
      <c r="H39" s="23">
        <v>201.16210000000001</v>
      </c>
      <c r="I39" s="23">
        <v>2629.0365999999999</v>
      </c>
      <c r="J39" s="23">
        <v>1146.7963</v>
      </c>
      <c r="K39" s="23">
        <v>197.87479999999999</v>
      </c>
      <c r="L39" s="23">
        <v>15884.6459</v>
      </c>
    </row>
    <row r="40" spans="5:12" x14ac:dyDescent="0.15">
      <c r="E40" s="23" t="s">
        <v>60</v>
      </c>
      <c r="F40" s="23">
        <v>280.88689999999997</v>
      </c>
      <c r="G40" s="23">
        <v>3035.8696</v>
      </c>
      <c r="H40" s="23">
        <v>729.14179999999999</v>
      </c>
      <c r="I40" s="23">
        <v>7328.16</v>
      </c>
      <c r="J40" s="23">
        <v>1923.0111999999999</v>
      </c>
      <c r="K40" s="23">
        <v>452.33</v>
      </c>
      <c r="L40" s="23">
        <v>1327.7354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9F6B-7ECF-E944-BB9D-AEE716CC5687}">
  <dimension ref="A1:AL32"/>
  <sheetViews>
    <sheetView topLeftCell="B1" workbookViewId="0">
      <selection activeCell="AB8" sqref="AB8"/>
    </sheetView>
  </sheetViews>
  <sheetFormatPr baseColWidth="10" defaultColWidth="10.59765625" defaultRowHeight="12" x14ac:dyDescent="0.15"/>
  <cols>
    <col min="1" max="1" width="5.796875" customWidth="1"/>
    <col min="2" max="2" width="31.796875" customWidth="1"/>
    <col min="3" max="3" width="28.796875" bestFit="1" customWidth="1"/>
    <col min="4" max="4" width="18.796875" customWidth="1"/>
    <col min="5" max="32" width="15.3984375" customWidth="1"/>
    <col min="34" max="34" width="12.59765625" bestFit="1" customWidth="1"/>
    <col min="35" max="35" width="17.59765625" customWidth="1"/>
    <col min="37" max="37" width="11.796875" bestFit="1" customWidth="1"/>
  </cols>
  <sheetData>
    <row r="1" spans="1:38" x14ac:dyDescent="0.15">
      <c r="A1" s="4"/>
      <c r="B1" s="4"/>
      <c r="C1" s="4"/>
      <c r="D1" s="17">
        <v>1</v>
      </c>
      <c r="E1" s="17">
        <v>3</v>
      </c>
      <c r="F1" s="17">
        <v>2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 t="s">
        <v>26</v>
      </c>
      <c r="Y1" s="17"/>
      <c r="Z1" s="17">
        <v>21</v>
      </c>
      <c r="AA1" s="17">
        <v>22</v>
      </c>
      <c r="AB1" s="17">
        <v>23</v>
      </c>
      <c r="AC1" s="17">
        <v>24</v>
      </c>
      <c r="AD1" s="17">
        <v>25</v>
      </c>
      <c r="AE1" s="17" t="s">
        <v>27</v>
      </c>
      <c r="AF1" s="17" t="s">
        <v>28</v>
      </c>
    </row>
    <row r="2" spans="1:38" s="3" customFormat="1" ht="48" x14ac:dyDescent="0.15">
      <c r="A2" s="16"/>
      <c r="B2" s="16"/>
      <c r="C2" s="16"/>
      <c r="D2" s="21" t="s">
        <v>0</v>
      </c>
      <c r="E2" s="21" t="s">
        <v>0</v>
      </c>
      <c r="F2" s="21" t="s">
        <v>1</v>
      </c>
      <c r="G2" s="21" t="s">
        <v>2</v>
      </c>
      <c r="H2" s="21" t="s">
        <v>58</v>
      </c>
      <c r="I2" s="21" t="s">
        <v>58</v>
      </c>
      <c r="J2" s="21" t="s">
        <v>46</v>
      </c>
      <c r="K2" s="21" t="s">
        <v>59</v>
      </c>
      <c r="L2" s="21" t="s">
        <v>59</v>
      </c>
      <c r="M2" s="21" t="s">
        <v>48</v>
      </c>
      <c r="N2" s="21" t="s">
        <v>60</v>
      </c>
      <c r="O2" s="21" t="s">
        <v>61</v>
      </c>
      <c r="P2" s="21" t="s">
        <v>61</v>
      </c>
      <c r="Q2" s="21" t="s">
        <v>51</v>
      </c>
      <c r="R2" s="21" t="s">
        <v>52</v>
      </c>
      <c r="S2" s="21" t="s">
        <v>62</v>
      </c>
      <c r="T2" s="21" t="s">
        <v>62</v>
      </c>
      <c r="U2" s="21" t="s">
        <v>54</v>
      </c>
      <c r="V2" s="21" t="s">
        <v>55</v>
      </c>
      <c r="W2" s="21" t="s">
        <v>63</v>
      </c>
      <c r="X2" s="18"/>
      <c r="Y2" s="18"/>
      <c r="Z2" s="18"/>
      <c r="AA2" s="18"/>
      <c r="AB2" s="18"/>
      <c r="AC2" s="18"/>
      <c r="AD2" s="18"/>
      <c r="AE2" s="18"/>
      <c r="AF2" s="18"/>
    </row>
    <row r="3" spans="1:38" s="10" customFormat="1" ht="48" x14ac:dyDescent="0.15">
      <c r="A3" s="17"/>
      <c r="B3" s="18"/>
      <c r="C3" s="18"/>
      <c r="D3" s="22" t="s">
        <v>42</v>
      </c>
      <c r="E3" s="22" t="s">
        <v>43</v>
      </c>
      <c r="F3" s="22" t="s">
        <v>1</v>
      </c>
      <c r="G3" s="22" t="s">
        <v>2</v>
      </c>
      <c r="H3" s="22" t="s">
        <v>44</v>
      </c>
      <c r="I3" s="22" t="s">
        <v>45</v>
      </c>
      <c r="J3" s="22" t="s">
        <v>46</v>
      </c>
      <c r="K3" s="22" t="s">
        <v>15</v>
      </c>
      <c r="L3" s="22" t="s">
        <v>47</v>
      </c>
      <c r="M3" s="22" t="s">
        <v>48</v>
      </c>
      <c r="N3" s="22" t="s">
        <v>49</v>
      </c>
      <c r="O3" s="22" t="s">
        <v>16</v>
      </c>
      <c r="P3" s="22" t="s">
        <v>50</v>
      </c>
      <c r="Q3" s="22" t="s">
        <v>51</v>
      </c>
      <c r="R3" s="22" t="s">
        <v>52</v>
      </c>
      <c r="S3" s="22" t="s">
        <v>53</v>
      </c>
      <c r="T3" s="22" t="s">
        <v>17</v>
      </c>
      <c r="U3" s="22" t="s">
        <v>54</v>
      </c>
      <c r="V3" s="22" t="s">
        <v>55</v>
      </c>
      <c r="W3" s="22" t="s">
        <v>56</v>
      </c>
      <c r="X3" s="18" t="s">
        <v>57</v>
      </c>
      <c r="Y3" s="18" t="s">
        <v>18</v>
      </c>
      <c r="Z3" s="18" t="s">
        <v>19</v>
      </c>
      <c r="AA3" s="18" t="s">
        <v>20</v>
      </c>
      <c r="AB3" s="18" t="s">
        <v>21</v>
      </c>
      <c r="AC3" s="18" t="s">
        <v>22</v>
      </c>
      <c r="AD3" s="18" t="s">
        <v>23</v>
      </c>
      <c r="AE3" s="18" t="s">
        <v>24</v>
      </c>
      <c r="AF3" s="18" t="s">
        <v>25</v>
      </c>
    </row>
    <row r="4" spans="1:38" x14ac:dyDescent="0.15">
      <c r="A4" s="4">
        <v>1</v>
      </c>
      <c r="B4" s="11" t="s">
        <v>0</v>
      </c>
      <c r="C4" s="11" t="s">
        <v>42</v>
      </c>
      <c r="D4" s="11">
        <v>65.950599999999994</v>
      </c>
      <c r="E4" s="11">
        <v>13.9053</v>
      </c>
      <c r="F4" s="11">
        <v>31.378900000000002</v>
      </c>
      <c r="G4" s="11">
        <v>1.2208000000000001</v>
      </c>
      <c r="H4" s="11">
        <v>1.8026</v>
      </c>
      <c r="I4" s="11">
        <v>0.1782</v>
      </c>
      <c r="J4" s="11">
        <v>2.1366999999999998</v>
      </c>
      <c r="K4" s="11">
        <v>2.7454000000000001</v>
      </c>
      <c r="L4" s="11">
        <v>45.367899999999999</v>
      </c>
      <c r="M4" s="11">
        <v>2.1516000000000002</v>
      </c>
      <c r="N4" s="11">
        <v>0.63070000000000004</v>
      </c>
      <c r="O4" s="11">
        <v>0.42149999999999999</v>
      </c>
      <c r="P4" s="11">
        <v>4.6800000000000001E-2</v>
      </c>
      <c r="Q4" s="11">
        <v>1.1468</v>
      </c>
      <c r="R4" s="11">
        <v>0.50749999999999995</v>
      </c>
      <c r="S4" s="11">
        <v>0.41689999999999999</v>
      </c>
      <c r="T4" s="11">
        <v>8.4400000000000003E-2</v>
      </c>
      <c r="U4" s="11">
        <v>0.27060000000000001</v>
      </c>
      <c r="V4" s="11">
        <v>0.31590000000000001</v>
      </c>
      <c r="W4" s="11">
        <v>0.3856</v>
      </c>
      <c r="X4" s="11">
        <v>171.06460000000001</v>
      </c>
      <c r="Y4" s="11"/>
      <c r="Z4" s="11">
        <v>104.46939999999999</v>
      </c>
      <c r="AA4" s="11">
        <v>4.9299999999999997E-2</v>
      </c>
      <c r="AB4" s="11">
        <v>1.2828999999999999</v>
      </c>
      <c r="AC4" s="11">
        <v>-10.786799999999999</v>
      </c>
      <c r="AD4" s="11">
        <v>155.3793</v>
      </c>
      <c r="AE4" s="11">
        <v>250.39410000000001</v>
      </c>
      <c r="AF4" s="11">
        <v>421.4588</v>
      </c>
      <c r="AH4" s="11">
        <v>462.39940000000001</v>
      </c>
      <c r="AI4" s="5">
        <f>AE4-AH4</f>
        <v>-212.00530000000001</v>
      </c>
      <c r="AK4" s="45">
        <f>AD4+Z4</f>
        <v>259.84870000000001</v>
      </c>
      <c r="AL4">
        <f>AK4/AE4</f>
        <v>1.0377588769064447</v>
      </c>
    </row>
    <row r="5" spans="1:38" x14ac:dyDescent="0.15">
      <c r="A5" s="4">
        <v>3</v>
      </c>
      <c r="B5" s="11" t="s">
        <v>0</v>
      </c>
      <c r="C5" s="11" t="s">
        <v>43</v>
      </c>
      <c r="D5" s="11">
        <v>17.838899999999999</v>
      </c>
      <c r="E5" s="11">
        <v>4211.1338999999998</v>
      </c>
      <c r="F5" s="11">
        <v>2954.1032</v>
      </c>
      <c r="G5" s="11">
        <v>197.73330000000001</v>
      </c>
      <c r="H5" s="11">
        <v>521.84140000000002</v>
      </c>
      <c r="I5" s="11">
        <v>326.452</v>
      </c>
      <c r="J5" s="11">
        <v>565.48019999999997</v>
      </c>
      <c r="K5" s="11">
        <v>255.95760000000001</v>
      </c>
      <c r="L5" s="11">
        <v>604.23599999999999</v>
      </c>
      <c r="M5" s="11">
        <v>575.29650000000004</v>
      </c>
      <c r="N5" s="11">
        <v>300.20119999999997</v>
      </c>
      <c r="O5" s="11">
        <v>709.25379999999996</v>
      </c>
      <c r="P5" s="11">
        <v>5.2230999999999996</v>
      </c>
      <c r="Q5" s="11">
        <v>249.4537</v>
      </c>
      <c r="R5" s="11">
        <v>68.939400000000006</v>
      </c>
      <c r="S5" s="11">
        <v>1443.5385000000001</v>
      </c>
      <c r="T5" s="11">
        <v>252.5453</v>
      </c>
      <c r="U5" s="11">
        <v>263.35829999999999</v>
      </c>
      <c r="V5" s="11">
        <v>261.2971</v>
      </c>
      <c r="W5" s="11">
        <v>122.377</v>
      </c>
      <c r="X5" s="11">
        <v>13906.260399999999</v>
      </c>
      <c r="Y5" s="11"/>
      <c r="Z5" s="11">
        <v>1984.9173000000001</v>
      </c>
      <c r="AA5" s="11">
        <v>436.70960000000002</v>
      </c>
      <c r="AB5" s="11">
        <v>111.1044</v>
      </c>
      <c r="AC5" s="11">
        <v>31.099299999999999</v>
      </c>
      <c r="AD5" s="11">
        <v>1286.6125999999999</v>
      </c>
      <c r="AE5" s="11">
        <v>3850.4432999999999</v>
      </c>
      <c r="AF5" s="11">
        <v>17756.704300000001</v>
      </c>
      <c r="AH5" s="11">
        <v>303977.9964</v>
      </c>
      <c r="AI5" s="5">
        <f t="shared" ref="AI5:AI23" si="0">AE5-AH5</f>
        <v>-300127.55310000002</v>
      </c>
      <c r="AK5" s="45">
        <f t="shared" ref="AK5:AK24" si="1">AD5+Z5</f>
        <v>3271.5299</v>
      </c>
      <c r="AL5">
        <f t="shared" ref="AL5:AL24" si="2">AK5/AE5</f>
        <v>0.84965019482302206</v>
      </c>
    </row>
    <row r="6" spans="1:38" x14ac:dyDescent="0.15">
      <c r="A6" s="4">
        <v>2</v>
      </c>
      <c r="B6" s="11" t="s">
        <v>1</v>
      </c>
      <c r="C6" s="11" t="s">
        <v>1</v>
      </c>
      <c r="D6" s="11">
        <v>21.78</v>
      </c>
      <c r="E6" s="11">
        <v>477.13560000000001</v>
      </c>
      <c r="F6" s="11">
        <v>59777.284</v>
      </c>
      <c r="G6" s="11">
        <v>4939.7923000000001</v>
      </c>
      <c r="H6" s="11">
        <v>4653.4380000000001</v>
      </c>
      <c r="I6" s="11">
        <v>295.07769999999999</v>
      </c>
      <c r="J6" s="11">
        <v>10705.636399999999</v>
      </c>
      <c r="K6" s="11">
        <v>364.21179999999998</v>
      </c>
      <c r="L6" s="11">
        <v>1701.2488000000001</v>
      </c>
      <c r="M6" s="11">
        <v>5668.1522000000004</v>
      </c>
      <c r="N6" s="11">
        <v>870.40039999999999</v>
      </c>
      <c r="O6" s="11">
        <v>1088.8395</v>
      </c>
      <c r="P6" s="11">
        <v>56.855699999999999</v>
      </c>
      <c r="Q6" s="11">
        <v>3939.3144000000002</v>
      </c>
      <c r="R6" s="11">
        <v>1489.8285000000001</v>
      </c>
      <c r="S6" s="11">
        <v>1530.5963999999999</v>
      </c>
      <c r="T6" s="11">
        <v>546.62109999999996</v>
      </c>
      <c r="U6" s="11">
        <v>1438.6701</v>
      </c>
      <c r="V6" s="11">
        <v>283.67259999999999</v>
      </c>
      <c r="W6" s="11">
        <v>384.06700000000001</v>
      </c>
      <c r="X6" s="11">
        <v>100232.62239999999</v>
      </c>
      <c r="Y6" s="11"/>
      <c r="Z6" s="11">
        <v>4764.5358999999999</v>
      </c>
      <c r="AA6" s="11">
        <v>264.39850000000001</v>
      </c>
      <c r="AB6" s="11">
        <v>9283.9755000000005</v>
      </c>
      <c r="AC6" s="11">
        <v>1722.4049</v>
      </c>
      <c r="AD6" s="11">
        <v>241832.92370000001</v>
      </c>
      <c r="AE6" s="11">
        <v>257868.2384</v>
      </c>
      <c r="AF6" s="11">
        <v>358100.85969999997</v>
      </c>
      <c r="AH6" s="11">
        <v>4044.6336999999999</v>
      </c>
      <c r="AI6" s="5">
        <f t="shared" si="0"/>
        <v>253823.6047</v>
      </c>
      <c r="AK6" s="45">
        <f t="shared" si="1"/>
        <v>246597.4596</v>
      </c>
      <c r="AL6">
        <f t="shared" si="2"/>
        <v>0.95629248925756805</v>
      </c>
    </row>
    <row r="7" spans="1:38" s="46" customFormat="1" x14ac:dyDescent="0.15">
      <c r="A7" s="47">
        <v>4</v>
      </c>
      <c r="B7" s="48" t="s">
        <v>2</v>
      </c>
      <c r="C7" s="48" t="s">
        <v>2</v>
      </c>
      <c r="D7" s="48">
        <v>0.24479999999999999</v>
      </c>
      <c r="E7" s="48">
        <v>166.72909999999999</v>
      </c>
      <c r="F7" s="48">
        <v>498.15249999999997</v>
      </c>
      <c r="G7" s="48">
        <v>23583.0278</v>
      </c>
      <c r="H7" s="48">
        <v>127.1551</v>
      </c>
      <c r="I7" s="48">
        <v>46.260899999999999</v>
      </c>
      <c r="J7" s="48">
        <v>198.9144</v>
      </c>
      <c r="K7" s="48">
        <v>87.078599999999994</v>
      </c>
      <c r="L7" s="48">
        <v>47.911799999999999</v>
      </c>
      <c r="M7" s="48">
        <v>74.724599999999995</v>
      </c>
      <c r="N7" s="48">
        <v>116.45180000000001</v>
      </c>
      <c r="O7" s="48">
        <v>691.20680000000004</v>
      </c>
      <c r="P7" s="48">
        <v>1759.0047</v>
      </c>
      <c r="Q7" s="48">
        <v>336.38709999999998</v>
      </c>
      <c r="R7" s="48">
        <v>29.7638</v>
      </c>
      <c r="S7" s="48">
        <v>194.56319999999999</v>
      </c>
      <c r="T7" s="48">
        <v>113.6001</v>
      </c>
      <c r="U7" s="48">
        <v>68.000399999999999</v>
      </c>
      <c r="V7" s="48">
        <v>95.003900000000002</v>
      </c>
      <c r="W7" s="48">
        <v>10.285600000000001</v>
      </c>
      <c r="X7" s="48">
        <v>28244.466799999998</v>
      </c>
      <c r="Y7" s="48"/>
      <c r="Z7" s="48">
        <v>31.907</v>
      </c>
      <c r="AA7" s="48">
        <v>5.6616999999999997</v>
      </c>
      <c r="AB7" s="48">
        <v>32445.845099999999</v>
      </c>
      <c r="AC7" s="48">
        <v>0</v>
      </c>
      <c r="AD7" s="48">
        <v>1735.3273999999999</v>
      </c>
      <c r="AE7" s="48">
        <v>34218.741199999997</v>
      </c>
      <c r="AF7" s="48">
        <v>62463.207999999999</v>
      </c>
      <c r="AH7" s="48">
        <v>34806.097300000001</v>
      </c>
      <c r="AI7" s="49">
        <f t="shared" si="0"/>
        <v>-587.35610000000452</v>
      </c>
      <c r="AK7" s="50">
        <f t="shared" si="1"/>
        <v>1767.2343999999998</v>
      </c>
      <c r="AL7" s="46">
        <f t="shared" si="2"/>
        <v>5.1645219491592516E-2</v>
      </c>
    </row>
    <row r="8" spans="1:38" x14ac:dyDescent="0.15">
      <c r="A8" s="4">
        <v>5</v>
      </c>
      <c r="B8" s="11" t="s">
        <v>58</v>
      </c>
      <c r="C8" s="11" t="s">
        <v>44</v>
      </c>
      <c r="D8" s="11">
        <v>21.569400000000002</v>
      </c>
      <c r="E8" s="11">
        <v>216.56620000000001</v>
      </c>
      <c r="F8" s="11">
        <v>11955.634099999999</v>
      </c>
      <c r="G8" s="11">
        <v>1600.1344999999999</v>
      </c>
      <c r="H8" s="11">
        <v>5469.2764999999999</v>
      </c>
      <c r="I8" s="11">
        <v>414.04469999999998</v>
      </c>
      <c r="J8" s="11">
        <v>3575.0686999999998</v>
      </c>
      <c r="K8" s="11">
        <v>372.69690000000003</v>
      </c>
      <c r="L8" s="11">
        <v>847.88509999999997</v>
      </c>
      <c r="M8" s="11">
        <v>4743.8473999999997</v>
      </c>
      <c r="N8" s="11">
        <v>1447.8489999999999</v>
      </c>
      <c r="O8" s="11">
        <v>452.6748</v>
      </c>
      <c r="P8" s="11">
        <v>50.380200000000002</v>
      </c>
      <c r="Q8" s="11">
        <v>993.06899999999996</v>
      </c>
      <c r="R8" s="11">
        <v>554.64670000000001</v>
      </c>
      <c r="S8" s="11">
        <v>752.27</v>
      </c>
      <c r="T8" s="11">
        <v>208.33920000000001</v>
      </c>
      <c r="U8" s="11">
        <v>521.81669999999997</v>
      </c>
      <c r="V8" s="11">
        <v>133.05350000000001</v>
      </c>
      <c r="W8" s="11">
        <v>133.89570000000001</v>
      </c>
      <c r="X8" s="11">
        <v>34464.718200000003</v>
      </c>
      <c r="Y8" s="11"/>
      <c r="Z8" s="11">
        <v>4611.3589000000002</v>
      </c>
      <c r="AA8" s="11">
        <v>88.906199999999998</v>
      </c>
      <c r="AB8" s="11">
        <v>4957.9053999999996</v>
      </c>
      <c r="AC8" s="11">
        <v>3.1219999999999999</v>
      </c>
      <c r="AD8" s="11">
        <v>154400.666</v>
      </c>
      <c r="AE8" s="11">
        <v>164061.95850000001</v>
      </c>
      <c r="AF8" s="11">
        <v>198526.67629999999</v>
      </c>
      <c r="AH8" s="11">
        <v>209881.88810000001</v>
      </c>
      <c r="AI8" s="5">
        <f t="shared" si="0"/>
        <v>-45819.929600000003</v>
      </c>
      <c r="AK8" s="45">
        <f t="shared" si="1"/>
        <v>159012.02489999999</v>
      </c>
      <c r="AL8">
        <f t="shared" si="2"/>
        <v>0.96921935074912557</v>
      </c>
    </row>
    <row r="9" spans="1:38" x14ac:dyDescent="0.15">
      <c r="A9" s="4">
        <v>6</v>
      </c>
      <c r="B9" s="11" t="s">
        <v>58</v>
      </c>
      <c r="C9" s="11" t="s">
        <v>45</v>
      </c>
      <c r="D9" s="11">
        <v>0.1111</v>
      </c>
      <c r="E9" s="11">
        <v>4.1731999999999996</v>
      </c>
      <c r="F9" s="11">
        <v>58.343499999999999</v>
      </c>
      <c r="G9" s="11">
        <v>165.41499999999999</v>
      </c>
      <c r="H9" s="11">
        <v>543.57500000000005</v>
      </c>
      <c r="I9" s="11">
        <v>304.54109999999997</v>
      </c>
      <c r="J9" s="11">
        <v>158.98990000000001</v>
      </c>
      <c r="K9" s="11">
        <v>7.6642999999999999</v>
      </c>
      <c r="L9" s="11">
        <v>44.438400000000001</v>
      </c>
      <c r="M9" s="11">
        <v>110.3385</v>
      </c>
      <c r="N9" s="11">
        <v>66.435500000000005</v>
      </c>
      <c r="O9" s="11">
        <v>35.754199999999997</v>
      </c>
      <c r="P9" s="11">
        <v>5.0209000000000001</v>
      </c>
      <c r="Q9" s="11">
        <v>67.063000000000002</v>
      </c>
      <c r="R9" s="11">
        <v>33.054600000000001</v>
      </c>
      <c r="S9" s="11">
        <v>58.640799999999999</v>
      </c>
      <c r="T9" s="11">
        <v>21.392499999999998</v>
      </c>
      <c r="U9" s="11">
        <v>52.626199999999997</v>
      </c>
      <c r="V9" s="11">
        <v>14.8224</v>
      </c>
      <c r="W9" s="11">
        <v>16.047799999999999</v>
      </c>
      <c r="X9" s="11">
        <v>1768.4477999999999</v>
      </c>
      <c r="Y9" s="11"/>
      <c r="Z9" s="11">
        <v>11265.522499999999</v>
      </c>
      <c r="AA9" s="11">
        <v>5.1791</v>
      </c>
      <c r="AB9" s="11">
        <v>112.348</v>
      </c>
      <c r="AC9" s="11">
        <v>0</v>
      </c>
      <c r="AD9" s="11">
        <v>2990.4144000000001</v>
      </c>
      <c r="AE9" s="11">
        <v>14373.463900000001</v>
      </c>
      <c r="AF9" s="11">
        <v>16141.9113</v>
      </c>
      <c r="AH9" s="11">
        <v>13049.6751</v>
      </c>
      <c r="AI9" s="5">
        <f t="shared" si="0"/>
        <v>1323.7888000000003</v>
      </c>
      <c r="AK9" s="45">
        <f t="shared" si="1"/>
        <v>14255.936899999999</v>
      </c>
      <c r="AL9">
        <f t="shared" si="2"/>
        <v>0.99182333494433439</v>
      </c>
    </row>
    <row r="10" spans="1:38" x14ac:dyDescent="0.15">
      <c r="A10" s="4">
        <v>7</v>
      </c>
      <c r="B10" s="11" t="s">
        <v>46</v>
      </c>
      <c r="C10" s="11" t="s">
        <v>46</v>
      </c>
      <c r="D10" s="11">
        <v>10.375999999999999</v>
      </c>
      <c r="E10" s="11">
        <v>148.71090000000001</v>
      </c>
      <c r="F10" s="11">
        <v>3130.9802</v>
      </c>
      <c r="G10" s="11">
        <v>297.30259999999998</v>
      </c>
      <c r="H10" s="11">
        <v>21302.256600000001</v>
      </c>
      <c r="I10" s="11">
        <v>862.10979999999995</v>
      </c>
      <c r="J10" s="11">
        <v>42265.813499999997</v>
      </c>
      <c r="K10" s="11">
        <v>48.930900000000001</v>
      </c>
      <c r="L10" s="11">
        <v>182.03450000000001</v>
      </c>
      <c r="M10" s="11">
        <v>1196.7248</v>
      </c>
      <c r="N10" s="11">
        <v>1063.5047</v>
      </c>
      <c r="O10" s="11">
        <v>468.04500000000002</v>
      </c>
      <c r="P10" s="11">
        <v>11.6593</v>
      </c>
      <c r="Q10" s="11">
        <v>554.65049999999997</v>
      </c>
      <c r="R10" s="11">
        <v>348.1139</v>
      </c>
      <c r="S10" s="11">
        <v>1936.9490000000001</v>
      </c>
      <c r="T10" s="11">
        <v>145.02959999999999</v>
      </c>
      <c r="U10" s="11">
        <v>123.94880000000001</v>
      </c>
      <c r="V10" s="11">
        <v>66.803200000000004</v>
      </c>
      <c r="W10" s="11">
        <v>70.9375</v>
      </c>
      <c r="X10" s="11">
        <v>74234.881399999998</v>
      </c>
      <c r="Y10" s="11"/>
      <c r="Z10" s="11">
        <v>8152.9351999999999</v>
      </c>
      <c r="AA10" s="11">
        <v>100.1712</v>
      </c>
      <c r="AB10" s="11">
        <v>532.59680000000003</v>
      </c>
      <c r="AC10" s="11">
        <v>2.7953999999999999</v>
      </c>
      <c r="AD10" s="11">
        <v>88862.435599999997</v>
      </c>
      <c r="AE10" s="11">
        <v>97650.934200000003</v>
      </c>
      <c r="AF10" s="11">
        <v>171885.81539999999</v>
      </c>
      <c r="AH10" s="11">
        <v>145226.40470000001</v>
      </c>
      <c r="AI10" s="5">
        <f t="shared" si="0"/>
        <v>-47575.47050000001</v>
      </c>
      <c r="AK10" s="45">
        <f t="shared" si="1"/>
        <v>97015.370800000004</v>
      </c>
      <c r="AL10">
        <f t="shared" si="2"/>
        <v>0.99349147650038561</v>
      </c>
    </row>
    <row r="11" spans="1:38" x14ac:dyDescent="0.15">
      <c r="A11" s="4">
        <v>8</v>
      </c>
      <c r="B11" s="11" t="s">
        <v>59</v>
      </c>
      <c r="C11" s="11" t="s">
        <v>15</v>
      </c>
      <c r="D11" s="11">
        <v>0.4708</v>
      </c>
      <c r="E11" s="11">
        <v>5.6310000000000002</v>
      </c>
      <c r="F11" s="11">
        <v>111.9679</v>
      </c>
      <c r="G11" s="11">
        <v>12.1122</v>
      </c>
      <c r="H11" s="11">
        <v>197.8331</v>
      </c>
      <c r="I11" s="11">
        <v>45.613599999999998</v>
      </c>
      <c r="J11" s="11">
        <v>241.34630000000001</v>
      </c>
      <c r="K11" s="11">
        <v>6.1154000000000002</v>
      </c>
      <c r="L11" s="11">
        <v>36.3508</v>
      </c>
      <c r="M11" s="11">
        <v>201.43090000000001</v>
      </c>
      <c r="N11" s="11">
        <v>247.26240000000001</v>
      </c>
      <c r="O11" s="11">
        <v>38.399099999999997</v>
      </c>
      <c r="P11" s="11">
        <v>0.35489999999999999</v>
      </c>
      <c r="Q11" s="11">
        <v>153.28749999999999</v>
      </c>
      <c r="R11" s="11">
        <v>58.762900000000002</v>
      </c>
      <c r="S11" s="11">
        <v>65.734899999999996</v>
      </c>
      <c r="T11" s="11">
        <v>27.775400000000001</v>
      </c>
      <c r="U11" s="11">
        <v>18.030999999999999</v>
      </c>
      <c r="V11" s="11">
        <v>18.599399999999999</v>
      </c>
      <c r="W11" s="11">
        <v>16.078700000000001</v>
      </c>
      <c r="X11" s="11">
        <v>1503.1582000000001</v>
      </c>
      <c r="Y11" s="11"/>
      <c r="Z11" s="11">
        <v>1468.9627</v>
      </c>
      <c r="AA11" s="11">
        <v>7.0206999999999997</v>
      </c>
      <c r="AB11" s="11">
        <v>46.963099999999997</v>
      </c>
      <c r="AC11" s="11">
        <v>0</v>
      </c>
      <c r="AD11" s="11">
        <v>4591.7564000000002</v>
      </c>
      <c r="AE11" s="11">
        <v>6114.7029000000002</v>
      </c>
      <c r="AF11" s="11">
        <v>7617.8613999999998</v>
      </c>
      <c r="AH11" s="11">
        <v>2937.2325999999998</v>
      </c>
      <c r="AI11" s="5">
        <f t="shared" si="0"/>
        <v>3177.4703000000004</v>
      </c>
      <c r="AK11" s="45">
        <f t="shared" si="1"/>
        <v>6060.7191000000003</v>
      </c>
      <c r="AL11">
        <f t="shared" si="2"/>
        <v>0.99117147621350499</v>
      </c>
    </row>
    <row r="12" spans="1:38" x14ac:dyDescent="0.15">
      <c r="A12" s="4">
        <v>9</v>
      </c>
      <c r="B12" s="11" t="s">
        <v>59</v>
      </c>
      <c r="C12" s="11" t="s">
        <v>47</v>
      </c>
      <c r="D12" s="11">
        <v>3.5709</v>
      </c>
      <c r="E12" s="11">
        <v>11.149900000000001</v>
      </c>
      <c r="F12" s="11">
        <v>245.4118</v>
      </c>
      <c r="G12" s="11">
        <v>30.8675</v>
      </c>
      <c r="H12" s="11">
        <v>631.55460000000005</v>
      </c>
      <c r="I12" s="11">
        <v>83.712599999999995</v>
      </c>
      <c r="J12" s="11">
        <v>839.21079999999995</v>
      </c>
      <c r="K12" s="11">
        <v>21.6157</v>
      </c>
      <c r="L12" s="11">
        <v>172.9573</v>
      </c>
      <c r="M12" s="11">
        <v>600.80160000000001</v>
      </c>
      <c r="N12" s="11">
        <v>567.67079999999999</v>
      </c>
      <c r="O12" s="11">
        <v>107.0078</v>
      </c>
      <c r="P12" s="11">
        <v>0.43630000000000002</v>
      </c>
      <c r="Q12" s="11">
        <v>249.59360000000001</v>
      </c>
      <c r="R12" s="11">
        <v>154.90790000000001</v>
      </c>
      <c r="S12" s="11">
        <v>98.093000000000004</v>
      </c>
      <c r="T12" s="11">
        <v>69.113799999999998</v>
      </c>
      <c r="U12" s="11">
        <v>55.123100000000001</v>
      </c>
      <c r="V12" s="11">
        <v>66.318299999999994</v>
      </c>
      <c r="W12" s="11">
        <v>45.244599999999998</v>
      </c>
      <c r="X12" s="11">
        <v>4054.3618000000001</v>
      </c>
      <c r="Y12" s="11"/>
      <c r="Z12" s="11">
        <v>8304.7973000000002</v>
      </c>
      <c r="AA12" s="11">
        <v>1.222</v>
      </c>
      <c r="AB12" s="11">
        <v>72.456699999999998</v>
      </c>
      <c r="AC12" s="11">
        <v>0</v>
      </c>
      <c r="AD12" s="11">
        <v>3110.6959000000002</v>
      </c>
      <c r="AE12" s="11">
        <v>11489.171899999999</v>
      </c>
      <c r="AF12" s="11">
        <v>15543.533600000001</v>
      </c>
      <c r="AH12" s="11">
        <v>9783.7829999999994</v>
      </c>
      <c r="AI12" s="5">
        <f t="shared" si="0"/>
        <v>1705.3888999999999</v>
      </c>
      <c r="AK12" s="45">
        <f t="shared" si="1"/>
        <v>11415.493200000001</v>
      </c>
      <c r="AL12">
        <f t="shared" si="2"/>
        <v>0.99358711831964164</v>
      </c>
    </row>
    <row r="13" spans="1:38" x14ac:dyDescent="0.15">
      <c r="A13" s="6">
        <v>10</v>
      </c>
      <c r="B13" s="12" t="s">
        <v>48</v>
      </c>
      <c r="C13" s="12" t="s">
        <v>48</v>
      </c>
      <c r="D13" s="12">
        <v>1.7566999999999999</v>
      </c>
      <c r="E13" s="12">
        <v>142.85579999999999</v>
      </c>
      <c r="F13" s="12">
        <v>986.59460000000001</v>
      </c>
      <c r="G13" s="12">
        <v>201.16210000000001</v>
      </c>
      <c r="H13" s="12">
        <v>2285.8993</v>
      </c>
      <c r="I13" s="12">
        <v>343.13729999999998</v>
      </c>
      <c r="J13" s="12">
        <v>1146.7963</v>
      </c>
      <c r="K13" s="12">
        <v>88.545699999999997</v>
      </c>
      <c r="L13" s="12">
        <v>109.3291</v>
      </c>
      <c r="M13" s="12">
        <v>15884.6459</v>
      </c>
      <c r="N13" s="12">
        <v>5275.3036000000002</v>
      </c>
      <c r="O13" s="12">
        <v>569.54319999999996</v>
      </c>
      <c r="P13" s="12">
        <v>28.350899999999999</v>
      </c>
      <c r="Q13" s="12">
        <v>2836.0511999999999</v>
      </c>
      <c r="R13" s="12">
        <v>441.8578</v>
      </c>
      <c r="S13" s="12">
        <v>1751.1836000000001</v>
      </c>
      <c r="T13" s="12">
        <v>374.5206</v>
      </c>
      <c r="U13" s="12">
        <v>673.50689999999997</v>
      </c>
      <c r="V13" s="12">
        <v>258.20580000000001</v>
      </c>
      <c r="W13" s="12">
        <v>160.5523</v>
      </c>
      <c r="X13" s="12">
        <v>33559.798499999997</v>
      </c>
      <c r="Y13" s="12"/>
      <c r="Z13" s="12">
        <v>5351.8589000000002</v>
      </c>
      <c r="AA13" s="12">
        <v>98.263499999999993</v>
      </c>
      <c r="AB13" s="12">
        <v>5809.1773999999996</v>
      </c>
      <c r="AC13" s="12">
        <v>0.29920000000000002</v>
      </c>
      <c r="AD13" s="12">
        <v>57475.088199999998</v>
      </c>
      <c r="AE13" s="12">
        <v>68734.687099999996</v>
      </c>
      <c r="AF13" s="12">
        <v>102294.4857</v>
      </c>
      <c r="AH13" s="12">
        <v>96543.314400000003</v>
      </c>
      <c r="AI13" s="5">
        <f t="shared" si="0"/>
        <v>-27808.627300000007</v>
      </c>
      <c r="AK13" s="45">
        <f t="shared" si="1"/>
        <v>62826.947099999998</v>
      </c>
      <c r="AL13">
        <f t="shared" si="2"/>
        <v>0.91405009247506996</v>
      </c>
    </row>
    <row r="14" spans="1:38" x14ac:dyDescent="0.15">
      <c r="A14" s="7">
        <v>11</v>
      </c>
      <c r="B14" s="13" t="s">
        <v>60</v>
      </c>
      <c r="C14" s="13" t="s">
        <v>49</v>
      </c>
      <c r="D14" s="13">
        <v>9.9512</v>
      </c>
      <c r="E14" s="13">
        <v>270.9357</v>
      </c>
      <c r="F14" s="13">
        <v>3035.8696</v>
      </c>
      <c r="G14" s="13">
        <v>729.14179999999999</v>
      </c>
      <c r="H14" s="13">
        <v>6618.7803000000004</v>
      </c>
      <c r="I14" s="13">
        <v>709.37969999999996</v>
      </c>
      <c r="J14" s="13">
        <v>1923.0111999999999</v>
      </c>
      <c r="K14" s="13">
        <v>237.6112</v>
      </c>
      <c r="L14" s="13">
        <v>214.71879999999999</v>
      </c>
      <c r="M14" s="13">
        <v>1327.7354</v>
      </c>
      <c r="N14" s="13">
        <v>23279.187699999999</v>
      </c>
      <c r="O14" s="13">
        <v>3063.5364</v>
      </c>
      <c r="P14" s="13">
        <v>1301.1242</v>
      </c>
      <c r="Q14" s="13">
        <v>1510.8932</v>
      </c>
      <c r="R14" s="13">
        <v>726.50170000000003</v>
      </c>
      <c r="S14" s="13">
        <v>4670.9831000000004</v>
      </c>
      <c r="T14" s="13">
        <v>217.8836</v>
      </c>
      <c r="U14" s="13">
        <v>406.10820000000001</v>
      </c>
      <c r="V14" s="13">
        <v>214.35570000000001</v>
      </c>
      <c r="W14" s="13">
        <v>138.2835</v>
      </c>
      <c r="X14" s="13">
        <v>50605.992200000001</v>
      </c>
      <c r="Y14" s="13"/>
      <c r="Z14" s="13">
        <v>20750.337599999999</v>
      </c>
      <c r="AA14" s="13">
        <v>429.3211</v>
      </c>
      <c r="AB14" s="13">
        <v>597.48249999999996</v>
      </c>
      <c r="AC14" s="13">
        <v>0</v>
      </c>
      <c r="AD14" s="13">
        <v>64379.869599999998</v>
      </c>
      <c r="AE14" s="13">
        <v>86157.010800000004</v>
      </c>
      <c r="AF14" s="13">
        <v>136763.0037</v>
      </c>
      <c r="AH14" s="13">
        <v>95228.888399999996</v>
      </c>
      <c r="AI14" s="5">
        <f t="shared" si="0"/>
        <v>-9071.8775999999925</v>
      </c>
      <c r="AK14" s="45">
        <f t="shared" si="1"/>
        <v>85130.207200000004</v>
      </c>
      <c r="AL14">
        <f t="shared" si="2"/>
        <v>0.9880821816998322</v>
      </c>
    </row>
    <row r="15" spans="1:38" s="46" customFormat="1" x14ac:dyDescent="0.15">
      <c r="A15" s="47">
        <v>12</v>
      </c>
      <c r="B15" s="48" t="s">
        <v>61</v>
      </c>
      <c r="C15" s="48" t="s">
        <v>16</v>
      </c>
      <c r="D15" s="48">
        <v>0.50339999999999996</v>
      </c>
      <c r="E15" s="48">
        <v>157.27500000000001</v>
      </c>
      <c r="F15" s="48">
        <v>1053.1679999999999</v>
      </c>
      <c r="G15" s="48">
        <v>251.34360000000001</v>
      </c>
      <c r="H15" s="48">
        <v>2792.5309000000002</v>
      </c>
      <c r="I15" s="48">
        <v>3165.2494999999999</v>
      </c>
      <c r="J15" s="48">
        <v>1520.604</v>
      </c>
      <c r="K15" s="48">
        <v>421.7004</v>
      </c>
      <c r="L15" s="48">
        <v>1305.2927</v>
      </c>
      <c r="M15" s="48">
        <v>1003.4982</v>
      </c>
      <c r="N15" s="48">
        <v>2653.1496000000002</v>
      </c>
      <c r="O15" s="48">
        <v>2214.5738999999999</v>
      </c>
      <c r="P15" s="48">
        <v>16.114599999999999</v>
      </c>
      <c r="Q15" s="48">
        <v>1169.8375000000001</v>
      </c>
      <c r="R15" s="48">
        <v>458.988</v>
      </c>
      <c r="S15" s="48">
        <v>634.11720000000003</v>
      </c>
      <c r="T15" s="48">
        <v>402.01799999999997</v>
      </c>
      <c r="U15" s="48">
        <v>729.55889999999999</v>
      </c>
      <c r="V15" s="48">
        <v>236.43389999999999</v>
      </c>
      <c r="W15" s="48">
        <v>338.4024</v>
      </c>
      <c r="X15" s="48">
        <v>20524.359700000001</v>
      </c>
      <c r="Y15" s="48"/>
      <c r="Z15" s="48">
        <v>2371.8928999999998</v>
      </c>
      <c r="AA15" s="48">
        <v>141.06139999999999</v>
      </c>
      <c r="AB15" s="48">
        <v>7888.5219999999999</v>
      </c>
      <c r="AC15" s="48">
        <v>1.1000000000000001E-3</v>
      </c>
      <c r="AD15" s="48">
        <v>1455.3226</v>
      </c>
      <c r="AE15" s="48">
        <v>11856.8001</v>
      </c>
      <c r="AF15" s="48">
        <v>32381.1594</v>
      </c>
      <c r="AH15" s="48">
        <v>12242.7883</v>
      </c>
      <c r="AI15" s="49">
        <f t="shared" si="0"/>
        <v>-385.98819999999978</v>
      </c>
      <c r="AK15" s="50">
        <f t="shared" si="1"/>
        <v>3827.2154999999998</v>
      </c>
      <c r="AL15" s="46">
        <f t="shared" si="2"/>
        <v>0.3227865417078255</v>
      </c>
    </row>
    <row r="16" spans="1:38" x14ac:dyDescent="0.15">
      <c r="A16" s="4">
        <v>13</v>
      </c>
      <c r="B16" s="11" t="s">
        <v>61</v>
      </c>
      <c r="C16" s="11" t="s">
        <v>50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/>
      <c r="Z16" s="11">
        <v>21702.424999999999</v>
      </c>
      <c r="AA16" s="11">
        <v>0</v>
      </c>
      <c r="AB16" s="11">
        <v>0</v>
      </c>
      <c r="AC16" s="11">
        <v>0</v>
      </c>
      <c r="AD16" s="11">
        <v>681.47500000000002</v>
      </c>
      <c r="AE16" s="11">
        <v>22383.9</v>
      </c>
      <c r="AF16" s="11">
        <v>22383.9</v>
      </c>
      <c r="AH16" s="11">
        <v>23217.5</v>
      </c>
      <c r="AI16" s="5">
        <f t="shared" si="0"/>
        <v>-833.59999999999854</v>
      </c>
      <c r="AK16" s="45">
        <f t="shared" si="1"/>
        <v>22383.899999999998</v>
      </c>
      <c r="AL16">
        <f t="shared" si="2"/>
        <v>0.99999999999999989</v>
      </c>
    </row>
    <row r="17" spans="1:38" s="46" customFormat="1" x14ac:dyDescent="0.15">
      <c r="A17" s="47">
        <v>14</v>
      </c>
      <c r="B17" s="48" t="s">
        <v>51</v>
      </c>
      <c r="C17" s="48" t="s">
        <v>51</v>
      </c>
      <c r="D17" s="48">
        <v>7.3815</v>
      </c>
      <c r="E17" s="48">
        <v>289.04759999999999</v>
      </c>
      <c r="F17" s="48">
        <v>6237.9157999999998</v>
      </c>
      <c r="G17" s="48">
        <v>1356.5744999999999</v>
      </c>
      <c r="H17" s="48">
        <v>4223.4337999999998</v>
      </c>
      <c r="I17" s="48">
        <v>631.53229999999996</v>
      </c>
      <c r="J17" s="48">
        <v>1997.5300999999999</v>
      </c>
      <c r="K17" s="48">
        <v>367.85109999999997</v>
      </c>
      <c r="L17" s="48">
        <v>275.96940000000001</v>
      </c>
      <c r="M17" s="48">
        <v>3215.2957999999999</v>
      </c>
      <c r="N17" s="48">
        <v>3363.5839999999998</v>
      </c>
      <c r="O17" s="48">
        <v>2961.0554999999999</v>
      </c>
      <c r="P17" s="48">
        <v>400.05369999999999</v>
      </c>
      <c r="Q17" s="48">
        <v>2876.2456000000002</v>
      </c>
      <c r="R17" s="48">
        <v>475.9776</v>
      </c>
      <c r="S17" s="48">
        <v>1357.7523000000001</v>
      </c>
      <c r="T17" s="48">
        <v>343.97070000000002</v>
      </c>
      <c r="U17" s="48">
        <v>470.80239999999998</v>
      </c>
      <c r="V17" s="48">
        <v>406.22750000000002</v>
      </c>
      <c r="W17" s="48">
        <v>218.21729999999999</v>
      </c>
      <c r="X17" s="48">
        <v>31476.4185</v>
      </c>
      <c r="Y17" s="48"/>
      <c r="Z17" s="48">
        <v>849.0924</v>
      </c>
      <c r="AA17" s="48">
        <v>1331.1493</v>
      </c>
      <c r="AB17" s="48">
        <v>7328.8945999999996</v>
      </c>
      <c r="AC17" s="48">
        <v>12.2659</v>
      </c>
      <c r="AD17" s="48">
        <v>20622.5589</v>
      </c>
      <c r="AE17" s="48">
        <v>30143.9611</v>
      </c>
      <c r="AF17" s="48">
        <v>61620.38</v>
      </c>
      <c r="AH17" s="48">
        <v>31987.958500000001</v>
      </c>
      <c r="AI17" s="49">
        <f t="shared" si="0"/>
        <v>-1843.9974000000002</v>
      </c>
      <c r="AK17" s="50">
        <f t="shared" si="1"/>
        <v>21471.651300000001</v>
      </c>
      <c r="AL17" s="46">
        <f t="shared" si="2"/>
        <v>0.7123035764533282</v>
      </c>
    </row>
    <row r="18" spans="1:38" x14ac:dyDescent="0.15">
      <c r="A18" s="4">
        <v>15</v>
      </c>
      <c r="B18" s="11" t="s">
        <v>52</v>
      </c>
      <c r="C18" s="11" t="s">
        <v>52</v>
      </c>
      <c r="D18" s="11">
        <v>4.2534000000000001</v>
      </c>
      <c r="E18" s="11">
        <v>261.74119999999999</v>
      </c>
      <c r="F18" s="11">
        <v>2260.1594</v>
      </c>
      <c r="G18" s="11">
        <v>808.82500000000005</v>
      </c>
      <c r="H18" s="11">
        <v>4662.1066000000001</v>
      </c>
      <c r="I18" s="11">
        <v>276.64420000000001</v>
      </c>
      <c r="J18" s="11">
        <v>2887.4184</v>
      </c>
      <c r="K18" s="11">
        <v>99.060699999999997</v>
      </c>
      <c r="L18" s="11">
        <v>250.6969</v>
      </c>
      <c r="M18" s="11">
        <v>1969.5864999999999</v>
      </c>
      <c r="N18" s="11">
        <v>2486.9187999999999</v>
      </c>
      <c r="O18" s="11">
        <v>1773.2563</v>
      </c>
      <c r="P18" s="11">
        <v>200.62139999999999</v>
      </c>
      <c r="Q18" s="11">
        <v>868.63919999999996</v>
      </c>
      <c r="R18" s="11">
        <v>1946.3061</v>
      </c>
      <c r="S18" s="11">
        <v>941.93389999999999</v>
      </c>
      <c r="T18" s="11">
        <v>288.25299999999999</v>
      </c>
      <c r="U18" s="11">
        <v>513.68240000000003</v>
      </c>
      <c r="V18" s="11">
        <v>329.2928</v>
      </c>
      <c r="W18" s="11">
        <v>117.4349</v>
      </c>
      <c r="X18" s="11">
        <v>22946.830999999998</v>
      </c>
      <c r="Y18" s="11"/>
      <c r="Z18" s="11">
        <v>941.1703</v>
      </c>
      <c r="AA18" s="11">
        <v>29.305499999999999</v>
      </c>
      <c r="AB18" s="11">
        <v>73.060400000000001</v>
      </c>
      <c r="AC18" s="11">
        <v>0.34160000000000001</v>
      </c>
      <c r="AD18" s="11">
        <v>7885.4381999999996</v>
      </c>
      <c r="AE18" s="11">
        <v>8929.3160000000007</v>
      </c>
      <c r="AF18" s="11">
        <v>31876.146400000001</v>
      </c>
      <c r="AH18" s="11">
        <v>8521.6610999999994</v>
      </c>
      <c r="AI18" s="5">
        <f t="shared" si="0"/>
        <v>407.65490000000136</v>
      </c>
      <c r="AK18" s="45">
        <f t="shared" si="1"/>
        <v>8826.6085000000003</v>
      </c>
      <c r="AL18">
        <f t="shared" si="2"/>
        <v>0.98849771919820062</v>
      </c>
    </row>
    <row r="19" spans="1:38" s="46" customFormat="1" x14ac:dyDescent="0.15">
      <c r="A19" s="47">
        <v>16</v>
      </c>
      <c r="B19" s="48" t="s">
        <v>62</v>
      </c>
      <c r="C19" s="48" t="s">
        <v>53</v>
      </c>
      <c r="D19" s="48">
        <v>0.38169999999999998</v>
      </c>
      <c r="E19" s="48">
        <v>67.661600000000007</v>
      </c>
      <c r="F19" s="48">
        <v>116.9649</v>
      </c>
      <c r="G19" s="48">
        <v>130.7236</v>
      </c>
      <c r="H19" s="48">
        <v>508.92009999999999</v>
      </c>
      <c r="I19" s="48">
        <v>193.6506</v>
      </c>
      <c r="J19" s="48">
        <v>481.64980000000003</v>
      </c>
      <c r="K19" s="48">
        <v>37.846499999999999</v>
      </c>
      <c r="L19" s="48">
        <v>73.101100000000002</v>
      </c>
      <c r="M19" s="48">
        <v>260.45170000000002</v>
      </c>
      <c r="N19" s="48">
        <v>375.85849999999999</v>
      </c>
      <c r="O19" s="48">
        <v>529.06650000000002</v>
      </c>
      <c r="P19" s="48">
        <v>2.6907999999999999</v>
      </c>
      <c r="Q19" s="48">
        <v>336.82470000000001</v>
      </c>
      <c r="R19" s="48">
        <v>41.443800000000003</v>
      </c>
      <c r="S19" s="48">
        <v>399.5908</v>
      </c>
      <c r="T19" s="48">
        <v>30.597999999999999</v>
      </c>
      <c r="U19" s="48">
        <v>49.406100000000002</v>
      </c>
      <c r="V19" s="48">
        <v>91.378500000000003</v>
      </c>
      <c r="W19" s="48">
        <v>26.076000000000001</v>
      </c>
      <c r="X19" s="48">
        <v>3754.2853</v>
      </c>
      <c r="Y19" s="48"/>
      <c r="Z19" s="48">
        <v>746.42939999999999</v>
      </c>
      <c r="AA19" s="48">
        <v>31505.412700000001</v>
      </c>
      <c r="AB19" s="48">
        <v>403.37049999999999</v>
      </c>
      <c r="AC19" s="48">
        <v>0.4173</v>
      </c>
      <c r="AD19" s="48">
        <v>950.38379999999995</v>
      </c>
      <c r="AE19" s="48">
        <v>33606.013599999998</v>
      </c>
      <c r="AF19" s="48">
        <v>37360.299099999997</v>
      </c>
      <c r="AH19" s="48">
        <v>39977.776400000002</v>
      </c>
      <c r="AI19" s="49">
        <f t="shared" si="0"/>
        <v>-6371.7628000000041</v>
      </c>
      <c r="AK19" s="50">
        <f t="shared" si="1"/>
        <v>1696.8132000000001</v>
      </c>
      <c r="AL19" s="46">
        <f t="shared" si="2"/>
        <v>5.0491356106574931E-2</v>
      </c>
    </row>
    <row r="20" spans="1:38" s="46" customFormat="1" x14ac:dyDescent="0.15">
      <c r="A20" s="47">
        <v>17</v>
      </c>
      <c r="B20" s="48" t="s">
        <v>62</v>
      </c>
      <c r="C20" s="48" t="s">
        <v>17</v>
      </c>
      <c r="D20" s="48">
        <v>0.37080000000000002</v>
      </c>
      <c r="E20" s="48">
        <v>13.7325</v>
      </c>
      <c r="F20" s="48">
        <v>241.17060000000001</v>
      </c>
      <c r="G20" s="48">
        <v>23.869299999999999</v>
      </c>
      <c r="H20" s="48">
        <v>155.7345</v>
      </c>
      <c r="I20" s="48">
        <v>50.752299999999998</v>
      </c>
      <c r="J20" s="48">
        <v>92.114400000000003</v>
      </c>
      <c r="K20" s="48">
        <v>30.1629</v>
      </c>
      <c r="L20" s="48">
        <v>27.331600000000002</v>
      </c>
      <c r="M20" s="48">
        <v>156.05549999999999</v>
      </c>
      <c r="N20" s="48">
        <v>167.17830000000001</v>
      </c>
      <c r="O20" s="48">
        <v>117.10939999999999</v>
      </c>
      <c r="P20" s="48">
        <v>10.758699999999999</v>
      </c>
      <c r="Q20" s="48">
        <v>113.0364</v>
      </c>
      <c r="R20" s="48">
        <v>25.4391</v>
      </c>
      <c r="S20" s="48">
        <v>390.07799999999997</v>
      </c>
      <c r="T20" s="48">
        <v>405.6825</v>
      </c>
      <c r="U20" s="48">
        <v>38.2012</v>
      </c>
      <c r="V20" s="48">
        <v>19.092700000000001</v>
      </c>
      <c r="W20" s="48">
        <v>12.9655</v>
      </c>
      <c r="X20" s="48">
        <v>2090.8359999999998</v>
      </c>
      <c r="Y20" s="48"/>
      <c r="Z20" s="48">
        <v>5372.9533000000001</v>
      </c>
      <c r="AA20" s="48">
        <v>9192.3402999999998</v>
      </c>
      <c r="AB20" s="48">
        <v>252.41470000000001</v>
      </c>
      <c r="AC20" s="48">
        <v>2E-3</v>
      </c>
      <c r="AD20" s="48">
        <v>2795.7361999999998</v>
      </c>
      <c r="AE20" s="48">
        <v>17613.446499999998</v>
      </c>
      <c r="AF20" s="48">
        <v>19704.2834</v>
      </c>
      <c r="AH20" s="48">
        <v>18525.671699999999</v>
      </c>
      <c r="AI20" s="49">
        <f t="shared" si="0"/>
        <v>-912.22520000000077</v>
      </c>
      <c r="AK20" s="50">
        <f t="shared" si="1"/>
        <v>8168.6895000000004</v>
      </c>
      <c r="AL20" s="46">
        <f t="shared" si="2"/>
        <v>0.46377575791313763</v>
      </c>
    </row>
    <row r="21" spans="1:38" s="46" customFormat="1" x14ac:dyDescent="0.15">
      <c r="A21" s="47">
        <v>18</v>
      </c>
      <c r="B21" s="48" t="s">
        <v>54</v>
      </c>
      <c r="C21" s="48" t="s">
        <v>54</v>
      </c>
      <c r="D21" s="48">
        <v>0.58199999999999996</v>
      </c>
      <c r="E21" s="48">
        <v>3.9142000000000001</v>
      </c>
      <c r="F21" s="48">
        <v>37.3842</v>
      </c>
      <c r="G21" s="48">
        <v>8.3838000000000008</v>
      </c>
      <c r="H21" s="48">
        <v>50.328899999999997</v>
      </c>
      <c r="I21" s="48">
        <v>27.550699999999999</v>
      </c>
      <c r="J21" s="48">
        <v>36.0642</v>
      </c>
      <c r="K21" s="48">
        <v>5.2487000000000004</v>
      </c>
      <c r="L21" s="48">
        <v>11.590999999999999</v>
      </c>
      <c r="M21" s="48">
        <v>30.633400000000002</v>
      </c>
      <c r="N21" s="48">
        <v>50.9602</v>
      </c>
      <c r="O21" s="48">
        <v>30.232600000000001</v>
      </c>
      <c r="P21" s="48">
        <v>1.7061999999999999</v>
      </c>
      <c r="Q21" s="48">
        <v>30.8672</v>
      </c>
      <c r="R21" s="48">
        <v>10.895899999999999</v>
      </c>
      <c r="S21" s="48">
        <v>297.9581</v>
      </c>
      <c r="T21" s="48">
        <v>12.7118</v>
      </c>
      <c r="U21" s="48">
        <v>1421.4577999999999</v>
      </c>
      <c r="V21" s="48">
        <v>73.026899999999998</v>
      </c>
      <c r="W21" s="48">
        <v>27.6129</v>
      </c>
      <c r="X21" s="48">
        <v>2169.1107000000002</v>
      </c>
      <c r="Y21" s="48"/>
      <c r="Z21" s="48">
        <v>10383.1994</v>
      </c>
      <c r="AA21" s="48">
        <v>7847.1927999999998</v>
      </c>
      <c r="AB21" s="48">
        <v>87.609300000000005</v>
      </c>
      <c r="AC21" s="48">
        <v>0</v>
      </c>
      <c r="AD21" s="48">
        <v>2609.8323999999998</v>
      </c>
      <c r="AE21" s="48">
        <v>20927.833900000001</v>
      </c>
      <c r="AF21" s="48">
        <v>23096.944500000001</v>
      </c>
      <c r="AH21" s="48">
        <v>22023.833500000001</v>
      </c>
      <c r="AI21" s="49">
        <f t="shared" si="0"/>
        <v>-1095.9995999999992</v>
      </c>
      <c r="AK21" s="50">
        <f t="shared" si="1"/>
        <v>12993.031799999999</v>
      </c>
      <c r="AL21" s="46">
        <f t="shared" si="2"/>
        <v>0.62084933692062594</v>
      </c>
    </row>
    <row r="22" spans="1:38" x14ac:dyDescent="0.15">
      <c r="A22" s="4">
        <v>19</v>
      </c>
      <c r="B22" s="11" t="s">
        <v>55</v>
      </c>
      <c r="C22" s="11" t="s">
        <v>55</v>
      </c>
      <c r="D22" s="11">
        <v>0.16289999999999999</v>
      </c>
      <c r="E22" s="11">
        <v>2.9765999999999999</v>
      </c>
      <c r="F22" s="11">
        <v>31.224</v>
      </c>
      <c r="G22" s="11">
        <v>40.729300000000002</v>
      </c>
      <c r="H22" s="11">
        <v>69.090500000000006</v>
      </c>
      <c r="I22" s="11">
        <v>34.852200000000003</v>
      </c>
      <c r="J22" s="11">
        <v>58.2943</v>
      </c>
      <c r="K22" s="11">
        <v>10.058199999999999</v>
      </c>
      <c r="L22" s="11">
        <v>17.0167</v>
      </c>
      <c r="M22" s="11">
        <v>132.43870000000001</v>
      </c>
      <c r="N22" s="11">
        <v>153.7276</v>
      </c>
      <c r="O22" s="11">
        <v>25.849</v>
      </c>
      <c r="P22" s="11">
        <v>0.6139</v>
      </c>
      <c r="Q22" s="11">
        <v>81.543199999999999</v>
      </c>
      <c r="R22" s="11">
        <v>47.850200000000001</v>
      </c>
      <c r="S22" s="11">
        <v>39.055900000000001</v>
      </c>
      <c r="T22" s="11">
        <v>108.593</v>
      </c>
      <c r="U22" s="11">
        <v>26.380400000000002</v>
      </c>
      <c r="V22" s="11">
        <v>431.7165</v>
      </c>
      <c r="W22" s="11">
        <v>27.924900000000001</v>
      </c>
      <c r="X22" s="11">
        <v>1340.0980999999999</v>
      </c>
      <c r="Y22" s="11"/>
      <c r="Z22" s="11">
        <v>2041.1493</v>
      </c>
      <c r="AA22" s="11">
        <v>1105.8552999999999</v>
      </c>
      <c r="AB22" s="11">
        <v>61.569400000000002</v>
      </c>
      <c r="AC22" s="11">
        <v>0</v>
      </c>
      <c r="AD22" s="11">
        <v>5428.6547</v>
      </c>
      <c r="AE22" s="11">
        <v>8637.2286999999997</v>
      </c>
      <c r="AF22" s="11">
        <v>9977.3274999999994</v>
      </c>
      <c r="AH22" s="11">
        <v>5183.9886999999999</v>
      </c>
      <c r="AI22" s="5">
        <f t="shared" si="0"/>
        <v>3453.24</v>
      </c>
      <c r="AK22" s="45">
        <f t="shared" si="1"/>
        <v>7469.8040000000001</v>
      </c>
      <c r="AL22">
        <f t="shared" si="2"/>
        <v>0.86483804695364852</v>
      </c>
    </row>
    <row r="23" spans="1:38" x14ac:dyDescent="0.15">
      <c r="A23" s="6">
        <v>20</v>
      </c>
      <c r="B23" s="12" t="s">
        <v>63</v>
      </c>
      <c r="C23" s="12" t="s">
        <v>56</v>
      </c>
      <c r="D23" s="12">
        <v>0.79349999999999998</v>
      </c>
      <c r="E23" s="12">
        <v>30.025700000000001</v>
      </c>
      <c r="F23" s="12">
        <v>130.0949</v>
      </c>
      <c r="G23" s="12">
        <v>95.406300000000002</v>
      </c>
      <c r="H23" s="12">
        <v>171.54929999999999</v>
      </c>
      <c r="I23" s="12">
        <v>96.075299999999999</v>
      </c>
      <c r="J23" s="12">
        <v>411.60180000000003</v>
      </c>
      <c r="K23" s="12">
        <v>52.497100000000003</v>
      </c>
      <c r="L23" s="12">
        <v>27.336400000000001</v>
      </c>
      <c r="M23" s="12">
        <v>225.00880000000001</v>
      </c>
      <c r="N23" s="12">
        <v>252.3049</v>
      </c>
      <c r="O23" s="12">
        <v>51.964300000000001</v>
      </c>
      <c r="P23" s="12">
        <v>79.886099999999999</v>
      </c>
      <c r="Q23" s="12">
        <v>127.39230000000001</v>
      </c>
      <c r="R23" s="12">
        <v>85.184299999999993</v>
      </c>
      <c r="S23" s="12">
        <v>361.24340000000001</v>
      </c>
      <c r="T23" s="12">
        <v>102.9042</v>
      </c>
      <c r="U23" s="12">
        <v>107.40219999999999</v>
      </c>
      <c r="V23" s="12">
        <v>139.9418</v>
      </c>
      <c r="W23" s="12">
        <v>74.075599999999994</v>
      </c>
      <c r="X23" s="12">
        <v>2622.6884</v>
      </c>
      <c r="Y23" s="12"/>
      <c r="Z23" s="12">
        <v>5758.3581999999997</v>
      </c>
      <c r="AA23" s="12">
        <v>59.668799999999997</v>
      </c>
      <c r="AB23" s="12">
        <v>70.417199999999994</v>
      </c>
      <c r="AC23" s="12">
        <v>0</v>
      </c>
      <c r="AD23" s="12">
        <v>1098.3795</v>
      </c>
      <c r="AE23" s="12">
        <v>6986.8235999999997</v>
      </c>
      <c r="AF23" s="12">
        <v>9609.5116999999991</v>
      </c>
      <c r="AH23" s="12">
        <v>6468.8833000000004</v>
      </c>
      <c r="AI23" s="5">
        <f t="shared" si="0"/>
        <v>517.9402999999993</v>
      </c>
      <c r="AK23" s="45">
        <f t="shared" si="1"/>
        <v>6856.7376999999997</v>
      </c>
      <c r="AL23">
        <f t="shared" si="2"/>
        <v>0.98138125313482938</v>
      </c>
    </row>
    <row r="24" spans="1:38" x14ac:dyDescent="0.15">
      <c r="A24" s="8" t="s">
        <v>29</v>
      </c>
      <c r="B24" s="14"/>
      <c r="C24" s="14" t="s">
        <v>30</v>
      </c>
      <c r="D24" s="14">
        <v>168.04949999999999</v>
      </c>
      <c r="E24" s="14">
        <v>6495.3010000000004</v>
      </c>
      <c r="F24" s="14">
        <v>92893.802100000001</v>
      </c>
      <c r="G24" s="14">
        <v>34473.765299999999</v>
      </c>
      <c r="H24" s="14">
        <v>54987.107000000004</v>
      </c>
      <c r="I24" s="14">
        <v>7906.8149999999996</v>
      </c>
      <c r="J24" s="14">
        <v>69107.681500000006</v>
      </c>
      <c r="K24" s="14">
        <v>2517.5987</v>
      </c>
      <c r="L24" s="14">
        <v>5994.8145000000004</v>
      </c>
      <c r="M24" s="14">
        <v>37378.818299999999</v>
      </c>
      <c r="N24" s="14">
        <v>42738.579599999997</v>
      </c>
      <c r="O24" s="14">
        <v>14927.7896</v>
      </c>
      <c r="P24" s="14">
        <v>3930.902</v>
      </c>
      <c r="Q24" s="14">
        <v>16495.2961</v>
      </c>
      <c r="R24" s="14">
        <v>6998.9696999999996</v>
      </c>
      <c r="S24" s="14">
        <v>16924.699100000002</v>
      </c>
      <c r="T24" s="14">
        <v>3671.6365999999998</v>
      </c>
      <c r="U24" s="14">
        <v>6978.3517000000002</v>
      </c>
      <c r="V24" s="14">
        <v>3139.5581000000002</v>
      </c>
      <c r="W24" s="14">
        <v>1940.8648000000001</v>
      </c>
      <c r="X24" s="14">
        <v>429670.40110000002</v>
      </c>
      <c r="Y24" s="14"/>
      <c r="Z24" s="14">
        <v>116958.2729</v>
      </c>
      <c r="AA24" s="14">
        <v>52648.889000000003</v>
      </c>
      <c r="AB24" s="14">
        <v>70136.995899999994</v>
      </c>
      <c r="AC24" s="14">
        <v>1761.9618</v>
      </c>
      <c r="AD24" s="14">
        <v>664348.95050000004</v>
      </c>
      <c r="AE24" s="14">
        <v>905855.07010000001</v>
      </c>
      <c r="AF24" s="14">
        <v>1335525.4713000001</v>
      </c>
      <c r="AH24" s="5"/>
      <c r="AI24" s="5"/>
      <c r="AK24" s="45">
        <f t="shared" si="1"/>
        <v>781307.22340000002</v>
      </c>
      <c r="AL24">
        <f t="shared" si="2"/>
        <v>0.86250797637391285</v>
      </c>
    </row>
    <row r="25" spans="1:38" x14ac:dyDescent="0.15">
      <c r="A25" s="4">
        <v>21</v>
      </c>
      <c r="B25" s="11"/>
      <c r="C25" s="11" t="s">
        <v>31</v>
      </c>
      <c r="D25" s="11">
        <v>86.827299999999994</v>
      </c>
      <c r="E25" s="11">
        <v>5343.4201999999996</v>
      </c>
      <c r="F25" s="11">
        <v>165120.70929999999</v>
      </c>
      <c r="G25" s="11">
        <v>10003.008</v>
      </c>
      <c r="H25" s="11">
        <v>59580.845200000003</v>
      </c>
      <c r="I25" s="11">
        <v>627.51909999999998</v>
      </c>
      <c r="J25" s="11">
        <v>70648.137300000002</v>
      </c>
      <c r="K25" s="11">
        <v>825.61860000000001</v>
      </c>
      <c r="L25" s="11">
        <v>3489.2231000000002</v>
      </c>
      <c r="M25" s="11">
        <v>42107.4018</v>
      </c>
      <c r="N25" s="11">
        <v>25510.167700000002</v>
      </c>
      <c r="O25" s="11">
        <v>493.63319999999999</v>
      </c>
      <c r="P25" s="11">
        <v>0</v>
      </c>
      <c r="Q25" s="11">
        <v>15529.9074</v>
      </c>
      <c r="R25" s="11">
        <v>3110.9041999999999</v>
      </c>
      <c r="S25" s="11">
        <v>7314.8157000000001</v>
      </c>
      <c r="T25" s="11">
        <v>1346.5244</v>
      </c>
      <c r="U25" s="11">
        <v>2785.8874000000001</v>
      </c>
      <c r="V25" s="11">
        <v>641.51080000000002</v>
      </c>
      <c r="W25" s="11">
        <v>949.89869999999996</v>
      </c>
      <c r="X25" s="11">
        <v>415515.9546</v>
      </c>
      <c r="Y25" s="11"/>
      <c r="Z25" s="11">
        <v>47588.063199999997</v>
      </c>
      <c r="AA25" s="11">
        <v>0</v>
      </c>
      <c r="AB25" s="11">
        <v>42944.230199999998</v>
      </c>
      <c r="AC25" s="11">
        <v>7311.3612000000003</v>
      </c>
      <c r="AD25" s="11">
        <v>245965.19099999999</v>
      </c>
      <c r="AE25" s="11">
        <v>343808.8456</v>
      </c>
      <c r="AF25" s="11">
        <v>759324.80020000006</v>
      </c>
      <c r="AH25" s="5"/>
    </row>
    <row r="26" spans="1:38" x14ac:dyDescent="0.15">
      <c r="A26" s="6">
        <v>22</v>
      </c>
      <c r="B26" s="12"/>
      <c r="C26" s="12" t="s">
        <v>32</v>
      </c>
      <c r="D26" s="12">
        <v>1.1825000000000001</v>
      </c>
      <c r="E26" s="12">
        <v>33.1967</v>
      </c>
      <c r="F26" s="12">
        <v>114.65389999999999</v>
      </c>
      <c r="G26" s="12">
        <v>22.1007</v>
      </c>
      <c r="H26" s="12">
        <v>79.195400000000006</v>
      </c>
      <c r="I26" s="12">
        <v>13.550800000000001</v>
      </c>
      <c r="J26" s="12">
        <v>418.4051</v>
      </c>
      <c r="K26" s="12">
        <v>19.125599999999999</v>
      </c>
      <c r="L26" s="12">
        <v>327.64800000000002</v>
      </c>
      <c r="M26" s="12">
        <v>157.99289999999999</v>
      </c>
      <c r="N26" s="12">
        <v>337.65699999999998</v>
      </c>
      <c r="O26" s="12">
        <v>189.8057</v>
      </c>
      <c r="P26" s="12">
        <v>0</v>
      </c>
      <c r="Q26" s="12">
        <v>73.131299999999996</v>
      </c>
      <c r="R26" s="12">
        <v>27.425999999999998</v>
      </c>
      <c r="S26" s="12">
        <v>115.1831</v>
      </c>
      <c r="T26" s="12">
        <v>50.361600000000003</v>
      </c>
      <c r="U26" s="12">
        <v>180.9264</v>
      </c>
      <c r="V26" s="12">
        <v>43.331400000000002</v>
      </c>
      <c r="W26" s="12">
        <v>11.764900000000001</v>
      </c>
      <c r="X26" s="12">
        <v>2216.6392999999998</v>
      </c>
      <c r="Y26" s="12"/>
      <c r="Z26" s="12">
        <v>18340.383600000001</v>
      </c>
      <c r="AA26" s="12">
        <v>0</v>
      </c>
      <c r="AB26" s="12">
        <v>5386.4540999999999</v>
      </c>
      <c r="AC26" s="12">
        <v>0</v>
      </c>
      <c r="AD26" s="12">
        <v>0</v>
      </c>
      <c r="AE26" s="12">
        <v>23726.8377</v>
      </c>
      <c r="AF26" s="12">
        <v>25943.476999999999</v>
      </c>
      <c r="AH26" s="5"/>
    </row>
    <row r="27" spans="1:38" x14ac:dyDescent="0.15">
      <c r="A27" s="8" t="s">
        <v>33</v>
      </c>
      <c r="B27" s="14"/>
      <c r="C27" s="14" t="s">
        <v>34</v>
      </c>
      <c r="D27" s="14">
        <v>256.05889999999999</v>
      </c>
      <c r="E27" s="14">
        <v>11871.9177</v>
      </c>
      <c r="F27" s="14">
        <v>258129.16500000001</v>
      </c>
      <c r="G27" s="14">
        <v>44498.873699999996</v>
      </c>
      <c r="H27" s="14">
        <v>114647.1474</v>
      </c>
      <c r="I27" s="14">
        <v>8547.8850999999995</v>
      </c>
      <c r="J27" s="14">
        <v>140174.22409999999</v>
      </c>
      <c r="K27" s="14">
        <v>3362.3427999999999</v>
      </c>
      <c r="L27" s="14">
        <v>9811.6856000000007</v>
      </c>
      <c r="M27" s="14">
        <v>79644.213000000003</v>
      </c>
      <c r="N27" s="14">
        <v>68586.403399999996</v>
      </c>
      <c r="O27" s="14">
        <v>15611.2287</v>
      </c>
      <c r="P27" s="14">
        <v>3930.902</v>
      </c>
      <c r="Q27" s="14">
        <v>32098.3344</v>
      </c>
      <c r="R27" s="14">
        <v>10137.2999</v>
      </c>
      <c r="S27" s="14">
        <v>24354.6986</v>
      </c>
      <c r="T27" s="14">
        <v>5068.5218000000004</v>
      </c>
      <c r="U27" s="14">
        <v>9945.1659999999993</v>
      </c>
      <c r="V27" s="14">
        <v>3824.3998999999999</v>
      </c>
      <c r="W27" s="14">
        <v>2902.5284999999999</v>
      </c>
      <c r="X27" s="14">
        <v>847402.99509999994</v>
      </c>
      <c r="Y27" s="14"/>
      <c r="Z27" s="14">
        <v>182886.71969999999</v>
      </c>
      <c r="AA27" s="14">
        <v>52648.889000000003</v>
      </c>
      <c r="AB27" s="14">
        <v>118467.6802</v>
      </c>
      <c r="AC27" s="14">
        <v>9073.3230000000003</v>
      </c>
      <c r="AD27" s="14">
        <v>910314.14150000003</v>
      </c>
      <c r="AE27" s="14">
        <v>1273390.7534</v>
      </c>
      <c r="AF27" s="14">
        <v>2120793.7485000002</v>
      </c>
      <c r="AH27" s="5"/>
    </row>
    <row r="28" spans="1:38" x14ac:dyDescent="0.15">
      <c r="A28" s="4">
        <v>23</v>
      </c>
      <c r="B28" s="11"/>
      <c r="C28" s="11" t="s">
        <v>35</v>
      </c>
      <c r="D28" s="11">
        <v>76.6999</v>
      </c>
      <c r="E28" s="11">
        <v>1586.9296999999999</v>
      </c>
      <c r="F28" s="11">
        <v>26493.852500000001</v>
      </c>
      <c r="G28" s="11">
        <v>12061.339099999999</v>
      </c>
      <c r="H28" s="11">
        <v>24486.8446</v>
      </c>
      <c r="I28" s="11">
        <v>4861.57</v>
      </c>
      <c r="J28" s="11">
        <v>13830.329</v>
      </c>
      <c r="K28" s="11">
        <v>1895.5612000000001</v>
      </c>
      <c r="L28" s="11">
        <v>3742.8287</v>
      </c>
      <c r="M28" s="11">
        <v>13514.7958</v>
      </c>
      <c r="N28" s="11">
        <v>27506.143599999999</v>
      </c>
      <c r="O28" s="11">
        <v>3236.3737999999998</v>
      </c>
      <c r="P28" s="11">
        <v>0</v>
      </c>
      <c r="Q28" s="11">
        <v>20303.107499999998</v>
      </c>
      <c r="R28" s="11">
        <v>8034.7290000000003</v>
      </c>
      <c r="S28" s="11">
        <v>12583.740299999999</v>
      </c>
      <c r="T28" s="11">
        <v>11739.1584</v>
      </c>
      <c r="U28" s="11">
        <v>10754.511399999999</v>
      </c>
      <c r="V28" s="11">
        <v>2331.3116</v>
      </c>
      <c r="W28" s="11">
        <v>5229.0092000000004</v>
      </c>
      <c r="X28" s="11">
        <v>204268.83590000001</v>
      </c>
      <c r="Y28" s="11"/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204268.83590000001</v>
      </c>
      <c r="AH28" s="5"/>
    </row>
    <row r="29" spans="1:38" x14ac:dyDescent="0.15">
      <c r="A29" s="4">
        <v>24</v>
      </c>
      <c r="B29" s="11"/>
      <c r="C29" s="11" t="s">
        <v>36</v>
      </c>
      <c r="D29" s="11">
        <v>10.9</v>
      </c>
      <c r="E29" s="11">
        <v>285.2</v>
      </c>
      <c r="F29" s="11">
        <v>1165.9002</v>
      </c>
      <c r="G29" s="11">
        <v>2000.4</v>
      </c>
      <c r="H29" s="11">
        <v>380.8</v>
      </c>
      <c r="I29" s="11">
        <v>208</v>
      </c>
      <c r="J29" s="11">
        <v>712.49980000000005</v>
      </c>
      <c r="K29" s="11">
        <v>222.3</v>
      </c>
      <c r="L29" s="11">
        <v>233.5</v>
      </c>
      <c r="M29" s="11">
        <v>273.39999999999998</v>
      </c>
      <c r="N29" s="11">
        <v>120.1001</v>
      </c>
      <c r="O29" s="11">
        <v>1719.7</v>
      </c>
      <c r="P29" s="11">
        <v>940</v>
      </c>
      <c r="Q29" s="11">
        <v>230.90010000000001</v>
      </c>
      <c r="R29" s="11">
        <v>262.80020000000002</v>
      </c>
      <c r="S29" s="11">
        <v>35.8904</v>
      </c>
      <c r="T29" s="11">
        <v>-47.746200000000002</v>
      </c>
      <c r="U29" s="11">
        <v>88.507599999999996</v>
      </c>
      <c r="V29" s="11">
        <v>299.24520000000001</v>
      </c>
      <c r="W29" s="11">
        <v>503.10289999999998</v>
      </c>
      <c r="X29" s="11">
        <v>9645.4</v>
      </c>
      <c r="Y29" s="11"/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9645.4</v>
      </c>
      <c r="AH29" s="5"/>
    </row>
    <row r="30" spans="1:38" x14ac:dyDescent="0.15">
      <c r="A30" s="6">
        <v>25</v>
      </c>
      <c r="B30" s="12"/>
      <c r="C30" s="12" t="s">
        <v>37</v>
      </c>
      <c r="D30" s="12">
        <v>77.799899999999994</v>
      </c>
      <c r="E30" s="12">
        <v>4012.6567</v>
      </c>
      <c r="F30" s="12">
        <v>72311.945300000007</v>
      </c>
      <c r="G30" s="12">
        <v>3902.5947000000001</v>
      </c>
      <c r="H30" s="12">
        <v>59011.884599999998</v>
      </c>
      <c r="I30" s="12">
        <v>2524.4562999999998</v>
      </c>
      <c r="J30" s="12">
        <v>17168.762200000001</v>
      </c>
      <c r="K30" s="12">
        <v>2137.6574000000001</v>
      </c>
      <c r="L30" s="12">
        <v>1755.5192999999999</v>
      </c>
      <c r="M30" s="12">
        <v>8862.0758000000005</v>
      </c>
      <c r="N30" s="12">
        <v>40550.357100000001</v>
      </c>
      <c r="O30" s="12">
        <v>11813.8565</v>
      </c>
      <c r="P30" s="12">
        <v>17512.998</v>
      </c>
      <c r="Q30" s="12">
        <v>8988.0388000000003</v>
      </c>
      <c r="R30" s="12">
        <v>13441.3169</v>
      </c>
      <c r="S30" s="12">
        <v>385.96969999999999</v>
      </c>
      <c r="T30" s="12">
        <v>2944.3492999999999</v>
      </c>
      <c r="U30" s="12">
        <v>2308.7597999999998</v>
      </c>
      <c r="V30" s="12">
        <v>3522.3706000000002</v>
      </c>
      <c r="W30" s="12">
        <v>974.87120000000004</v>
      </c>
      <c r="X30" s="12">
        <v>274208.2403</v>
      </c>
      <c r="Y30" s="12"/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274208.2403</v>
      </c>
      <c r="AH30" s="5"/>
    </row>
    <row r="31" spans="1:38" x14ac:dyDescent="0.15">
      <c r="A31" s="8" t="s">
        <v>38</v>
      </c>
      <c r="B31" s="14"/>
      <c r="C31" s="14" t="s">
        <v>39</v>
      </c>
      <c r="D31" s="14">
        <v>165.3998</v>
      </c>
      <c r="E31" s="14">
        <v>5884.7864</v>
      </c>
      <c r="F31" s="14">
        <v>99971.698000000004</v>
      </c>
      <c r="G31" s="14">
        <v>17964.3338</v>
      </c>
      <c r="H31" s="14">
        <v>83879.529200000004</v>
      </c>
      <c r="I31" s="14">
        <v>7594.0263000000004</v>
      </c>
      <c r="J31" s="14">
        <v>31711.591</v>
      </c>
      <c r="K31" s="14">
        <v>4255.5186000000003</v>
      </c>
      <c r="L31" s="14">
        <v>5731.848</v>
      </c>
      <c r="M31" s="14">
        <v>22650.2716</v>
      </c>
      <c r="N31" s="14">
        <v>68176.6008</v>
      </c>
      <c r="O31" s="14">
        <v>16769.9303</v>
      </c>
      <c r="P31" s="14">
        <v>18452.998</v>
      </c>
      <c r="Q31" s="14">
        <v>29522.046399999999</v>
      </c>
      <c r="R31" s="14">
        <v>21738.846099999999</v>
      </c>
      <c r="S31" s="14">
        <v>13005.600399999999</v>
      </c>
      <c r="T31" s="14">
        <v>14635.761500000001</v>
      </c>
      <c r="U31" s="14">
        <v>13151.7788</v>
      </c>
      <c r="V31" s="14">
        <v>6152.9273999999996</v>
      </c>
      <c r="W31" s="14">
        <v>6706.9832999999999</v>
      </c>
      <c r="X31" s="14">
        <v>488122.47619999998</v>
      </c>
      <c r="Y31" s="14"/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488122.47619999998</v>
      </c>
      <c r="AH31" s="5"/>
    </row>
    <row r="32" spans="1:38" ht="13" thickBot="1" x14ac:dyDescent="0.2">
      <c r="A32" s="9" t="s">
        <v>40</v>
      </c>
      <c r="B32" s="15"/>
      <c r="C32" s="15" t="s">
        <v>41</v>
      </c>
      <c r="D32" s="15">
        <v>421.4588</v>
      </c>
      <c r="E32" s="15">
        <v>17756.704300000001</v>
      </c>
      <c r="F32" s="15">
        <v>358100.85969999997</v>
      </c>
      <c r="G32" s="15">
        <v>62463.207999999999</v>
      </c>
      <c r="H32" s="15">
        <v>198526.67629999999</v>
      </c>
      <c r="I32" s="15">
        <v>16141.9113</v>
      </c>
      <c r="J32" s="15">
        <v>171885.81539999999</v>
      </c>
      <c r="K32" s="15">
        <v>7617.8613999999998</v>
      </c>
      <c r="L32" s="15">
        <v>15543.533600000001</v>
      </c>
      <c r="M32" s="15">
        <v>102294.4857</v>
      </c>
      <c r="N32" s="15">
        <v>136763.0037</v>
      </c>
      <c r="O32" s="15">
        <v>32381.1594</v>
      </c>
      <c r="P32" s="15">
        <v>22383.9</v>
      </c>
      <c r="Q32" s="15">
        <v>61620.38</v>
      </c>
      <c r="R32" s="15">
        <v>31876.146400000001</v>
      </c>
      <c r="S32" s="15">
        <v>37360.299099999997</v>
      </c>
      <c r="T32" s="15">
        <v>19704.2834</v>
      </c>
      <c r="U32" s="15">
        <v>23096.944500000001</v>
      </c>
      <c r="V32" s="15">
        <v>9977.3274999999994</v>
      </c>
      <c r="W32" s="15">
        <v>9609.5116999999991</v>
      </c>
      <c r="X32" s="15">
        <v>1335525.4713000001</v>
      </c>
      <c r="Y32" s="15"/>
      <c r="Z32" s="15">
        <v>182886.71969999999</v>
      </c>
      <c r="AA32" s="15">
        <v>52648.889000000003</v>
      </c>
      <c r="AB32" s="15">
        <v>118467.6802</v>
      </c>
      <c r="AC32" s="15">
        <v>9073.3230000000003</v>
      </c>
      <c r="AD32" s="15">
        <v>910314.14150000003</v>
      </c>
      <c r="AE32" s="15">
        <v>1273390.7534</v>
      </c>
      <c r="AF32" s="15">
        <v>2608916.2247000001</v>
      </c>
      <c r="AH3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851E-1B95-AD4C-A72E-2BD0BEBA3B49}">
  <dimension ref="A1:AI32"/>
  <sheetViews>
    <sheetView workbookViewId="0">
      <selection activeCell="C5" sqref="C5"/>
    </sheetView>
  </sheetViews>
  <sheetFormatPr baseColWidth="10" defaultColWidth="10.59765625" defaultRowHeight="12" x14ac:dyDescent="0.15"/>
  <cols>
    <col min="1" max="1" width="5.796875" customWidth="1"/>
    <col min="2" max="2" width="31.796875" customWidth="1"/>
    <col min="3" max="3" width="28.796875" bestFit="1" customWidth="1"/>
    <col min="4" max="4" width="18.796875" customWidth="1"/>
    <col min="5" max="32" width="15.3984375" customWidth="1"/>
  </cols>
  <sheetData>
    <row r="1" spans="1:35" x14ac:dyDescent="0.15">
      <c r="A1" s="4"/>
      <c r="B1" s="4"/>
      <c r="C1" s="4"/>
      <c r="D1" s="17">
        <v>1</v>
      </c>
      <c r="E1" s="17">
        <v>3</v>
      </c>
      <c r="F1" s="17">
        <v>2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 t="s">
        <v>26</v>
      </c>
      <c r="Y1" s="17"/>
      <c r="Z1" s="17">
        <v>21</v>
      </c>
      <c r="AA1" s="17">
        <v>22</v>
      </c>
      <c r="AB1" s="17">
        <v>23</v>
      </c>
      <c r="AC1" s="17">
        <v>24</v>
      </c>
      <c r="AD1" s="17">
        <v>25</v>
      </c>
      <c r="AE1" s="17" t="s">
        <v>27</v>
      </c>
      <c r="AF1" s="17" t="s">
        <v>28</v>
      </c>
    </row>
    <row r="2" spans="1:35" s="3" customFormat="1" ht="48" x14ac:dyDescent="0.15">
      <c r="A2" s="16"/>
      <c r="B2" s="16"/>
      <c r="C2" s="16"/>
      <c r="D2" s="21" t="s">
        <v>0</v>
      </c>
      <c r="E2" s="21" t="s">
        <v>0</v>
      </c>
      <c r="F2" s="21" t="s">
        <v>1</v>
      </c>
      <c r="G2" s="21" t="s">
        <v>2</v>
      </c>
      <c r="H2" s="21" t="s">
        <v>58</v>
      </c>
      <c r="I2" s="21" t="s">
        <v>58</v>
      </c>
      <c r="J2" s="21" t="s">
        <v>46</v>
      </c>
      <c r="K2" s="21" t="s">
        <v>59</v>
      </c>
      <c r="L2" s="21" t="s">
        <v>59</v>
      </c>
      <c r="M2" s="21" t="s">
        <v>48</v>
      </c>
      <c r="N2" s="21" t="s">
        <v>60</v>
      </c>
      <c r="O2" s="21" t="s">
        <v>61</v>
      </c>
      <c r="P2" s="21" t="s">
        <v>61</v>
      </c>
      <c r="Q2" s="21" t="s">
        <v>51</v>
      </c>
      <c r="R2" s="21" t="s">
        <v>52</v>
      </c>
      <c r="S2" s="21" t="s">
        <v>62</v>
      </c>
      <c r="T2" s="21" t="s">
        <v>62</v>
      </c>
      <c r="U2" s="21" t="s">
        <v>54</v>
      </c>
      <c r="V2" s="21" t="s">
        <v>55</v>
      </c>
      <c r="W2" s="21" t="s">
        <v>63</v>
      </c>
      <c r="X2" s="18"/>
      <c r="Y2" s="18"/>
      <c r="Z2" s="18"/>
      <c r="AA2" s="18"/>
      <c r="AB2" s="18"/>
      <c r="AC2" s="18"/>
      <c r="AD2" s="18"/>
      <c r="AE2" s="18"/>
      <c r="AF2" s="18"/>
    </row>
    <row r="3" spans="1:35" s="10" customFormat="1" ht="48" x14ac:dyDescent="0.15">
      <c r="A3" s="17"/>
      <c r="B3" s="18"/>
      <c r="C3" s="18"/>
      <c r="D3" s="22" t="s">
        <v>42</v>
      </c>
      <c r="E3" s="22" t="s">
        <v>43</v>
      </c>
      <c r="F3" s="22" t="s">
        <v>1</v>
      </c>
      <c r="G3" s="22" t="s">
        <v>2</v>
      </c>
      <c r="H3" s="22" t="s">
        <v>44</v>
      </c>
      <c r="I3" s="22" t="s">
        <v>45</v>
      </c>
      <c r="J3" s="22" t="s">
        <v>46</v>
      </c>
      <c r="K3" s="22" t="s">
        <v>15</v>
      </c>
      <c r="L3" s="22" t="s">
        <v>47</v>
      </c>
      <c r="M3" s="22" t="s">
        <v>48</v>
      </c>
      <c r="N3" s="22" t="s">
        <v>49</v>
      </c>
      <c r="O3" s="22" t="s">
        <v>16</v>
      </c>
      <c r="P3" s="22" t="s">
        <v>50</v>
      </c>
      <c r="Q3" s="22" t="s">
        <v>51</v>
      </c>
      <c r="R3" s="22" t="s">
        <v>52</v>
      </c>
      <c r="S3" s="22" t="s">
        <v>53</v>
      </c>
      <c r="T3" s="22" t="s">
        <v>17</v>
      </c>
      <c r="U3" s="22" t="s">
        <v>54</v>
      </c>
      <c r="V3" s="22" t="s">
        <v>55</v>
      </c>
      <c r="W3" s="22" t="s">
        <v>56</v>
      </c>
      <c r="X3" s="18" t="s">
        <v>57</v>
      </c>
      <c r="Y3" s="18" t="s">
        <v>18</v>
      </c>
      <c r="Z3" s="18" t="s">
        <v>19</v>
      </c>
      <c r="AA3" s="18" t="s">
        <v>20</v>
      </c>
      <c r="AB3" s="18" t="s">
        <v>21</v>
      </c>
      <c r="AC3" s="18" t="s">
        <v>22</v>
      </c>
      <c r="AD3" s="18" t="s">
        <v>23</v>
      </c>
      <c r="AE3" s="18" t="s">
        <v>24</v>
      </c>
      <c r="AF3" s="18" t="s">
        <v>25</v>
      </c>
    </row>
    <row r="4" spans="1:35" x14ac:dyDescent="0.15">
      <c r="A4" s="4">
        <v>1</v>
      </c>
      <c r="B4" s="11" t="s">
        <v>0</v>
      </c>
      <c r="C4" s="11" t="s">
        <v>42</v>
      </c>
      <c r="D4" s="34">
        <v>97.684399999999997</v>
      </c>
      <c r="E4" s="34">
        <v>87.221000000000004</v>
      </c>
      <c r="F4" s="34">
        <v>21.618200000000002</v>
      </c>
      <c r="G4" s="34">
        <v>5.1901000000000002</v>
      </c>
      <c r="H4" s="34">
        <v>2.6777000000000002</v>
      </c>
      <c r="I4" s="34">
        <v>0.38529999999999998</v>
      </c>
      <c r="J4" s="34">
        <v>5.0027999999999997</v>
      </c>
      <c r="K4" s="34">
        <v>9.4909999999999997</v>
      </c>
      <c r="L4" s="34">
        <v>78.923599999999993</v>
      </c>
      <c r="M4" s="34">
        <v>2.3321999999999998</v>
      </c>
      <c r="N4" s="34">
        <v>1.0947</v>
      </c>
      <c r="O4" s="34">
        <v>0.68110000000000004</v>
      </c>
      <c r="P4" s="34">
        <v>7.4499999999999997E-2</v>
      </c>
      <c r="Q4" s="34">
        <v>0.8004</v>
      </c>
      <c r="R4" s="34">
        <v>4.3105000000000002</v>
      </c>
      <c r="S4" s="34">
        <v>2.0623</v>
      </c>
      <c r="T4" s="34">
        <v>0.28050000000000003</v>
      </c>
      <c r="U4" s="34">
        <v>0.99419999999999997</v>
      </c>
      <c r="V4" s="34">
        <v>0.75519999999999998</v>
      </c>
      <c r="W4" s="34">
        <v>1.5081</v>
      </c>
      <c r="X4" s="34">
        <v>323.08789999999999</v>
      </c>
      <c r="Y4" s="34"/>
      <c r="Z4" s="34">
        <v>177.43360000000001</v>
      </c>
      <c r="AA4" s="34">
        <v>7.2700000000000001E-2</v>
      </c>
      <c r="AB4" s="34">
        <v>2.5781000000000001</v>
      </c>
      <c r="AC4" s="34">
        <v>-0.58679999999999999</v>
      </c>
      <c r="AD4" s="34">
        <v>282.90190000000001</v>
      </c>
      <c r="AE4" s="34">
        <v>462.39940000000001</v>
      </c>
      <c r="AF4" s="34">
        <v>785.48749999999995</v>
      </c>
      <c r="AH4" s="5"/>
      <c r="AI4" s="5"/>
    </row>
    <row r="5" spans="1:35" x14ac:dyDescent="0.15">
      <c r="A5" s="4">
        <v>3</v>
      </c>
      <c r="B5" s="11" t="s">
        <v>0</v>
      </c>
      <c r="C5" s="11" t="s">
        <v>43</v>
      </c>
      <c r="D5" s="34">
        <v>44.540100000000002</v>
      </c>
      <c r="E5" s="34">
        <v>70396.561199999996</v>
      </c>
      <c r="F5" s="34">
        <v>355.5129</v>
      </c>
      <c r="G5" s="34">
        <v>4862.0761000000002</v>
      </c>
      <c r="H5" s="34">
        <v>5328.2007000000003</v>
      </c>
      <c r="I5" s="34">
        <v>395.7432</v>
      </c>
      <c r="J5" s="34">
        <v>12512.856100000001</v>
      </c>
      <c r="K5" s="34">
        <v>212.46270000000001</v>
      </c>
      <c r="L5" s="34">
        <v>1526.1044999999999</v>
      </c>
      <c r="M5" s="34">
        <v>5072.7353000000003</v>
      </c>
      <c r="N5" s="34">
        <v>684.59460000000001</v>
      </c>
      <c r="O5" s="34">
        <v>1466.3710000000001</v>
      </c>
      <c r="P5" s="34">
        <v>30.245100000000001</v>
      </c>
      <c r="Q5" s="34">
        <v>4242.7546000000002</v>
      </c>
      <c r="R5" s="34">
        <v>1395.4328</v>
      </c>
      <c r="S5" s="34">
        <v>2134.9059000000002</v>
      </c>
      <c r="T5" s="34">
        <v>593.36059999999998</v>
      </c>
      <c r="U5" s="34">
        <v>2055.4584</v>
      </c>
      <c r="V5" s="34">
        <v>220.91560000000001</v>
      </c>
      <c r="W5" s="34">
        <v>452.16840000000002</v>
      </c>
      <c r="X5" s="34">
        <v>113982.99980000001</v>
      </c>
      <c r="Y5" s="34"/>
      <c r="Z5" s="34">
        <v>6015.7489999999998</v>
      </c>
      <c r="AA5" s="34">
        <v>818.66859999999997</v>
      </c>
      <c r="AB5" s="34">
        <v>9317.1969000000008</v>
      </c>
      <c r="AC5" s="34">
        <v>-300.71539999999999</v>
      </c>
      <c r="AD5" s="34">
        <v>288127.09720000002</v>
      </c>
      <c r="AE5" s="34">
        <v>303977.9964</v>
      </c>
      <c r="AF5" s="34">
        <v>417960.99829999998</v>
      </c>
      <c r="AH5" s="5"/>
      <c r="AI5" s="5"/>
    </row>
    <row r="6" spans="1:35" x14ac:dyDescent="0.15">
      <c r="A6" s="4">
        <v>2</v>
      </c>
      <c r="B6" s="11" t="s">
        <v>1</v>
      </c>
      <c r="C6" s="11" t="s">
        <v>1</v>
      </c>
      <c r="D6" s="34">
        <v>60.952300000000001</v>
      </c>
      <c r="E6" s="34">
        <v>2868.2782999999999</v>
      </c>
      <c r="F6" s="34">
        <v>3585.4285</v>
      </c>
      <c r="G6" s="34">
        <v>196.3921</v>
      </c>
      <c r="H6" s="34">
        <v>415.05290000000002</v>
      </c>
      <c r="I6" s="34">
        <v>395.61439999999999</v>
      </c>
      <c r="J6" s="34">
        <v>731.73670000000004</v>
      </c>
      <c r="K6" s="34">
        <v>234.12090000000001</v>
      </c>
      <c r="L6" s="34">
        <v>637.30229999999995</v>
      </c>
      <c r="M6" s="34">
        <v>1141.6899000000001</v>
      </c>
      <c r="N6" s="34">
        <v>436.89569999999998</v>
      </c>
      <c r="O6" s="34">
        <v>760.10670000000005</v>
      </c>
      <c r="P6" s="34">
        <v>1.6167</v>
      </c>
      <c r="Q6" s="34">
        <v>328.40170000000001</v>
      </c>
      <c r="R6" s="34">
        <v>68.000600000000006</v>
      </c>
      <c r="S6" s="34">
        <v>1574.8613</v>
      </c>
      <c r="T6" s="34">
        <v>277.73869999999999</v>
      </c>
      <c r="U6" s="34">
        <v>340.77140000000003</v>
      </c>
      <c r="V6" s="34">
        <v>258.19970000000001</v>
      </c>
      <c r="W6" s="34">
        <v>126.1002</v>
      </c>
      <c r="X6" s="34">
        <v>14439.261</v>
      </c>
      <c r="Y6" s="34"/>
      <c r="Z6" s="34">
        <v>2507.1797000000001</v>
      </c>
      <c r="AA6" s="34">
        <v>579.21910000000003</v>
      </c>
      <c r="AB6" s="34">
        <v>56.061300000000003</v>
      </c>
      <c r="AC6" s="34">
        <v>-82.977400000000003</v>
      </c>
      <c r="AD6" s="34">
        <v>985.15099999999995</v>
      </c>
      <c r="AE6" s="34">
        <v>4044.6336999999999</v>
      </c>
      <c r="AF6" s="34">
        <v>18483.894</v>
      </c>
      <c r="AH6" s="5"/>
      <c r="AI6" s="5"/>
    </row>
    <row r="7" spans="1:35" x14ac:dyDescent="0.15">
      <c r="A7" s="4">
        <v>4</v>
      </c>
      <c r="B7" s="11" t="s">
        <v>2</v>
      </c>
      <c r="C7" s="11" t="s">
        <v>2</v>
      </c>
      <c r="D7" s="34">
        <v>1.3787</v>
      </c>
      <c r="E7" s="34">
        <v>395.084</v>
      </c>
      <c r="F7" s="34">
        <v>87.588999999999999</v>
      </c>
      <c r="G7" s="34">
        <v>21823.7585</v>
      </c>
      <c r="H7" s="34">
        <v>159.1063</v>
      </c>
      <c r="I7" s="34">
        <v>33.898600000000002</v>
      </c>
      <c r="J7" s="34">
        <v>267.31830000000002</v>
      </c>
      <c r="K7" s="34">
        <v>70.063800000000001</v>
      </c>
      <c r="L7" s="34">
        <v>39.180700000000002</v>
      </c>
      <c r="M7" s="34">
        <v>101.1271</v>
      </c>
      <c r="N7" s="34">
        <v>97.700900000000004</v>
      </c>
      <c r="O7" s="34">
        <v>760.12310000000002</v>
      </c>
      <c r="P7" s="34">
        <v>1398.4304</v>
      </c>
      <c r="Q7" s="34">
        <v>565.09810000000004</v>
      </c>
      <c r="R7" s="34">
        <v>38.4452</v>
      </c>
      <c r="S7" s="34">
        <v>197.79079999999999</v>
      </c>
      <c r="T7" s="34">
        <v>116.79600000000001</v>
      </c>
      <c r="U7" s="34">
        <v>67.602099999999993</v>
      </c>
      <c r="V7" s="34">
        <v>67.414500000000004</v>
      </c>
      <c r="W7" s="34">
        <v>13.192299999999999</v>
      </c>
      <c r="X7" s="34">
        <v>26301.098300000001</v>
      </c>
      <c r="Y7" s="34"/>
      <c r="Z7" s="34">
        <v>25.358699999999999</v>
      </c>
      <c r="AA7" s="34">
        <v>4.1436000000000002</v>
      </c>
      <c r="AB7" s="34">
        <v>33517.2765</v>
      </c>
      <c r="AC7" s="34">
        <v>0</v>
      </c>
      <c r="AD7" s="34">
        <v>1259.3185000000001</v>
      </c>
      <c r="AE7" s="34">
        <v>34806.097300000001</v>
      </c>
      <c r="AF7" s="34">
        <v>61107.195899999999</v>
      </c>
      <c r="AH7" s="5"/>
      <c r="AI7" s="5"/>
    </row>
    <row r="8" spans="1:35" x14ac:dyDescent="0.15">
      <c r="A8" s="4">
        <v>5</v>
      </c>
      <c r="B8" s="11" t="s">
        <v>58</v>
      </c>
      <c r="C8" s="11" t="s">
        <v>44</v>
      </c>
      <c r="D8" s="34">
        <v>68.870999999999995</v>
      </c>
      <c r="E8" s="34">
        <v>14054.2503</v>
      </c>
      <c r="F8" s="34">
        <v>165.5831</v>
      </c>
      <c r="G8" s="34">
        <v>1990.2075</v>
      </c>
      <c r="H8" s="34">
        <v>4805.4782999999998</v>
      </c>
      <c r="I8" s="34">
        <v>366.73110000000003</v>
      </c>
      <c r="J8" s="34">
        <v>5843.1711999999998</v>
      </c>
      <c r="K8" s="34">
        <v>138.7063</v>
      </c>
      <c r="L8" s="34">
        <v>687.62689999999998</v>
      </c>
      <c r="M8" s="34">
        <v>5665.4859999999999</v>
      </c>
      <c r="N8" s="34">
        <v>1076.0764999999999</v>
      </c>
      <c r="O8" s="34">
        <v>442.08280000000002</v>
      </c>
      <c r="P8" s="34">
        <v>34.6188</v>
      </c>
      <c r="Q8" s="34">
        <v>1120.9423999999999</v>
      </c>
      <c r="R8" s="34">
        <v>467.46929999999998</v>
      </c>
      <c r="S8" s="34">
        <v>1518.6727000000001</v>
      </c>
      <c r="T8" s="34">
        <v>265.44760000000002</v>
      </c>
      <c r="U8" s="34">
        <v>642.99620000000004</v>
      </c>
      <c r="V8" s="34">
        <v>110.6991</v>
      </c>
      <c r="W8" s="34">
        <v>211.27160000000001</v>
      </c>
      <c r="X8" s="34">
        <v>39676.388700000003</v>
      </c>
      <c r="Y8" s="34"/>
      <c r="Z8" s="34">
        <v>7457.1688000000004</v>
      </c>
      <c r="AA8" s="34">
        <v>86.3626</v>
      </c>
      <c r="AB8" s="34">
        <v>5450.2848999999997</v>
      </c>
      <c r="AC8" s="34">
        <v>-0.78149999999999997</v>
      </c>
      <c r="AD8" s="34">
        <v>196888.85329999999</v>
      </c>
      <c r="AE8" s="34">
        <v>209881.88810000001</v>
      </c>
      <c r="AF8" s="34">
        <v>249558.2763</v>
      </c>
      <c r="AH8" s="5"/>
      <c r="AI8" s="5"/>
    </row>
    <row r="9" spans="1:35" x14ac:dyDescent="0.15">
      <c r="A9" s="4">
        <v>6</v>
      </c>
      <c r="B9" s="11" t="s">
        <v>58</v>
      </c>
      <c r="C9" s="11" t="s">
        <v>45</v>
      </c>
      <c r="D9" s="34">
        <v>0.2515</v>
      </c>
      <c r="E9" s="34">
        <v>70.441599999999994</v>
      </c>
      <c r="F9" s="34">
        <v>4.5976999999999997</v>
      </c>
      <c r="G9" s="34">
        <v>214.35769999999999</v>
      </c>
      <c r="H9" s="34">
        <v>524.27120000000002</v>
      </c>
      <c r="I9" s="34">
        <v>230.33920000000001</v>
      </c>
      <c r="J9" s="34">
        <v>228.005</v>
      </c>
      <c r="K9" s="34">
        <v>5.1913999999999998</v>
      </c>
      <c r="L9" s="34">
        <v>153.00980000000001</v>
      </c>
      <c r="M9" s="34">
        <v>222.96190000000001</v>
      </c>
      <c r="N9" s="34">
        <v>78.132499999999993</v>
      </c>
      <c r="O9" s="34">
        <v>48.278700000000001</v>
      </c>
      <c r="P9" s="34">
        <v>3.4965999999999999</v>
      </c>
      <c r="Q9" s="34">
        <v>108.2861</v>
      </c>
      <c r="R9" s="34">
        <v>35.257599999999996</v>
      </c>
      <c r="S9" s="34">
        <v>150.0523</v>
      </c>
      <c r="T9" s="34">
        <v>28.706299999999999</v>
      </c>
      <c r="U9" s="34">
        <v>67.756</v>
      </c>
      <c r="V9" s="34">
        <v>13.930999999999999</v>
      </c>
      <c r="W9" s="34">
        <v>27.308800000000002</v>
      </c>
      <c r="X9" s="34">
        <v>2214.6327999999999</v>
      </c>
      <c r="Y9" s="34"/>
      <c r="Z9" s="34">
        <v>11656.3706</v>
      </c>
      <c r="AA9" s="34">
        <v>10.666499999999999</v>
      </c>
      <c r="AB9" s="34">
        <v>140.4975</v>
      </c>
      <c r="AC9" s="34">
        <v>0</v>
      </c>
      <c r="AD9" s="34">
        <v>1242.1405</v>
      </c>
      <c r="AE9" s="34">
        <v>13049.6751</v>
      </c>
      <c r="AF9" s="34">
        <v>15264.307699999999</v>
      </c>
      <c r="AH9" s="5"/>
      <c r="AI9" s="5"/>
    </row>
    <row r="10" spans="1:35" x14ac:dyDescent="0.15">
      <c r="A10" s="4">
        <v>7</v>
      </c>
      <c r="B10" s="11" t="s">
        <v>46</v>
      </c>
      <c r="C10" s="11" t="s">
        <v>46</v>
      </c>
      <c r="D10" s="34">
        <v>9.7619000000000007</v>
      </c>
      <c r="E10" s="34">
        <v>2521.8040999999998</v>
      </c>
      <c r="F10" s="34">
        <v>109.81310000000001</v>
      </c>
      <c r="G10" s="34">
        <v>236.74209999999999</v>
      </c>
      <c r="H10" s="34">
        <v>24658.314600000002</v>
      </c>
      <c r="I10" s="34">
        <v>666.43700000000001</v>
      </c>
      <c r="J10" s="34">
        <v>79642.327499999999</v>
      </c>
      <c r="K10" s="34">
        <v>23.153099999999998</v>
      </c>
      <c r="L10" s="34">
        <v>91.933199999999999</v>
      </c>
      <c r="M10" s="34">
        <v>1620.9079999999999</v>
      </c>
      <c r="N10" s="34">
        <v>823.48929999999996</v>
      </c>
      <c r="O10" s="34">
        <v>403.98099999999999</v>
      </c>
      <c r="P10" s="34">
        <v>34.517200000000003</v>
      </c>
      <c r="Q10" s="34">
        <v>445.2801</v>
      </c>
      <c r="R10" s="34">
        <v>494.75549999999998</v>
      </c>
      <c r="S10" s="34">
        <v>2706.3841000000002</v>
      </c>
      <c r="T10" s="34">
        <v>91.320400000000006</v>
      </c>
      <c r="U10" s="34">
        <v>142.64689999999999</v>
      </c>
      <c r="V10" s="34">
        <v>63.332999999999998</v>
      </c>
      <c r="W10" s="34">
        <v>53.7776</v>
      </c>
      <c r="X10" s="34">
        <v>114840.6795</v>
      </c>
      <c r="Y10" s="34"/>
      <c r="Z10" s="34">
        <v>6002.1410999999998</v>
      </c>
      <c r="AA10" s="34">
        <v>46.495899999999999</v>
      </c>
      <c r="AB10" s="34">
        <v>232.03720000000001</v>
      </c>
      <c r="AC10" s="34">
        <v>-0.30199999999999999</v>
      </c>
      <c r="AD10" s="34">
        <v>138946.03260000001</v>
      </c>
      <c r="AE10" s="34">
        <v>145226.40470000001</v>
      </c>
      <c r="AF10" s="34">
        <v>260067.08350000001</v>
      </c>
      <c r="AH10" s="5"/>
      <c r="AI10" s="5"/>
    </row>
    <row r="11" spans="1:35" x14ac:dyDescent="0.15">
      <c r="A11" s="4">
        <v>8</v>
      </c>
      <c r="B11" s="11" t="s">
        <v>59</v>
      </c>
      <c r="C11" s="11" t="s">
        <v>15</v>
      </c>
      <c r="D11" s="34">
        <v>9.64E-2</v>
      </c>
      <c r="E11" s="34">
        <v>53.739199999999997</v>
      </c>
      <c r="F11" s="34">
        <v>9.8354999999999997</v>
      </c>
      <c r="G11" s="34">
        <v>61.359699999999997</v>
      </c>
      <c r="H11" s="34">
        <v>141.35230000000001</v>
      </c>
      <c r="I11" s="34">
        <v>64.021799999999999</v>
      </c>
      <c r="J11" s="34">
        <v>437.58319999999998</v>
      </c>
      <c r="K11" s="34">
        <v>3.6412</v>
      </c>
      <c r="L11" s="34">
        <v>23.535900000000002</v>
      </c>
      <c r="M11" s="34">
        <v>104.81440000000001</v>
      </c>
      <c r="N11" s="34">
        <v>158.64320000000001</v>
      </c>
      <c r="O11" s="34">
        <v>21.0473</v>
      </c>
      <c r="P11" s="34">
        <v>0.1812</v>
      </c>
      <c r="Q11" s="34">
        <v>123.3064</v>
      </c>
      <c r="R11" s="34">
        <v>50.026899999999998</v>
      </c>
      <c r="S11" s="34">
        <v>81.093599999999995</v>
      </c>
      <c r="T11" s="34">
        <v>17.724699999999999</v>
      </c>
      <c r="U11" s="34">
        <v>14.485799999999999</v>
      </c>
      <c r="V11" s="34">
        <v>14.942399999999999</v>
      </c>
      <c r="W11" s="34">
        <v>17.352799999999998</v>
      </c>
      <c r="X11" s="34">
        <v>1398.7837999999999</v>
      </c>
      <c r="Y11" s="34"/>
      <c r="Z11" s="34">
        <v>2098.3746000000001</v>
      </c>
      <c r="AA11" s="34">
        <v>109.19499999999999</v>
      </c>
      <c r="AB11" s="34">
        <v>48.586199999999998</v>
      </c>
      <c r="AC11" s="34">
        <v>0</v>
      </c>
      <c r="AD11" s="34">
        <v>681.07680000000005</v>
      </c>
      <c r="AE11" s="34">
        <v>2937.2325999999998</v>
      </c>
      <c r="AF11" s="34">
        <v>4336.0164999999997</v>
      </c>
      <c r="AH11" s="5"/>
      <c r="AI11" s="5"/>
    </row>
    <row r="12" spans="1:35" x14ac:dyDescent="0.15">
      <c r="A12" s="4">
        <v>9</v>
      </c>
      <c r="B12" s="11" t="s">
        <v>59</v>
      </c>
      <c r="C12" s="11" t="s">
        <v>47</v>
      </c>
      <c r="D12" s="34">
        <v>1.1317999999999999</v>
      </c>
      <c r="E12" s="34">
        <v>74.686000000000007</v>
      </c>
      <c r="F12" s="34">
        <v>16.7224</v>
      </c>
      <c r="G12" s="34">
        <v>59.1297</v>
      </c>
      <c r="H12" s="34">
        <v>489.1515</v>
      </c>
      <c r="I12" s="34">
        <v>72.833399999999997</v>
      </c>
      <c r="J12" s="34">
        <v>768.70479999999998</v>
      </c>
      <c r="K12" s="34">
        <v>7.0637999999999996</v>
      </c>
      <c r="L12" s="34">
        <v>73.284499999999994</v>
      </c>
      <c r="M12" s="34">
        <v>215.92570000000001</v>
      </c>
      <c r="N12" s="34">
        <v>714.51289999999995</v>
      </c>
      <c r="O12" s="34">
        <v>50.826799999999999</v>
      </c>
      <c r="P12" s="34">
        <v>0.54249999999999998</v>
      </c>
      <c r="Q12" s="34">
        <v>155.88140000000001</v>
      </c>
      <c r="R12" s="34">
        <v>70.933400000000006</v>
      </c>
      <c r="S12" s="34">
        <v>95.880099999999999</v>
      </c>
      <c r="T12" s="34">
        <v>33.254300000000001</v>
      </c>
      <c r="U12" s="34">
        <v>39.710500000000003</v>
      </c>
      <c r="V12" s="34">
        <v>30.6616</v>
      </c>
      <c r="W12" s="34">
        <v>22.596499999999999</v>
      </c>
      <c r="X12" s="34">
        <v>2993.4337</v>
      </c>
      <c r="Y12" s="34"/>
      <c r="Z12" s="34">
        <v>8884.7111000000004</v>
      </c>
      <c r="AA12" s="34">
        <v>5.4981999999999998</v>
      </c>
      <c r="AB12" s="34">
        <v>46.392699999999998</v>
      </c>
      <c r="AC12" s="34">
        <v>0</v>
      </c>
      <c r="AD12" s="34">
        <v>847.18089999999995</v>
      </c>
      <c r="AE12" s="34">
        <v>9783.7829999999994</v>
      </c>
      <c r="AF12" s="34">
        <v>12777.2168</v>
      </c>
      <c r="AH12" s="5"/>
      <c r="AI12" s="5"/>
    </row>
    <row r="13" spans="1:35" x14ac:dyDescent="0.15">
      <c r="A13" s="6">
        <v>10</v>
      </c>
      <c r="B13" s="12" t="s">
        <v>48</v>
      </c>
      <c r="C13" s="12" t="s">
        <v>48</v>
      </c>
      <c r="D13" s="35">
        <v>4.6581999999999999</v>
      </c>
      <c r="E13" s="35">
        <v>1667.5938000000001</v>
      </c>
      <c r="F13" s="35">
        <v>236.125</v>
      </c>
      <c r="G13" s="35">
        <v>282.3433</v>
      </c>
      <c r="H13" s="35">
        <v>5098.2262000000001</v>
      </c>
      <c r="I13" s="35">
        <v>422.89420000000001</v>
      </c>
      <c r="J13" s="35">
        <v>2065.1095999999998</v>
      </c>
      <c r="K13" s="35">
        <v>94.902600000000007</v>
      </c>
      <c r="L13" s="35">
        <v>149.2372</v>
      </c>
      <c r="M13" s="35">
        <v>35361.025800000003</v>
      </c>
      <c r="N13" s="35">
        <v>5734.1584000000003</v>
      </c>
      <c r="O13" s="35">
        <v>995.18859999999995</v>
      </c>
      <c r="P13" s="35">
        <v>47.757399999999997</v>
      </c>
      <c r="Q13" s="35">
        <v>3413.6170000000002</v>
      </c>
      <c r="R13" s="35">
        <v>582.91200000000003</v>
      </c>
      <c r="S13" s="35">
        <v>2569.8274999999999</v>
      </c>
      <c r="T13" s="35">
        <v>604.18539999999996</v>
      </c>
      <c r="U13" s="35">
        <v>881.4769</v>
      </c>
      <c r="V13" s="35">
        <v>313.31619999999998</v>
      </c>
      <c r="W13" s="35">
        <v>193.9254</v>
      </c>
      <c r="X13" s="35">
        <v>60718.4807</v>
      </c>
      <c r="Y13" s="35"/>
      <c r="Z13" s="35">
        <v>4987.1013000000003</v>
      </c>
      <c r="AA13" s="35">
        <v>284.94159999999999</v>
      </c>
      <c r="AB13" s="35">
        <v>6392.4461000000001</v>
      </c>
      <c r="AC13" s="35">
        <v>-1.9699999999999999E-2</v>
      </c>
      <c r="AD13" s="35">
        <v>84878.845100000006</v>
      </c>
      <c r="AE13" s="35">
        <v>96543.314400000003</v>
      </c>
      <c r="AF13" s="35">
        <v>157261.79500000001</v>
      </c>
      <c r="AH13" s="5"/>
      <c r="AI13" s="5"/>
    </row>
    <row r="14" spans="1:35" x14ac:dyDescent="0.15">
      <c r="A14" s="7">
        <v>11</v>
      </c>
      <c r="B14" s="13" t="s">
        <v>60</v>
      </c>
      <c r="C14" s="13" t="s">
        <v>49</v>
      </c>
      <c r="D14" s="36">
        <v>4.9184999999999999</v>
      </c>
      <c r="E14" s="36">
        <v>2099.9050999999999</v>
      </c>
      <c r="F14" s="36">
        <v>312.44290000000001</v>
      </c>
      <c r="G14" s="36">
        <v>508.55160000000001</v>
      </c>
      <c r="H14" s="36">
        <v>9129.2847999999994</v>
      </c>
      <c r="I14" s="36">
        <v>713.73500000000001</v>
      </c>
      <c r="J14" s="36">
        <v>2198.3663999999999</v>
      </c>
      <c r="K14" s="36">
        <v>179.06059999999999</v>
      </c>
      <c r="L14" s="36">
        <v>206.87690000000001</v>
      </c>
      <c r="M14" s="36">
        <v>2548.5654</v>
      </c>
      <c r="N14" s="36">
        <v>25704.339599999999</v>
      </c>
      <c r="O14" s="36">
        <v>3760.3739999999998</v>
      </c>
      <c r="P14" s="36">
        <v>2280.6057999999998</v>
      </c>
      <c r="Q14" s="36">
        <v>1635.5499</v>
      </c>
      <c r="R14" s="36">
        <v>719.38919999999996</v>
      </c>
      <c r="S14" s="36">
        <v>5293.0698000000002</v>
      </c>
      <c r="T14" s="36">
        <v>226.0806</v>
      </c>
      <c r="U14" s="36">
        <v>362.64370000000002</v>
      </c>
      <c r="V14" s="36">
        <v>178.9246</v>
      </c>
      <c r="W14" s="36">
        <v>139.6902</v>
      </c>
      <c r="X14" s="36">
        <v>58202.374400000001</v>
      </c>
      <c r="Y14" s="36"/>
      <c r="Z14" s="36">
        <v>23323.648799999999</v>
      </c>
      <c r="AA14" s="36">
        <v>583.45889999999997</v>
      </c>
      <c r="AB14" s="36">
        <v>841.53570000000002</v>
      </c>
      <c r="AC14" s="36">
        <v>0</v>
      </c>
      <c r="AD14" s="36">
        <v>70480.244999999995</v>
      </c>
      <c r="AE14" s="36">
        <v>95228.888399999996</v>
      </c>
      <c r="AF14" s="36">
        <v>153431.26199999999</v>
      </c>
      <c r="AH14" s="5"/>
      <c r="AI14" s="5"/>
    </row>
    <row r="15" spans="1:35" x14ac:dyDescent="0.15">
      <c r="A15" s="4">
        <v>12</v>
      </c>
      <c r="B15" s="11" t="s">
        <v>61</v>
      </c>
      <c r="C15" s="11" t="s">
        <v>16</v>
      </c>
      <c r="D15" s="34">
        <v>0.98350000000000004</v>
      </c>
      <c r="E15" s="34">
        <v>1067.7103999999999</v>
      </c>
      <c r="F15" s="34">
        <v>171.18440000000001</v>
      </c>
      <c r="G15" s="34">
        <v>251.0616</v>
      </c>
      <c r="H15" s="34">
        <v>3880.9663</v>
      </c>
      <c r="I15" s="34">
        <v>2466.3353999999999</v>
      </c>
      <c r="J15" s="34">
        <v>1205.8458000000001</v>
      </c>
      <c r="K15" s="34">
        <v>251.45349999999999</v>
      </c>
      <c r="L15" s="34">
        <v>1157.8298</v>
      </c>
      <c r="M15" s="34">
        <v>1832.0038</v>
      </c>
      <c r="N15" s="34">
        <v>2063.9159</v>
      </c>
      <c r="O15" s="34">
        <v>2042.6170999999999</v>
      </c>
      <c r="P15" s="34">
        <v>5.6398000000000001</v>
      </c>
      <c r="Q15" s="34">
        <v>1504.6506999999999</v>
      </c>
      <c r="R15" s="34">
        <v>525.37130000000002</v>
      </c>
      <c r="S15" s="34">
        <v>690.32899999999995</v>
      </c>
      <c r="T15" s="34">
        <v>431.7099</v>
      </c>
      <c r="U15" s="34">
        <v>751.79930000000002</v>
      </c>
      <c r="V15" s="34">
        <v>413.55700000000002</v>
      </c>
      <c r="W15" s="34">
        <v>480.6028</v>
      </c>
      <c r="X15" s="34">
        <v>21195.5674</v>
      </c>
      <c r="Y15" s="34"/>
      <c r="Z15" s="34">
        <v>2495.3737999999998</v>
      </c>
      <c r="AA15" s="34">
        <v>47.783000000000001</v>
      </c>
      <c r="AB15" s="34">
        <v>8796.7464999999993</v>
      </c>
      <c r="AC15" s="34">
        <v>-1E-4</v>
      </c>
      <c r="AD15" s="34">
        <v>902.88499999999999</v>
      </c>
      <c r="AE15" s="34">
        <v>12242.7883</v>
      </c>
      <c r="AF15" s="34">
        <v>33438.355300000003</v>
      </c>
      <c r="AH15" s="5"/>
      <c r="AI15" s="5"/>
    </row>
    <row r="16" spans="1:35" x14ac:dyDescent="0.15">
      <c r="A16" s="4">
        <v>13</v>
      </c>
      <c r="B16" s="11" t="s">
        <v>61</v>
      </c>
      <c r="C16" s="11" t="s">
        <v>50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/>
      <c r="Z16" s="34">
        <v>22774.171999999999</v>
      </c>
      <c r="AA16" s="34">
        <v>0</v>
      </c>
      <c r="AB16" s="34">
        <v>0</v>
      </c>
      <c r="AC16" s="34">
        <v>0</v>
      </c>
      <c r="AD16" s="34">
        <v>443.32799999999997</v>
      </c>
      <c r="AE16" s="34">
        <v>23217.5</v>
      </c>
      <c r="AF16" s="34">
        <v>23217.5</v>
      </c>
      <c r="AH16" s="5"/>
      <c r="AI16" s="5"/>
    </row>
    <row r="17" spans="1:35" x14ac:dyDescent="0.15">
      <c r="A17" s="4">
        <v>14</v>
      </c>
      <c r="B17" s="11" t="s">
        <v>51</v>
      </c>
      <c r="C17" s="11" t="s">
        <v>51</v>
      </c>
      <c r="D17" s="34">
        <v>6.4008000000000003</v>
      </c>
      <c r="E17" s="34">
        <v>3742.5034000000001</v>
      </c>
      <c r="F17" s="34">
        <v>222.9452</v>
      </c>
      <c r="G17" s="34">
        <v>1452.3529000000001</v>
      </c>
      <c r="H17" s="34">
        <v>6344.8468999999996</v>
      </c>
      <c r="I17" s="34">
        <v>564.11210000000005</v>
      </c>
      <c r="J17" s="34">
        <v>2365.0165000000002</v>
      </c>
      <c r="K17" s="34">
        <v>247.72909999999999</v>
      </c>
      <c r="L17" s="34">
        <v>274.15539999999999</v>
      </c>
      <c r="M17" s="34">
        <v>4789.7889999999998</v>
      </c>
      <c r="N17" s="34">
        <v>3508.3501000000001</v>
      </c>
      <c r="O17" s="34">
        <v>2610.5198</v>
      </c>
      <c r="P17" s="34">
        <v>217.29679999999999</v>
      </c>
      <c r="Q17" s="34">
        <v>3834.4218000000001</v>
      </c>
      <c r="R17" s="34">
        <v>848.79520000000002</v>
      </c>
      <c r="S17" s="34">
        <v>1624.3716999999999</v>
      </c>
      <c r="T17" s="34">
        <v>467.21019999999999</v>
      </c>
      <c r="U17" s="34">
        <v>469.26830000000001</v>
      </c>
      <c r="V17" s="34">
        <v>265.2473</v>
      </c>
      <c r="W17" s="34">
        <v>227.58760000000001</v>
      </c>
      <c r="X17" s="34">
        <v>34082.92</v>
      </c>
      <c r="Y17" s="34"/>
      <c r="Z17" s="34">
        <v>892.20270000000005</v>
      </c>
      <c r="AA17" s="34">
        <v>1281.8681999999999</v>
      </c>
      <c r="AB17" s="34">
        <v>7166.0011000000004</v>
      </c>
      <c r="AC17" s="34">
        <v>-1.8561000000000001</v>
      </c>
      <c r="AD17" s="34">
        <v>22649.742600000001</v>
      </c>
      <c r="AE17" s="34">
        <v>31987.958500000001</v>
      </c>
      <c r="AF17" s="34">
        <v>66070.878599999996</v>
      </c>
      <c r="AH17" s="5"/>
      <c r="AI17" s="5"/>
    </row>
    <row r="18" spans="1:35" x14ac:dyDescent="0.15">
      <c r="A18" s="4">
        <v>15</v>
      </c>
      <c r="B18" s="11" t="s">
        <v>52</v>
      </c>
      <c r="C18" s="11" t="s">
        <v>52</v>
      </c>
      <c r="D18" s="34">
        <v>1.0861000000000001</v>
      </c>
      <c r="E18" s="34">
        <v>1269.5544</v>
      </c>
      <c r="F18" s="34">
        <v>218.5214</v>
      </c>
      <c r="G18" s="34">
        <v>362.93329999999997</v>
      </c>
      <c r="H18" s="34">
        <v>3301.7561999999998</v>
      </c>
      <c r="I18" s="34">
        <v>235.5377</v>
      </c>
      <c r="J18" s="34">
        <v>3592.5857000000001</v>
      </c>
      <c r="K18" s="34">
        <v>58.556100000000001</v>
      </c>
      <c r="L18" s="34">
        <v>113.36199999999999</v>
      </c>
      <c r="M18" s="34">
        <v>1966.4557</v>
      </c>
      <c r="N18" s="34">
        <v>1151.2433000000001</v>
      </c>
      <c r="O18" s="34">
        <v>1477.0219</v>
      </c>
      <c r="P18" s="34">
        <v>187.23240000000001</v>
      </c>
      <c r="Q18" s="34">
        <v>654.14020000000005</v>
      </c>
      <c r="R18" s="34">
        <v>1638.9088999999999</v>
      </c>
      <c r="S18" s="34">
        <v>876.14350000000002</v>
      </c>
      <c r="T18" s="34">
        <v>232.67189999999999</v>
      </c>
      <c r="U18" s="34">
        <v>538.41849999999999</v>
      </c>
      <c r="V18" s="34">
        <v>176.99930000000001</v>
      </c>
      <c r="W18" s="34">
        <v>90.586200000000005</v>
      </c>
      <c r="X18" s="34">
        <v>18143.714800000002</v>
      </c>
      <c r="Y18" s="34"/>
      <c r="Z18" s="34">
        <v>709.72069999999997</v>
      </c>
      <c r="AA18" s="34">
        <v>39.370600000000003</v>
      </c>
      <c r="AB18" s="34">
        <v>140.25470000000001</v>
      </c>
      <c r="AC18" s="34">
        <v>-5.6899999999999999E-2</v>
      </c>
      <c r="AD18" s="34">
        <v>7632.3720999999996</v>
      </c>
      <c r="AE18" s="34">
        <v>8521.6610999999994</v>
      </c>
      <c r="AF18" s="34">
        <v>26665.3753</v>
      </c>
      <c r="AH18" s="5"/>
      <c r="AI18" s="5"/>
    </row>
    <row r="19" spans="1:35" x14ac:dyDescent="0.15">
      <c r="A19" s="4">
        <v>16</v>
      </c>
      <c r="B19" s="11" t="s">
        <v>62</v>
      </c>
      <c r="C19" s="11" t="s">
        <v>53</v>
      </c>
      <c r="D19" s="34">
        <v>0.82569999999999999</v>
      </c>
      <c r="E19" s="34">
        <v>110.6557</v>
      </c>
      <c r="F19" s="34">
        <v>57.859000000000002</v>
      </c>
      <c r="G19" s="34">
        <v>169.90700000000001</v>
      </c>
      <c r="H19" s="34">
        <v>920.39390000000003</v>
      </c>
      <c r="I19" s="34">
        <v>176.53059999999999</v>
      </c>
      <c r="J19" s="34">
        <v>418.49180000000001</v>
      </c>
      <c r="K19" s="34">
        <v>22.837700000000002</v>
      </c>
      <c r="L19" s="34">
        <v>60.313200000000002</v>
      </c>
      <c r="M19" s="34">
        <v>555.22450000000003</v>
      </c>
      <c r="N19" s="34">
        <v>396.20800000000003</v>
      </c>
      <c r="O19" s="34">
        <v>530.90480000000002</v>
      </c>
      <c r="P19" s="34">
        <v>2.9649000000000001</v>
      </c>
      <c r="Q19" s="34">
        <v>333.65899999999999</v>
      </c>
      <c r="R19" s="34">
        <v>43.694600000000001</v>
      </c>
      <c r="S19" s="34">
        <v>428.0677</v>
      </c>
      <c r="T19" s="34">
        <v>31.4541</v>
      </c>
      <c r="U19" s="34">
        <v>61.4422</v>
      </c>
      <c r="V19" s="34">
        <v>76.1173</v>
      </c>
      <c r="W19" s="34">
        <v>33.739600000000003</v>
      </c>
      <c r="X19" s="34">
        <v>4431.2914000000001</v>
      </c>
      <c r="Y19" s="34"/>
      <c r="Z19" s="34">
        <v>566.19470000000001</v>
      </c>
      <c r="AA19" s="34">
        <v>38156.874000000003</v>
      </c>
      <c r="AB19" s="34">
        <v>389.3657</v>
      </c>
      <c r="AC19" s="34">
        <v>-1.0169999999999999</v>
      </c>
      <c r="AD19" s="34">
        <v>866.35910000000001</v>
      </c>
      <c r="AE19" s="34">
        <v>39977.776400000002</v>
      </c>
      <c r="AF19" s="34">
        <v>44409.0677</v>
      </c>
      <c r="AH19" s="5"/>
      <c r="AI19" s="5"/>
    </row>
    <row r="20" spans="1:35" x14ac:dyDescent="0.15">
      <c r="A20" s="4">
        <v>17</v>
      </c>
      <c r="B20" s="11" t="s">
        <v>62</v>
      </c>
      <c r="C20" s="11" t="s">
        <v>17</v>
      </c>
      <c r="D20" s="34">
        <v>0.1835</v>
      </c>
      <c r="E20" s="34">
        <v>127.4708</v>
      </c>
      <c r="F20" s="34">
        <v>11.997999999999999</v>
      </c>
      <c r="G20" s="34">
        <v>21.616700000000002</v>
      </c>
      <c r="H20" s="34">
        <v>289.7516</v>
      </c>
      <c r="I20" s="34">
        <v>36.5672</v>
      </c>
      <c r="J20" s="34">
        <v>126.1707</v>
      </c>
      <c r="K20" s="34">
        <v>18.322199999999999</v>
      </c>
      <c r="L20" s="34">
        <v>24.9725</v>
      </c>
      <c r="M20" s="34">
        <v>277.0068</v>
      </c>
      <c r="N20" s="34">
        <v>162.05969999999999</v>
      </c>
      <c r="O20" s="34">
        <v>89.647800000000004</v>
      </c>
      <c r="P20" s="34">
        <v>4.1836000000000002</v>
      </c>
      <c r="Q20" s="34">
        <v>164.11420000000001</v>
      </c>
      <c r="R20" s="34">
        <v>57.444200000000002</v>
      </c>
      <c r="S20" s="34">
        <v>419.55720000000002</v>
      </c>
      <c r="T20" s="34">
        <v>478.97480000000002</v>
      </c>
      <c r="U20" s="34">
        <v>45.827300000000001</v>
      </c>
      <c r="V20" s="34">
        <v>17.141999999999999</v>
      </c>
      <c r="W20" s="34">
        <v>18.139700000000001</v>
      </c>
      <c r="X20" s="34">
        <v>2391.1505999999999</v>
      </c>
      <c r="Y20" s="34"/>
      <c r="Z20" s="34">
        <v>6635.6818000000003</v>
      </c>
      <c r="AA20" s="34">
        <v>8960.5393000000004</v>
      </c>
      <c r="AB20" s="34">
        <v>193.73689999999999</v>
      </c>
      <c r="AC20" s="34">
        <v>-1E-4</v>
      </c>
      <c r="AD20" s="34">
        <v>2735.7139000000002</v>
      </c>
      <c r="AE20" s="34">
        <v>18525.671699999999</v>
      </c>
      <c r="AF20" s="34">
        <v>20916.822700000001</v>
      </c>
      <c r="AH20" s="5"/>
      <c r="AI20" s="5"/>
    </row>
    <row r="21" spans="1:35" x14ac:dyDescent="0.15">
      <c r="A21" s="4">
        <v>18</v>
      </c>
      <c r="B21" s="11" t="s">
        <v>54</v>
      </c>
      <c r="C21" s="11" t="s">
        <v>54</v>
      </c>
      <c r="D21" s="34">
        <v>7.1199999999999999E-2</v>
      </c>
      <c r="E21" s="34">
        <v>25.654499999999999</v>
      </c>
      <c r="F21" s="34">
        <v>4.7248000000000001</v>
      </c>
      <c r="G21" s="34">
        <v>8.4364000000000008</v>
      </c>
      <c r="H21" s="34">
        <v>81.531099999999995</v>
      </c>
      <c r="I21" s="34">
        <v>19.9254</v>
      </c>
      <c r="J21" s="34">
        <v>68.267300000000006</v>
      </c>
      <c r="K21" s="34">
        <v>3.6395</v>
      </c>
      <c r="L21" s="34">
        <v>10.129300000000001</v>
      </c>
      <c r="M21" s="34">
        <v>60.629399999999997</v>
      </c>
      <c r="N21" s="34">
        <v>56.203499999999998</v>
      </c>
      <c r="O21" s="34">
        <v>32.284700000000001</v>
      </c>
      <c r="P21" s="34">
        <v>1.1682999999999999</v>
      </c>
      <c r="Q21" s="34">
        <v>670.06809999999996</v>
      </c>
      <c r="R21" s="34">
        <v>104.1071</v>
      </c>
      <c r="S21" s="34">
        <v>226.66489999999999</v>
      </c>
      <c r="T21" s="34">
        <v>15.062900000000001</v>
      </c>
      <c r="U21" s="34">
        <v>1899.9866</v>
      </c>
      <c r="V21" s="34">
        <v>91.080500000000001</v>
      </c>
      <c r="W21" s="34">
        <v>34.0184</v>
      </c>
      <c r="X21" s="34">
        <v>3413.6538999999998</v>
      </c>
      <c r="Y21" s="34"/>
      <c r="Z21" s="34">
        <v>11771.4684</v>
      </c>
      <c r="AA21" s="34">
        <v>9686.06</v>
      </c>
      <c r="AB21" s="34">
        <v>83.842100000000002</v>
      </c>
      <c r="AC21" s="34">
        <v>0</v>
      </c>
      <c r="AD21" s="34">
        <v>482.46289999999999</v>
      </c>
      <c r="AE21" s="34">
        <v>22023.833500000001</v>
      </c>
      <c r="AF21" s="34">
        <v>25437.4872</v>
      </c>
      <c r="AH21" s="5"/>
      <c r="AI21" s="5"/>
    </row>
    <row r="22" spans="1:35" x14ac:dyDescent="0.15">
      <c r="A22" s="4">
        <v>19</v>
      </c>
      <c r="B22" s="11" t="s">
        <v>55</v>
      </c>
      <c r="C22" s="11" t="s">
        <v>55</v>
      </c>
      <c r="D22" s="34">
        <v>4.6800000000000001E-2</v>
      </c>
      <c r="E22" s="34">
        <v>25.006799999999998</v>
      </c>
      <c r="F22" s="34">
        <v>2.9958999999999998</v>
      </c>
      <c r="G22" s="34">
        <v>63.986199999999997</v>
      </c>
      <c r="H22" s="34">
        <v>92.385199999999998</v>
      </c>
      <c r="I22" s="34">
        <v>57.1325</v>
      </c>
      <c r="J22" s="34">
        <v>80.761799999999994</v>
      </c>
      <c r="K22" s="34">
        <v>6.7850000000000001</v>
      </c>
      <c r="L22" s="34">
        <v>11.787599999999999</v>
      </c>
      <c r="M22" s="34">
        <v>187.66800000000001</v>
      </c>
      <c r="N22" s="34">
        <v>258.3639</v>
      </c>
      <c r="O22" s="34">
        <v>23.069900000000001</v>
      </c>
      <c r="P22" s="34">
        <v>0.46810000000000002</v>
      </c>
      <c r="Q22" s="34">
        <v>120.6678</v>
      </c>
      <c r="R22" s="34">
        <v>59.319699999999997</v>
      </c>
      <c r="S22" s="34">
        <v>21.377400000000002</v>
      </c>
      <c r="T22" s="34">
        <v>186.27670000000001</v>
      </c>
      <c r="U22" s="34">
        <v>32.275199999999998</v>
      </c>
      <c r="V22" s="34">
        <v>519.11530000000005</v>
      </c>
      <c r="W22" s="34">
        <v>28.212599999999998</v>
      </c>
      <c r="X22" s="34">
        <v>1777.7023999999999</v>
      </c>
      <c r="Y22" s="34"/>
      <c r="Z22" s="34">
        <v>3682.5592000000001</v>
      </c>
      <c r="AA22" s="34">
        <v>1082.9429</v>
      </c>
      <c r="AB22" s="34">
        <v>54.855699999999999</v>
      </c>
      <c r="AC22" s="34">
        <v>0</v>
      </c>
      <c r="AD22" s="34">
        <v>363.6309</v>
      </c>
      <c r="AE22" s="34">
        <v>5183.9886999999999</v>
      </c>
      <c r="AF22" s="34">
        <v>6961.6914999999999</v>
      </c>
      <c r="AH22" s="5"/>
      <c r="AI22" s="5"/>
    </row>
    <row r="23" spans="1:35" x14ac:dyDescent="0.15">
      <c r="A23" s="6">
        <v>20</v>
      </c>
      <c r="B23" s="12" t="s">
        <v>63</v>
      </c>
      <c r="C23" s="12" t="s">
        <v>56</v>
      </c>
      <c r="D23" s="35">
        <v>0.99780000000000002</v>
      </c>
      <c r="E23" s="35">
        <v>92.488299999999995</v>
      </c>
      <c r="F23" s="35">
        <v>31.322099999999999</v>
      </c>
      <c r="G23" s="35">
        <v>70.182199999999995</v>
      </c>
      <c r="H23" s="35">
        <v>177.58840000000001</v>
      </c>
      <c r="I23" s="35">
        <v>63.081899999999997</v>
      </c>
      <c r="J23" s="35">
        <v>370.15750000000003</v>
      </c>
      <c r="K23" s="35">
        <v>32.671900000000001</v>
      </c>
      <c r="L23" s="35">
        <v>16.0899</v>
      </c>
      <c r="M23" s="35">
        <v>273.94970000000001</v>
      </c>
      <c r="N23" s="35">
        <v>185.13800000000001</v>
      </c>
      <c r="O23" s="35">
        <v>57.3611</v>
      </c>
      <c r="P23" s="35">
        <v>53.559899999999999</v>
      </c>
      <c r="Q23" s="35">
        <v>132.506</v>
      </c>
      <c r="R23" s="35">
        <v>71.200299999999999</v>
      </c>
      <c r="S23" s="35">
        <v>527.06910000000005</v>
      </c>
      <c r="T23" s="35">
        <v>121.9666</v>
      </c>
      <c r="U23" s="35">
        <v>131.37450000000001</v>
      </c>
      <c r="V23" s="35">
        <v>89.010400000000004</v>
      </c>
      <c r="W23" s="35">
        <v>94.530100000000004</v>
      </c>
      <c r="X23" s="35">
        <v>2592.2458000000001</v>
      </c>
      <c r="Y23" s="35"/>
      <c r="Z23" s="35">
        <v>6072.0865000000003</v>
      </c>
      <c r="AA23" s="35">
        <v>63.592300000000002</v>
      </c>
      <c r="AB23" s="35">
        <v>50.378300000000003</v>
      </c>
      <c r="AC23" s="35">
        <v>0</v>
      </c>
      <c r="AD23" s="35">
        <v>282.82619999999997</v>
      </c>
      <c r="AE23" s="35">
        <v>6468.8833000000004</v>
      </c>
      <c r="AF23" s="35">
        <v>9061.1291999999994</v>
      </c>
      <c r="AH23" s="5"/>
      <c r="AI23" s="5"/>
    </row>
    <row r="24" spans="1:35" x14ac:dyDescent="0.15">
      <c r="A24" s="8" t="s">
        <v>29</v>
      </c>
      <c r="B24" s="14"/>
      <c r="C24" s="14" t="s">
        <v>30</v>
      </c>
      <c r="D24" s="37">
        <v>304.84019999999998</v>
      </c>
      <c r="E24" s="37">
        <v>100750.60890000001</v>
      </c>
      <c r="F24" s="37">
        <v>5626.8190999999997</v>
      </c>
      <c r="G24" s="37">
        <v>32640.584800000001</v>
      </c>
      <c r="H24" s="37">
        <v>65840.336200000005</v>
      </c>
      <c r="I24" s="37">
        <v>6981.8558999999996</v>
      </c>
      <c r="J24" s="37">
        <v>112927.47870000001</v>
      </c>
      <c r="K24" s="37">
        <v>1619.8525</v>
      </c>
      <c r="L24" s="37">
        <v>5335.6553000000004</v>
      </c>
      <c r="M24" s="37">
        <v>62000.298499999997</v>
      </c>
      <c r="N24" s="37">
        <v>43291.120600000002</v>
      </c>
      <c r="O24" s="37">
        <v>15572.4882</v>
      </c>
      <c r="P24" s="37">
        <v>4304.5999000000002</v>
      </c>
      <c r="Q24" s="37">
        <v>19554.1459</v>
      </c>
      <c r="R24" s="37">
        <v>7275.7743</v>
      </c>
      <c r="S24" s="37">
        <v>21138.181</v>
      </c>
      <c r="T24" s="37">
        <v>4220.2223999999997</v>
      </c>
      <c r="U24" s="37">
        <v>8546.9339999999993</v>
      </c>
      <c r="V24" s="37">
        <v>2921.3620000000001</v>
      </c>
      <c r="W24" s="37">
        <v>2266.3087</v>
      </c>
      <c r="X24" s="37">
        <v>523119.46549999999</v>
      </c>
      <c r="Y24" s="37"/>
      <c r="Z24" s="37">
        <v>128734.69680000001</v>
      </c>
      <c r="AA24" s="37">
        <v>61847.752999999997</v>
      </c>
      <c r="AB24" s="37">
        <v>72920.073900000003</v>
      </c>
      <c r="AC24" s="37">
        <v>-388.31310000000002</v>
      </c>
      <c r="AD24" s="37">
        <v>820978.1642</v>
      </c>
      <c r="AE24" s="37">
        <v>1084092.3748000001</v>
      </c>
      <c r="AF24" s="37">
        <v>1607211.8403</v>
      </c>
      <c r="AH24" s="5"/>
      <c r="AI24" s="5"/>
    </row>
    <row r="25" spans="1:35" x14ac:dyDescent="0.15">
      <c r="A25" s="4">
        <v>21</v>
      </c>
      <c r="B25" s="11"/>
      <c r="C25" s="11" t="s">
        <v>31</v>
      </c>
      <c r="D25" s="34">
        <v>301.36259999999999</v>
      </c>
      <c r="E25" s="34">
        <v>198664.11139999999</v>
      </c>
      <c r="F25" s="34">
        <v>6289.7383</v>
      </c>
      <c r="G25" s="34">
        <v>11438.8244</v>
      </c>
      <c r="H25" s="34">
        <v>76984.555300000007</v>
      </c>
      <c r="I25" s="34">
        <v>1094.2933</v>
      </c>
      <c r="J25" s="34">
        <v>93938.285399999993</v>
      </c>
      <c r="K25" s="34">
        <v>496.96800000000002</v>
      </c>
      <c r="L25" s="34">
        <v>2840.2682</v>
      </c>
      <c r="M25" s="34">
        <v>64506.329700000002</v>
      </c>
      <c r="N25" s="34">
        <v>34345.268799999998</v>
      </c>
      <c r="O25" s="34">
        <v>964.09500000000003</v>
      </c>
      <c r="P25" s="34">
        <v>0</v>
      </c>
      <c r="Q25" s="34">
        <v>16716.891500000002</v>
      </c>
      <c r="R25" s="34">
        <v>2859.1561000000002</v>
      </c>
      <c r="S25" s="34">
        <v>8726.8973999999998</v>
      </c>
      <c r="T25" s="34">
        <v>1427.9777999999999</v>
      </c>
      <c r="U25" s="34">
        <v>2813.5142999999998</v>
      </c>
      <c r="V25" s="34">
        <v>487.12240000000003</v>
      </c>
      <c r="W25" s="34">
        <v>983.47900000000004</v>
      </c>
      <c r="X25" s="34">
        <v>525879.13910000003</v>
      </c>
      <c r="Y25" s="34"/>
      <c r="Z25" s="34">
        <v>25176.5573</v>
      </c>
      <c r="AA25" s="34">
        <v>0</v>
      </c>
      <c r="AB25" s="34">
        <v>47210.108899999999</v>
      </c>
      <c r="AC25" s="34">
        <v>10427.5131</v>
      </c>
      <c r="AD25" s="34">
        <v>263073.08809999999</v>
      </c>
      <c r="AE25" s="34">
        <v>345887.26750000002</v>
      </c>
      <c r="AF25" s="34">
        <v>871766.40659999999</v>
      </c>
      <c r="AH25" s="5"/>
    </row>
    <row r="26" spans="1:35" x14ac:dyDescent="0.15">
      <c r="A26" s="6">
        <v>22</v>
      </c>
      <c r="B26" s="12"/>
      <c r="C26" s="12" t="s">
        <v>32</v>
      </c>
      <c r="D26" s="35">
        <v>1.2853000000000001</v>
      </c>
      <c r="E26" s="35">
        <v>197.62190000000001</v>
      </c>
      <c r="F26" s="35">
        <v>219.09370000000001</v>
      </c>
      <c r="G26" s="35">
        <v>40.173699999999997</v>
      </c>
      <c r="H26" s="35">
        <v>118.31310000000001</v>
      </c>
      <c r="I26" s="35">
        <v>29.0578</v>
      </c>
      <c r="J26" s="35">
        <v>592.9452</v>
      </c>
      <c r="K26" s="35">
        <v>29.699200000000001</v>
      </c>
      <c r="L26" s="35">
        <v>361.58359999999999</v>
      </c>
      <c r="M26" s="35">
        <v>733.80539999999996</v>
      </c>
      <c r="N26" s="35">
        <v>1924.5074999999999</v>
      </c>
      <c r="O26" s="35">
        <v>444.53890000000001</v>
      </c>
      <c r="P26" s="35">
        <v>0</v>
      </c>
      <c r="Q26" s="35">
        <v>128.57919999999999</v>
      </c>
      <c r="R26" s="35">
        <v>43.697699999999998</v>
      </c>
      <c r="S26" s="35">
        <v>206.9068</v>
      </c>
      <c r="T26" s="35">
        <v>46.687899999999999</v>
      </c>
      <c r="U26" s="35">
        <v>227.19450000000001</v>
      </c>
      <c r="V26" s="35">
        <v>48.623399999999997</v>
      </c>
      <c r="W26" s="35">
        <v>13.4354</v>
      </c>
      <c r="X26" s="35">
        <v>5407.7501000000002</v>
      </c>
      <c r="Y26" s="35"/>
      <c r="Z26" s="35">
        <v>16296.6247</v>
      </c>
      <c r="AA26" s="35">
        <v>0</v>
      </c>
      <c r="AB26" s="35">
        <v>8711.6252000000004</v>
      </c>
      <c r="AC26" s="35">
        <v>0</v>
      </c>
      <c r="AD26" s="35">
        <v>0</v>
      </c>
      <c r="AE26" s="35">
        <v>25008.249899999999</v>
      </c>
      <c r="AF26" s="35">
        <v>30416</v>
      </c>
      <c r="AH26" s="5"/>
    </row>
    <row r="27" spans="1:35" x14ac:dyDescent="0.15">
      <c r="A27" s="8" t="s">
        <v>33</v>
      </c>
      <c r="B27" s="14"/>
      <c r="C27" s="14" t="s">
        <v>34</v>
      </c>
      <c r="D27" s="37">
        <v>607.48789999999997</v>
      </c>
      <c r="E27" s="37">
        <v>299612.34370000003</v>
      </c>
      <c r="F27" s="37">
        <v>12135.651900000001</v>
      </c>
      <c r="G27" s="37">
        <v>44119.582600000002</v>
      </c>
      <c r="H27" s="37">
        <v>142943.20480000001</v>
      </c>
      <c r="I27" s="37">
        <v>8105.2075999999997</v>
      </c>
      <c r="J27" s="37">
        <v>207458.70699999999</v>
      </c>
      <c r="K27" s="37">
        <v>2146.5196000000001</v>
      </c>
      <c r="L27" s="37">
        <v>8537.5069999999996</v>
      </c>
      <c r="M27" s="37">
        <v>127240.4344</v>
      </c>
      <c r="N27" s="37">
        <v>79560.896500000003</v>
      </c>
      <c r="O27" s="37">
        <v>16981.120999999999</v>
      </c>
      <c r="P27" s="37">
        <v>4304.5999000000002</v>
      </c>
      <c r="Q27" s="37">
        <v>36399.6181</v>
      </c>
      <c r="R27" s="37">
        <v>10178.6265</v>
      </c>
      <c r="S27" s="37">
        <v>30071.984899999999</v>
      </c>
      <c r="T27" s="37">
        <v>5694.8877000000002</v>
      </c>
      <c r="U27" s="37">
        <v>11587.6432</v>
      </c>
      <c r="V27" s="37">
        <v>3457.1079</v>
      </c>
      <c r="W27" s="37">
        <v>3263.2244999999998</v>
      </c>
      <c r="X27" s="37">
        <v>1054406.3547</v>
      </c>
      <c r="Y27" s="37"/>
      <c r="Z27" s="37">
        <v>170207.87880000001</v>
      </c>
      <c r="AA27" s="37">
        <v>61847.752999999997</v>
      </c>
      <c r="AB27" s="37">
        <v>128841.808</v>
      </c>
      <c r="AC27" s="37">
        <v>10039.200000000001</v>
      </c>
      <c r="AD27" s="37">
        <v>1084051.2523000001</v>
      </c>
      <c r="AE27" s="37">
        <v>1454987.8921999999</v>
      </c>
      <c r="AF27" s="37">
        <v>2509394.2469000001</v>
      </c>
      <c r="AH27" s="5"/>
    </row>
    <row r="28" spans="1:35" x14ac:dyDescent="0.15">
      <c r="A28" s="4">
        <v>23</v>
      </c>
      <c r="B28" s="11"/>
      <c r="C28" s="11" t="s">
        <v>35</v>
      </c>
      <c r="D28" s="34">
        <v>84.1</v>
      </c>
      <c r="E28" s="34">
        <v>26753.2183</v>
      </c>
      <c r="F28" s="34">
        <v>1753.2</v>
      </c>
      <c r="G28" s="34">
        <v>12351.518899999999</v>
      </c>
      <c r="H28" s="34">
        <v>24528.2</v>
      </c>
      <c r="I28" s="34">
        <v>4734.2447000000002</v>
      </c>
      <c r="J28" s="34">
        <v>13382.6919</v>
      </c>
      <c r="K28" s="34">
        <v>1414.8438000000001</v>
      </c>
      <c r="L28" s="34">
        <v>3771.5428000000002</v>
      </c>
      <c r="M28" s="34">
        <v>19208.100600000002</v>
      </c>
      <c r="N28" s="34">
        <v>30821.251499999998</v>
      </c>
      <c r="O28" s="34">
        <v>3145.4212000000002</v>
      </c>
      <c r="P28" s="34">
        <v>0</v>
      </c>
      <c r="Q28" s="34">
        <v>21996.5285</v>
      </c>
      <c r="R28" s="34">
        <v>8638.5684000000001</v>
      </c>
      <c r="S28" s="34">
        <v>13760.316800000001</v>
      </c>
      <c r="T28" s="34">
        <v>12374.2</v>
      </c>
      <c r="U28" s="34">
        <v>12784.1229</v>
      </c>
      <c r="V28" s="34">
        <v>2071.0971</v>
      </c>
      <c r="W28" s="34">
        <v>5336.3739999999998</v>
      </c>
      <c r="X28" s="34">
        <v>218909.54130000001</v>
      </c>
      <c r="Y28" s="34"/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218909.54130000001</v>
      </c>
      <c r="AH28" s="5"/>
    </row>
    <row r="29" spans="1:35" x14ac:dyDescent="0.15">
      <c r="A29" s="4">
        <v>24</v>
      </c>
      <c r="B29" s="11"/>
      <c r="C29" s="11" t="s">
        <v>36</v>
      </c>
      <c r="D29" s="34">
        <v>1.3998999999999999</v>
      </c>
      <c r="E29" s="34">
        <v>-327.80020000000002</v>
      </c>
      <c r="F29" s="34">
        <v>283.2</v>
      </c>
      <c r="G29" s="34">
        <v>307.89999999999998</v>
      </c>
      <c r="H29" s="34">
        <v>-642.4</v>
      </c>
      <c r="I29" s="34">
        <v>-690.3</v>
      </c>
      <c r="J29" s="34">
        <v>-645.40009999999995</v>
      </c>
      <c r="K29" s="34">
        <v>-192.3</v>
      </c>
      <c r="L29" s="34">
        <v>-1249.9000000000001</v>
      </c>
      <c r="M29" s="34">
        <v>-206.7</v>
      </c>
      <c r="N29" s="34">
        <v>-321.99990000000003</v>
      </c>
      <c r="O29" s="34">
        <v>1339</v>
      </c>
      <c r="P29" s="34">
        <v>992.5</v>
      </c>
      <c r="Q29" s="34">
        <v>-815.59990000000005</v>
      </c>
      <c r="R29" s="34">
        <v>-545.29989999999998</v>
      </c>
      <c r="S29" s="34">
        <v>39.1</v>
      </c>
      <c r="T29" s="34">
        <v>-358.9</v>
      </c>
      <c r="U29" s="34">
        <v>-514.9</v>
      </c>
      <c r="V29" s="34">
        <v>-178.2</v>
      </c>
      <c r="W29" s="34">
        <v>155.80000000000001</v>
      </c>
      <c r="X29" s="34">
        <v>-3570.8</v>
      </c>
      <c r="Y29" s="34"/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-3570.8</v>
      </c>
      <c r="AH29" s="5"/>
    </row>
    <row r="30" spans="1:35" x14ac:dyDescent="0.15">
      <c r="A30" s="6">
        <v>25</v>
      </c>
      <c r="B30" s="12"/>
      <c r="C30" s="12" t="s">
        <v>37</v>
      </c>
      <c r="D30" s="35">
        <v>92.5</v>
      </c>
      <c r="E30" s="35">
        <v>91923.236999999994</v>
      </c>
      <c r="F30" s="35">
        <v>4311.8424000000005</v>
      </c>
      <c r="G30" s="35">
        <v>4328.1949000000004</v>
      </c>
      <c r="H30" s="35">
        <v>82729.271200000003</v>
      </c>
      <c r="I30" s="35">
        <v>3115.1559999999999</v>
      </c>
      <c r="J30" s="35">
        <v>39871.082999999999</v>
      </c>
      <c r="K30" s="35">
        <v>966.95339999999999</v>
      </c>
      <c r="L30" s="35">
        <v>1718.0672</v>
      </c>
      <c r="M30" s="35">
        <v>11019.9601</v>
      </c>
      <c r="N30" s="35">
        <v>43371.113299999997</v>
      </c>
      <c r="O30" s="35">
        <v>11972.8127</v>
      </c>
      <c r="P30" s="35">
        <v>17920.400000000001</v>
      </c>
      <c r="Q30" s="35">
        <v>8490.3331999999991</v>
      </c>
      <c r="R30" s="35">
        <v>8393.48</v>
      </c>
      <c r="S30" s="35">
        <v>537.66589999999997</v>
      </c>
      <c r="T30" s="35">
        <v>3206.6352999999999</v>
      </c>
      <c r="U30" s="35">
        <v>1580.6207999999999</v>
      </c>
      <c r="V30" s="35">
        <v>1611.6868999999999</v>
      </c>
      <c r="W30" s="35">
        <v>305.73129999999998</v>
      </c>
      <c r="X30" s="35">
        <v>337466.74430000002</v>
      </c>
      <c r="Y30" s="35"/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337466.74430000002</v>
      </c>
      <c r="AH30" s="5"/>
    </row>
    <row r="31" spans="1:35" x14ac:dyDescent="0.15">
      <c r="A31" s="8" t="s">
        <v>38</v>
      </c>
      <c r="B31" s="14"/>
      <c r="C31" s="14" t="s">
        <v>39</v>
      </c>
      <c r="D31" s="37">
        <v>177.9999</v>
      </c>
      <c r="E31" s="37">
        <v>118348.6551</v>
      </c>
      <c r="F31" s="37">
        <v>6348.2424000000001</v>
      </c>
      <c r="G31" s="37">
        <v>16987.613799999999</v>
      </c>
      <c r="H31" s="37">
        <v>106615.07120000001</v>
      </c>
      <c r="I31" s="37">
        <v>7159.1007</v>
      </c>
      <c r="J31" s="37">
        <v>52608.374799999998</v>
      </c>
      <c r="K31" s="37">
        <v>2189.4971999999998</v>
      </c>
      <c r="L31" s="37">
        <v>4239.71</v>
      </c>
      <c r="M31" s="37">
        <v>30021.360700000001</v>
      </c>
      <c r="N31" s="37">
        <v>73870.3649</v>
      </c>
      <c r="O31" s="37">
        <v>16457.233899999999</v>
      </c>
      <c r="P31" s="37">
        <v>18912.900000000001</v>
      </c>
      <c r="Q31" s="37">
        <v>29671.2618</v>
      </c>
      <c r="R31" s="37">
        <v>16486.748500000002</v>
      </c>
      <c r="S31" s="37">
        <v>14337.082700000001</v>
      </c>
      <c r="T31" s="37">
        <v>15221.935299999999</v>
      </c>
      <c r="U31" s="37">
        <v>13849.843699999999</v>
      </c>
      <c r="V31" s="37">
        <v>3504.5839999999998</v>
      </c>
      <c r="W31" s="37">
        <v>5797.9053000000004</v>
      </c>
      <c r="X31" s="37">
        <v>552805.48560000001</v>
      </c>
      <c r="Y31" s="37"/>
      <c r="Z31" s="37"/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552805.48560000001</v>
      </c>
      <c r="AH31" s="5"/>
    </row>
    <row r="32" spans="1:35" ht="13" thickBot="1" x14ac:dyDescent="0.2">
      <c r="A32" s="9" t="s">
        <v>40</v>
      </c>
      <c r="B32" s="15"/>
      <c r="C32" s="15" t="s">
        <v>41</v>
      </c>
      <c r="D32" s="38">
        <v>785.48749999999995</v>
      </c>
      <c r="E32" s="38">
        <v>417960.99829999998</v>
      </c>
      <c r="F32" s="38">
        <v>18483.894</v>
      </c>
      <c r="G32" s="38">
        <v>61107.195899999999</v>
      </c>
      <c r="H32" s="38">
        <v>249558.2763</v>
      </c>
      <c r="I32" s="38">
        <v>15264.307699999999</v>
      </c>
      <c r="J32" s="38">
        <v>260067.08350000001</v>
      </c>
      <c r="K32" s="38">
        <v>4336.0164999999997</v>
      </c>
      <c r="L32" s="38">
        <v>12777.2168</v>
      </c>
      <c r="M32" s="38">
        <v>157261.79500000001</v>
      </c>
      <c r="N32" s="38">
        <v>153431.26199999999</v>
      </c>
      <c r="O32" s="38">
        <v>33438.355300000003</v>
      </c>
      <c r="P32" s="38">
        <v>23217.5</v>
      </c>
      <c r="Q32" s="38">
        <v>66070.878599999996</v>
      </c>
      <c r="R32" s="38">
        <v>26665.3753</v>
      </c>
      <c r="S32" s="38">
        <v>44409.0677</v>
      </c>
      <c r="T32" s="38">
        <v>20916.822700000001</v>
      </c>
      <c r="U32" s="38">
        <v>25437.4872</v>
      </c>
      <c r="V32" s="38">
        <v>6961.6914999999999</v>
      </c>
      <c r="W32" s="38">
        <v>9061.1291999999994</v>
      </c>
      <c r="X32" s="38">
        <v>1607211.8403</v>
      </c>
      <c r="Y32" s="38"/>
      <c r="Z32" s="38">
        <v>170207.87880000001</v>
      </c>
      <c r="AA32" s="38">
        <v>61847.752999999997</v>
      </c>
      <c r="AB32" s="38">
        <v>128841.808</v>
      </c>
      <c r="AC32" s="38">
        <v>10039.200000000001</v>
      </c>
      <c r="AD32" s="38">
        <v>1084051.2523000001</v>
      </c>
      <c r="AE32" s="38">
        <v>1454987.8921999999</v>
      </c>
      <c r="AF32" s="38">
        <v>3062199.7324999999</v>
      </c>
      <c r="AH32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7AFE-0C96-8641-9985-280AE61172DD}">
  <dimension ref="A1:AI33"/>
  <sheetViews>
    <sheetView topLeftCell="Y1" workbookViewId="0">
      <selection activeCell="B5" sqref="B5"/>
    </sheetView>
  </sheetViews>
  <sheetFormatPr baseColWidth="10" defaultColWidth="10.59765625" defaultRowHeight="12" x14ac:dyDescent="0.15"/>
  <cols>
    <col min="1" max="1" width="5.796875" customWidth="1"/>
    <col min="2" max="2" width="31.796875" customWidth="1"/>
    <col min="3" max="3" width="28.796875" bestFit="1" customWidth="1"/>
    <col min="4" max="4" width="18.796875" customWidth="1"/>
    <col min="5" max="32" width="15.3984375" customWidth="1"/>
  </cols>
  <sheetData>
    <row r="1" spans="1:35" x14ac:dyDescent="0.15">
      <c r="A1" s="4"/>
      <c r="B1" s="4"/>
      <c r="C1" s="4"/>
      <c r="D1" s="17">
        <v>1</v>
      </c>
      <c r="E1" s="17">
        <v>3</v>
      </c>
      <c r="F1" s="17">
        <v>2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 t="s">
        <v>26</v>
      </c>
      <c r="Y1" s="17"/>
      <c r="Z1" s="17">
        <v>21</v>
      </c>
      <c r="AA1" s="17">
        <v>22</v>
      </c>
      <c r="AB1" s="17">
        <v>23</v>
      </c>
      <c r="AC1" s="17">
        <v>24</v>
      </c>
      <c r="AD1" s="17">
        <v>25</v>
      </c>
      <c r="AE1" s="17" t="s">
        <v>27</v>
      </c>
      <c r="AF1" s="17" t="s">
        <v>28</v>
      </c>
    </row>
    <row r="2" spans="1:35" s="3" customFormat="1" ht="48" x14ac:dyDescent="0.15">
      <c r="A2" s="16"/>
      <c r="B2" s="16"/>
      <c r="C2" s="16"/>
      <c r="D2" s="21" t="s">
        <v>0</v>
      </c>
      <c r="E2" s="21" t="s">
        <v>0</v>
      </c>
      <c r="F2" s="21" t="s">
        <v>1</v>
      </c>
      <c r="G2" s="21" t="s">
        <v>2</v>
      </c>
      <c r="H2" s="21" t="s">
        <v>58</v>
      </c>
      <c r="I2" s="21" t="s">
        <v>58</v>
      </c>
      <c r="J2" s="21" t="s">
        <v>46</v>
      </c>
      <c r="K2" s="21" t="s">
        <v>59</v>
      </c>
      <c r="L2" s="21" t="s">
        <v>59</v>
      </c>
      <c r="M2" s="21" t="s">
        <v>48</v>
      </c>
      <c r="N2" s="21" t="s">
        <v>60</v>
      </c>
      <c r="O2" s="21" t="s">
        <v>61</v>
      </c>
      <c r="P2" s="21" t="s">
        <v>61</v>
      </c>
      <c r="Q2" s="21" t="s">
        <v>51</v>
      </c>
      <c r="R2" s="21" t="s">
        <v>52</v>
      </c>
      <c r="S2" s="21" t="s">
        <v>62</v>
      </c>
      <c r="T2" s="21" t="s">
        <v>62</v>
      </c>
      <c r="U2" s="21" t="s">
        <v>54</v>
      </c>
      <c r="V2" s="21" t="s">
        <v>55</v>
      </c>
      <c r="W2" s="21" t="s">
        <v>63</v>
      </c>
      <c r="X2" s="18"/>
      <c r="Y2" s="18"/>
      <c r="Z2" s="18"/>
      <c r="AA2" s="18"/>
      <c r="AB2" s="18"/>
      <c r="AC2" s="18"/>
      <c r="AD2" s="18"/>
      <c r="AE2" s="18"/>
      <c r="AF2" s="18"/>
    </row>
    <row r="3" spans="1:35" s="10" customFormat="1" ht="48" x14ac:dyDescent="0.15">
      <c r="A3" s="17"/>
      <c r="B3" s="18"/>
      <c r="C3" s="18"/>
      <c r="D3" s="22" t="s">
        <v>42</v>
      </c>
      <c r="E3" s="22" t="s">
        <v>43</v>
      </c>
      <c r="F3" s="22" t="s">
        <v>1</v>
      </c>
      <c r="G3" s="22" t="s">
        <v>2</v>
      </c>
      <c r="H3" s="22" t="s">
        <v>44</v>
      </c>
      <c r="I3" s="22" t="s">
        <v>45</v>
      </c>
      <c r="J3" s="22" t="s">
        <v>46</v>
      </c>
      <c r="K3" s="22" t="s">
        <v>15</v>
      </c>
      <c r="L3" s="22" t="s">
        <v>47</v>
      </c>
      <c r="M3" s="22" t="s">
        <v>48</v>
      </c>
      <c r="N3" s="22" t="s">
        <v>49</v>
      </c>
      <c r="O3" s="22" t="s">
        <v>16</v>
      </c>
      <c r="P3" s="22" t="s">
        <v>50</v>
      </c>
      <c r="Q3" s="22" t="s">
        <v>51</v>
      </c>
      <c r="R3" s="22" t="s">
        <v>52</v>
      </c>
      <c r="S3" s="22" t="s">
        <v>53</v>
      </c>
      <c r="T3" s="22" t="s">
        <v>17</v>
      </c>
      <c r="U3" s="22" t="s">
        <v>54</v>
      </c>
      <c r="V3" s="22" t="s">
        <v>55</v>
      </c>
      <c r="W3" s="22" t="s">
        <v>56</v>
      </c>
      <c r="X3" s="18" t="s">
        <v>57</v>
      </c>
      <c r="Y3" s="18" t="s">
        <v>18</v>
      </c>
      <c r="Z3" s="18" t="s">
        <v>19</v>
      </c>
      <c r="AA3" s="18" t="s">
        <v>20</v>
      </c>
      <c r="AB3" s="18" t="s">
        <v>21</v>
      </c>
      <c r="AC3" s="18" t="s">
        <v>22</v>
      </c>
      <c r="AD3" s="18" t="s">
        <v>23</v>
      </c>
      <c r="AE3" s="18" t="s">
        <v>24</v>
      </c>
      <c r="AF3" s="18" t="s">
        <v>25</v>
      </c>
    </row>
    <row r="4" spans="1:35" s="10" customFormat="1" x14ac:dyDescent="0.15">
      <c r="A4" s="17"/>
      <c r="B4" s="11" t="s">
        <v>0</v>
      </c>
      <c r="C4" s="18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18"/>
      <c r="Y4" s="18"/>
      <c r="Z4" s="18"/>
      <c r="AA4" s="18"/>
      <c r="AB4" s="18"/>
      <c r="AC4" s="18"/>
      <c r="AD4" s="18"/>
      <c r="AE4" s="18"/>
      <c r="AF4" s="18"/>
    </row>
    <row r="5" spans="1:35" x14ac:dyDescent="0.15">
      <c r="A5" s="4">
        <v>1</v>
      </c>
      <c r="B5" s="11" t="s">
        <v>0</v>
      </c>
      <c r="C5" s="11" t="s">
        <v>42</v>
      </c>
      <c r="D5" s="34">
        <v>97.684399999999997</v>
      </c>
      <c r="E5" s="34">
        <v>87.221000000000004</v>
      </c>
      <c r="F5" s="34">
        <v>21.618200000000002</v>
      </c>
      <c r="G5" s="34">
        <v>5.1901000000000002</v>
      </c>
      <c r="H5" s="34">
        <v>2.6777000000000002</v>
      </c>
      <c r="I5" s="34">
        <v>0.38529999999999998</v>
      </c>
      <c r="J5" s="34">
        <v>5.0027999999999997</v>
      </c>
      <c r="K5" s="34">
        <v>9.4909999999999997</v>
      </c>
      <c r="L5" s="34">
        <v>78.923599999999993</v>
      </c>
      <c r="M5" s="34">
        <v>2.3321999999999998</v>
      </c>
      <c r="N5" s="34">
        <v>1.0947</v>
      </c>
      <c r="O5" s="34">
        <v>0.68110000000000004</v>
      </c>
      <c r="P5" s="34">
        <v>7.4499999999999997E-2</v>
      </c>
      <c r="Q5" s="34">
        <v>0.8004</v>
      </c>
      <c r="R5" s="34">
        <v>4.3105000000000002</v>
      </c>
      <c r="S5" s="34">
        <v>2.0623</v>
      </c>
      <c r="T5" s="34">
        <v>0.28050000000000003</v>
      </c>
      <c r="U5" s="34">
        <v>0.99419999999999997</v>
      </c>
      <c r="V5" s="34">
        <v>0.75519999999999998</v>
      </c>
      <c r="W5" s="34">
        <v>1.5081</v>
      </c>
      <c r="X5" s="34">
        <v>323.08789999999999</v>
      </c>
      <c r="Y5" s="34"/>
      <c r="Z5" s="34">
        <v>177.43360000000001</v>
      </c>
      <c r="AA5" s="34">
        <v>7.2700000000000001E-2</v>
      </c>
      <c r="AB5" s="34">
        <v>2.5781000000000001</v>
      </c>
      <c r="AC5" s="34">
        <v>-0.58679999999999999</v>
      </c>
      <c r="AD5" s="34">
        <v>282.90190000000001</v>
      </c>
      <c r="AE5" s="34">
        <v>462.39940000000001</v>
      </c>
      <c r="AF5" s="34">
        <v>785.48749999999995</v>
      </c>
      <c r="AH5" s="5"/>
      <c r="AI5" s="5"/>
    </row>
    <row r="6" spans="1:35" x14ac:dyDescent="0.15">
      <c r="A6" s="4">
        <v>3</v>
      </c>
      <c r="B6" s="11" t="s">
        <v>0</v>
      </c>
      <c r="C6" s="11" t="s">
        <v>43</v>
      </c>
      <c r="D6" s="34">
        <v>44.540100000000002</v>
      </c>
      <c r="E6" s="34">
        <v>70396.561199999996</v>
      </c>
      <c r="F6" s="34">
        <v>355.5129</v>
      </c>
      <c r="G6" s="34">
        <v>4862.0761000000002</v>
      </c>
      <c r="H6" s="34">
        <v>5328.2007000000003</v>
      </c>
      <c r="I6" s="34">
        <v>395.7432</v>
      </c>
      <c r="J6" s="34">
        <v>12512.856100000001</v>
      </c>
      <c r="K6" s="34">
        <v>212.46270000000001</v>
      </c>
      <c r="L6" s="34">
        <v>1526.1044999999999</v>
      </c>
      <c r="M6" s="34">
        <v>5072.7353000000003</v>
      </c>
      <c r="N6" s="34">
        <v>684.59460000000001</v>
      </c>
      <c r="O6" s="34">
        <v>1466.3710000000001</v>
      </c>
      <c r="P6" s="34">
        <v>30.245100000000001</v>
      </c>
      <c r="Q6" s="34">
        <v>4242.7546000000002</v>
      </c>
      <c r="R6" s="34">
        <v>1395.4328</v>
      </c>
      <c r="S6" s="34">
        <v>2134.9059000000002</v>
      </c>
      <c r="T6" s="34">
        <v>593.36059999999998</v>
      </c>
      <c r="U6" s="34">
        <v>2055.4584</v>
      </c>
      <c r="V6" s="34">
        <v>220.91560000000001</v>
      </c>
      <c r="W6" s="34">
        <v>452.16840000000002</v>
      </c>
      <c r="X6" s="34">
        <v>113982.99980000001</v>
      </c>
      <c r="Y6" s="34"/>
      <c r="Z6" s="34">
        <v>6015.7489999999998</v>
      </c>
      <c r="AA6" s="34">
        <v>818.66859999999997</v>
      </c>
      <c r="AB6" s="34">
        <v>9317.1969000000008</v>
      </c>
      <c r="AC6" s="34">
        <v>-300.71539999999999</v>
      </c>
      <c r="AD6" s="34">
        <v>288127.09720000002</v>
      </c>
      <c r="AE6" s="34">
        <v>303977.9964</v>
      </c>
      <c r="AF6" s="34">
        <v>417960.99829999998</v>
      </c>
      <c r="AH6" s="5"/>
      <c r="AI6" s="5"/>
    </row>
    <row r="7" spans="1:35" x14ac:dyDescent="0.15">
      <c r="A7" s="4">
        <v>2</v>
      </c>
      <c r="B7" s="11" t="s">
        <v>1</v>
      </c>
      <c r="C7" s="11" t="s">
        <v>1</v>
      </c>
      <c r="D7" s="34">
        <v>60.952300000000001</v>
      </c>
      <c r="E7" s="34">
        <v>2868.2782999999999</v>
      </c>
      <c r="F7" s="34">
        <v>3585.4285</v>
      </c>
      <c r="G7" s="34">
        <v>196.3921</v>
      </c>
      <c r="H7" s="34">
        <v>415.05290000000002</v>
      </c>
      <c r="I7" s="34">
        <v>395.61439999999999</v>
      </c>
      <c r="J7" s="34">
        <v>731.73670000000004</v>
      </c>
      <c r="K7" s="34">
        <v>234.12090000000001</v>
      </c>
      <c r="L7" s="34">
        <v>637.30229999999995</v>
      </c>
      <c r="M7" s="34">
        <v>1141.6899000000001</v>
      </c>
      <c r="N7" s="34">
        <v>436.89569999999998</v>
      </c>
      <c r="O7" s="34">
        <v>760.10670000000005</v>
      </c>
      <c r="P7" s="34">
        <v>1.6167</v>
      </c>
      <c r="Q7" s="34">
        <v>328.40170000000001</v>
      </c>
      <c r="R7" s="34">
        <v>68.000600000000006</v>
      </c>
      <c r="S7" s="34">
        <v>1574.8613</v>
      </c>
      <c r="T7" s="34">
        <v>277.73869999999999</v>
      </c>
      <c r="U7" s="34">
        <v>340.77140000000003</v>
      </c>
      <c r="V7" s="34">
        <v>258.19970000000001</v>
      </c>
      <c r="W7" s="34">
        <v>126.1002</v>
      </c>
      <c r="X7" s="34">
        <v>14439.261</v>
      </c>
      <c r="Y7" s="34"/>
      <c r="Z7" s="34">
        <v>2507.1797000000001</v>
      </c>
      <c r="AA7" s="34">
        <v>579.21910000000003</v>
      </c>
      <c r="AB7" s="34">
        <v>56.061300000000003</v>
      </c>
      <c r="AC7" s="34">
        <v>-82.977400000000003</v>
      </c>
      <c r="AD7" s="34">
        <v>985.15099999999995</v>
      </c>
      <c r="AE7" s="34">
        <v>4044.6336999999999</v>
      </c>
      <c r="AF7" s="34">
        <v>18483.894</v>
      </c>
      <c r="AH7" s="5"/>
      <c r="AI7" s="5"/>
    </row>
    <row r="8" spans="1:35" x14ac:dyDescent="0.15">
      <c r="A8" s="4">
        <v>4</v>
      </c>
      <c r="B8" s="11" t="s">
        <v>2</v>
      </c>
      <c r="C8" s="11" t="s">
        <v>2</v>
      </c>
      <c r="D8" s="34">
        <v>1.3787</v>
      </c>
      <c r="E8" s="34">
        <v>395.084</v>
      </c>
      <c r="F8" s="34">
        <v>87.588999999999999</v>
      </c>
      <c r="G8" s="34">
        <v>21823.7585</v>
      </c>
      <c r="H8" s="34">
        <v>159.1063</v>
      </c>
      <c r="I8" s="34">
        <v>33.898600000000002</v>
      </c>
      <c r="J8" s="34">
        <v>267.31830000000002</v>
      </c>
      <c r="K8" s="34">
        <v>70.063800000000001</v>
      </c>
      <c r="L8" s="34">
        <v>39.180700000000002</v>
      </c>
      <c r="M8" s="34">
        <v>101.1271</v>
      </c>
      <c r="N8" s="34">
        <v>97.700900000000004</v>
      </c>
      <c r="O8" s="34">
        <v>760.12310000000002</v>
      </c>
      <c r="P8" s="34">
        <v>1398.4304</v>
      </c>
      <c r="Q8" s="34">
        <v>565.09810000000004</v>
      </c>
      <c r="R8" s="34">
        <v>38.4452</v>
      </c>
      <c r="S8" s="34">
        <v>197.79079999999999</v>
      </c>
      <c r="T8" s="34">
        <v>116.79600000000001</v>
      </c>
      <c r="U8" s="34">
        <v>67.602099999999993</v>
      </c>
      <c r="V8" s="34">
        <v>67.414500000000004</v>
      </c>
      <c r="W8" s="34">
        <v>13.192299999999999</v>
      </c>
      <c r="X8" s="34">
        <v>26301.098300000001</v>
      </c>
      <c r="Y8" s="34"/>
      <c r="Z8" s="34">
        <v>25.358699999999999</v>
      </c>
      <c r="AA8" s="34">
        <v>4.1436000000000002</v>
      </c>
      <c r="AB8" s="34">
        <v>33517.2765</v>
      </c>
      <c r="AC8" s="34">
        <v>0</v>
      </c>
      <c r="AD8" s="34">
        <v>1259.3185000000001</v>
      </c>
      <c r="AE8" s="34">
        <v>34806.097300000001</v>
      </c>
      <c r="AF8" s="34">
        <v>61107.195899999999</v>
      </c>
      <c r="AH8" s="5"/>
      <c r="AI8" s="5"/>
    </row>
    <row r="9" spans="1:35" x14ac:dyDescent="0.15">
      <c r="A9" s="4">
        <v>5</v>
      </c>
      <c r="B9" s="11" t="s">
        <v>58</v>
      </c>
      <c r="C9" s="11" t="s">
        <v>44</v>
      </c>
      <c r="D9" s="34">
        <v>68.870999999999995</v>
      </c>
      <c r="E9" s="34">
        <v>14054.2503</v>
      </c>
      <c r="F9" s="34">
        <v>165.5831</v>
      </c>
      <c r="G9" s="34">
        <v>1990.2075</v>
      </c>
      <c r="H9" s="34">
        <v>4805.4782999999998</v>
      </c>
      <c r="I9" s="34">
        <v>366.73110000000003</v>
      </c>
      <c r="J9" s="34">
        <v>5843.1711999999998</v>
      </c>
      <c r="K9" s="34">
        <v>138.7063</v>
      </c>
      <c r="L9" s="34">
        <v>687.62689999999998</v>
      </c>
      <c r="M9" s="34">
        <v>5665.4859999999999</v>
      </c>
      <c r="N9" s="34">
        <v>1076.0764999999999</v>
      </c>
      <c r="O9" s="34">
        <v>442.08280000000002</v>
      </c>
      <c r="P9" s="34">
        <v>34.6188</v>
      </c>
      <c r="Q9" s="34">
        <v>1120.9423999999999</v>
      </c>
      <c r="R9" s="34">
        <v>467.46929999999998</v>
      </c>
      <c r="S9" s="34">
        <v>1518.6727000000001</v>
      </c>
      <c r="T9" s="34">
        <v>265.44760000000002</v>
      </c>
      <c r="U9" s="34">
        <v>642.99620000000004</v>
      </c>
      <c r="V9" s="34">
        <v>110.6991</v>
      </c>
      <c r="W9" s="34">
        <v>211.27160000000001</v>
      </c>
      <c r="X9" s="34">
        <v>39676.388700000003</v>
      </c>
      <c r="Y9" s="34"/>
      <c r="Z9" s="34">
        <v>7457.1688000000004</v>
      </c>
      <c r="AA9" s="34">
        <v>86.3626</v>
      </c>
      <c r="AB9" s="34">
        <v>5450.2848999999997</v>
      </c>
      <c r="AC9" s="34">
        <v>-0.78149999999999997</v>
      </c>
      <c r="AD9" s="34">
        <v>196888.85329999999</v>
      </c>
      <c r="AE9" s="34">
        <v>209881.88810000001</v>
      </c>
      <c r="AF9" s="34">
        <v>249558.2763</v>
      </c>
      <c r="AH9" s="5"/>
      <c r="AI9" s="5"/>
    </row>
    <row r="10" spans="1:35" x14ac:dyDescent="0.15">
      <c r="A10" s="4">
        <v>6</v>
      </c>
      <c r="B10" s="11" t="s">
        <v>58</v>
      </c>
      <c r="C10" s="11" t="s">
        <v>45</v>
      </c>
      <c r="D10" s="34">
        <v>0.2515</v>
      </c>
      <c r="E10" s="34">
        <v>70.441599999999994</v>
      </c>
      <c r="F10" s="34">
        <v>4.5976999999999997</v>
      </c>
      <c r="G10" s="34">
        <v>214.35769999999999</v>
      </c>
      <c r="H10" s="34">
        <v>524.27120000000002</v>
      </c>
      <c r="I10" s="34">
        <v>230.33920000000001</v>
      </c>
      <c r="J10" s="34">
        <v>228.005</v>
      </c>
      <c r="K10" s="34">
        <v>5.1913999999999998</v>
      </c>
      <c r="L10" s="34">
        <v>153.00980000000001</v>
      </c>
      <c r="M10" s="34">
        <v>222.96190000000001</v>
      </c>
      <c r="N10" s="34">
        <v>78.132499999999993</v>
      </c>
      <c r="O10" s="34">
        <v>48.278700000000001</v>
      </c>
      <c r="P10" s="34">
        <v>3.4965999999999999</v>
      </c>
      <c r="Q10" s="34">
        <v>108.2861</v>
      </c>
      <c r="R10" s="34">
        <v>35.257599999999996</v>
      </c>
      <c r="S10" s="34">
        <v>150.0523</v>
      </c>
      <c r="T10" s="34">
        <v>28.706299999999999</v>
      </c>
      <c r="U10" s="34">
        <v>67.756</v>
      </c>
      <c r="V10" s="34">
        <v>13.930999999999999</v>
      </c>
      <c r="W10" s="34">
        <v>27.308800000000002</v>
      </c>
      <c r="X10" s="34">
        <v>2214.6327999999999</v>
      </c>
      <c r="Y10" s="34"/>
      <c r="Z10" s="34">
        <v>11656.3706</v>
      </c>
      <c r="AA10" s="34">
        <v>10.666499999999999</v>
      </c>
      <c r="AB10" s="34">
        <v>140.4975</v>
      </c>
      <c r="AC10" s="34">
        <v>0</v>
      </c>
      <c r="AD10" s="34">
        <v>1242.1405</v>
      </c>
      <c r="AE10" s="34">
        <v>13049.6751</v>
      </c>
      <c r="AF10" s="34">
        <v>15264.307699999999</v>
      </c>
      <c r="AH10" s="5"/>
      <c r="AI10" s="5"/>
    </row>
    <row r="11" spans="1:35" x14ac:dyDescent="0.15">
      <c r="A11" s="4">
        <v>7</v>
      </c>
      <c r="B11" s="11" t="s">
        <v>46</v>
      </c>
      <c r="C11" s="11" t="s">
        <v>46</v>
      </c>
      <c r="D11" s="34">
        <v>9.7619000000000007</v>
      </c>
      <c r="E11" s="34">
        <v>2521.8040999999998</v>
      </c>
      <c r="F11" s="34">
        <v>109.81310000000001</v>
      </c>
      <c r="G11" s="34">
        <v>236.74209999999999</v>
      </c>
      <c r="H11" s="34">
        <v>24658.314600000002</v>
      </c>
      <c r="I11" s="34">
        <v>666.43700000000001</v>
      </c>
      <c r="J11" s="34">
        <v>79642.327499999999</v>
      </c>
      <c r="K11" s="34">
        <v>23.153099999999998</v>
      </c>
      <c r="L11" s="34">
        <v>91.933199999999999</v>
      </c>
      <c r="M11" s="34">
        <v>1620.9079999999999</v>
      </c>
      <c r="N11" s="34">
        <v>823.48929999999996</v>
      </c>
      <c r="O11" s="34">
        <v>403.98099999999999</v>
      </c>
      <c r="P11" s="34">
        <v>34.517200000000003</v>
      </c>
      <c r="Q11" s="34">
        <v>445.2801</v>
      </c>
      <c r="R11" s="34">
        <v>494.75549999999998</v>
      </c>
      <c r="S11" s="34">
        <v>2706.3841000000002</v>
      </c>
      <c r="T11" s="34">
        <v>91.320400000000006</v>
      </c>
      <c r="U11" s="34">
        <v>142.64689999999999</v>
      </c>
      <c r="V11" s="34">
        <v>63.332999999999998</v>
      </c>
      <c r="W11" s="34">
        <v>53.7776</v>
      </c>
      <c r="X11" s="34">
        <v>114840.6795</v>
      </c>
      <c r="Y11" s="34"/>
      <c r="Z11" s="34">
        <v>6002.1410999999998</v>
      </c>
      <c r="AA11" s="34">
        <v>46.495899999999999</v>
      </c>
      <c r="AB11" s="34">
        <v>232.03720000000001</v>
      </c>
      <c r="AC11" s="34">
        <v>-0.30199999999999999</v>
      </c>
      <c r="AD11" s="34">
        <v>138946.03260000001</v>
      </c>
      <c r="AE11" s="34">
        <v>145226.40470000001</v>
      </c>
      <c r="AF11" s="34">
        <v>260067.08350000001</v>
      </c>
      <c r="AH11" s="5"/>
      <c r="AI11" s="5"/>
    </row>
    <row r="12" spans="1:35" x14ac:dyDescent="0.15">
      <c r="A12" s="4">
        <v>8</v>
      </c>
      <c r="B12" s="11" t="s">
        <v>59</v>
      </c>
      <c r="C12" s="11" t="s">
        <v>15</v>
      </c>
      <c r="D12" s="34">
        <v>9.64E-2</v>
      </c>
      <c r="E12" s="34">
        <v>53.739199999999997</v>
      </c>
      <c r="F12" s="34">
        <v>9.8354999999999997</v>
      </c>
      <c r="G12" s="34">
        <v>61.359699999999997</v>
      </c>
      <c r="H12" s="34">
        <v>141.35230000000001</v>
      </c>
      <c r="I12" s="34">
        <v>64.021799999999999</v>
      </c>
      <c r="J12" s="34">
        <v>437.58319999999998</v>
      </c>
      <c r="K12" s="34">
        <v>3.6412</v>
      </c>
      <c r="L12" s="34">
        <v>23.535900000000002</v>
      </c>
      <c r="M12" s="34">
        <v>104.81440000000001</v>
      </c>
      <c r="N12" s="34">
        <v>158.64320000000001</v>
      </c>
      <c r="O12" s="34">
        <v>21.0473</v>
      </c>
      <c r="P12" s="34">
        <v>0.1812</v>
      </c>
      <c r="Q12" s="34">
        <v>123.3064</v>
      </c>
      <c r="R12" s="34">
        <v>50.026899999999998</v>
      </c>
      <c r="S12" s="34">
        <v>81.093599999999995</v>
      </c>
      <c r="T12" s="34">
        <v>17.724699999999999</v>
      </c>
      <c r="U12" s="34">
        <v>14.485799999999999</v>
      </c>
      <c r="V12" s="34">
        <v>14.942399999999999</v>
      </c>
      <c r="W12" s="34">
        <v>17.352799999999998</v>
      </c>
      <c r="X12" s="34">
        <v>1398.7837999999999</v>
      </c>
      <c r="Y12" s="34"/>
      <c r="Z12" s="34">
        <v>2098.3746000000001</v>
      </c>
      <c r="AA12" s="34">
        <v>109.19499999999999</v>
      </c>
      <c r="AB12" s="34">
        <v>48.586199999999998</v>
      </c>
      <c r="AC12" s="34">
        <v>0</v>
      </c>
      <c r="AD12" s="34">
        <v>681.07680000000005</v>
      </c>
      <c r="AE12" s="34">
        <v>2937.2325999999998</v>
      </c>
      <c r="AF12" s="34">
        <v>4336.0164999999997</v>
      </c>
      <c r="AH12" s="5"/>
      <c r="AI12" s="5"/>
    </row>
    <row r="13" spans="1:35" x14ac:dyDescent="0.15">
      <c r="A13" s="4">
        <v>9</v>
      </c>
      <c r="B13" s="11" t="s">
        <v>59</v>
      </c>
      <c r="C13" s="11" t="s">
        <v>47</v>
      </c>
      <c r="D13" s="34">
        <v>1.1317999999999999</v>
      </c>
      <c r="E13" s="34">
        <v>74.686000000000007</v>
      </c>
      <c r="F13" s="34">
        <v>16.7224</v>
      </c>
      <c r="G13" s="34">
        <v>59.1297</v>
      </c>
      <c r="H13" s="34">
        <v>489.1515</v>
      </c>
      <c r="I13" s="34">
        <v>72.833399999999997</v>
      </c>
      <c r="J13" s="34">
        <v>768.70479999999998</v>
      </c>
      <c r="K13" s="34">
        <v>7.0637999999999996</v>
      </c>
      <c r="L13" s="34">
        <v>73.284499999999994</v>
      </c>
      <c r="M13" s="34">
        <v>215.92570000000001</v>
      </c>
      <c r="N13" s="34">
        <v>714.51289999999995</v>
      </c>
      <c r="O13" s="34">
        <v>50.826799999999999</v>
      </c>
      <c r="P13" s="34">
        <v>0.54249999999999998</v>
      </c>
      <c r="Q13" s="34">
        <v>155.88140000000001</v>
      </c>
      <c r="R13" s="34">
        <v>70.933400000000006</v>
      </c>
      <c r="S13" s="34">
        <v>95.880099999999999</v>
      </c>
      <c r="T13" s="34">
        <v>33.254300000000001</v>
      </c>
      <c r="U13" s="34">
        <v>39.710500000000003</v>
      </c>
      <c r="V13" s="34">
        <v>30.6616</v>
      </c>
      <c r="W13" s="34">
        <v>22.596499999999999</v>
      </c>
      <c r="X13" s="34">
        <v>2993.4337</v>
      </c>
      <c r="Y13" s="34"/>
      <c r="Z13" s="34">
        <v>8884.7111000000004</v>
      </c>
      <c r="AA13" s="34">
        <v>5.4981999999999998</v>
      </c>
      <c r="AB13" s="34">
        <v>46.392699999999998</v>
      </c>
      <c r="AC13" s="34">
        <v>0</v>
      </c>
      <c r="AD13" s="34">
        <v>847.18089999999995</v>
      </c>
      <c r="AE13" s="34">
        <v>9783.7829999999994</v>
      </c>
      <c r="AF13" s="34">
        <v>12777.2168</v>
      </c>
      <c r="AH13" s="5"/>
      <c r="AI13" s="5"/>
    </row>
    <row r="14" spans="1:35" x14ac:dyDescent="0.15">
      <c r="A14" s="6">
        <v>10</v>
      </c>
      <c r="B14" s="12" t="s">
        <v>48</v>
      </c>
      <c r="C14" s="12" t="s">
        <v>48</v>
      </c>
      <c r="D14" s="35">
        <v>4.6581999999999999</v>
      </c>
      <c r="E14" s="35">
        <v>1667.5938000000001</v>
      </c>
      <c r="F14" s="35">
        <v>236.125</v>
      </c>
      <c r="G14" s="35">
        <v>282.3433</v>
      </c>
      <c r="H14" s="35">
        <v>5098.2262000000001</v>
      </c>
      <c r="I14" s="35">
        <v>422.89420000000001</v>
      </c>
      <c r="J14" s="35">
        <v>2065.1095999999998</v>
      </c>
      <c r="K14" s="35">
        <v>94.902600000000007</v>
      </c>
      <c r="L14" s="35">
        <v>149.2372</v>
      </c>
      <c r="M14" s="35">
        <v>35361.025800000003</v>
      </c>
      <c r="N14" s="35">
        <v>5734.1584000000003</v>
      </c>
      <c r="O14" s="35">
        <v>995.18859999999995</v>
      </c>
      <c r="P14" s="35">
        <v>47.757399999999997</v>
      </c>
      <c r="Q14" s="35">
        <v>3413.6170000000002</v>
      </c>
      <c r="R14" s="35">
        <v>582.91200000000003</v>
      </c>
      <c r="S14" s="35">
        <v>2569.8274999999999</v>
      </c>
      <c r="T14" s="35">
        <v>604.18539999999996</v>
      </c>
      <c r="U14" s="35">
        <v>881.4769</v>
      </c>
      <c r="V14" s="35">
        <v>313.31619999999998</v>
      </c>
      <c r="W14" s="35">
        <v>193.9254</v>
      </c>
      <c r="X14" s="35">
        <v>60718.4807</v>
      </c>
      <c r="Y14" s="35"/>
      <c r="Z14" s="35">
        <v>4987.1013000000003</v>
      </c>
      <c r="AA14" s="35">
        <v>284.94159999999999</v>
      </c>
      <c r="AB14" s="35">
        <v>6392.4461000000001</v>
      </c>
      <c r="AC14" s="35">
        <v>-1.9699999999999999E-2</v>
      </c>
      <c r="AD14" s="35">
        <v>84878.845100000006</v>
      </c>
      <c r="AE14" s="35">
        <v>96543.314400000003</v>
      </c>
      <c r="AF14" s="35">
        <v>157261.79500000001</v>
      </c>
      <c r="AH14" s="5"/>
      <c r="AI14" s="5"/>
    </row>
    <row r="15" spans="1:35" x14ac:dyDescent="0.15">
      <c r="A15" s="7">
        <v>11</v>
      </c>
      <c r="B15" s="13" t="s">
        <v>60</v>
      </c>
      <c r="C15" s="13" t="s">
        <v>49</v>
      </c>
      <c r="D15" s="36">
        <v>4.9184999999999999</v>
      </c>
      <c r="E15" s="36">
        <v>2099.9050999999999</v>
      </c>
      <c r="F15" s="36">
        <v>312.44290000000001</v>
      </c>
      <c r="G15" s="36">
        <v>508.55160000000001</v>
      </c>
      <c r="H15" s="36">
        <v>9129.2847999999994</v>
      </c>
      <c r="I15" s="36">
        <v>713.73500000000001</v>
      </c>
      <c r="J15" s="36">
        <v>2198.3663999999999</v>
      </c>
      <c r="K15" s="36">
        <v>179.06059999999999</v>
      </c>
      <c r="L15" s="36">
        <v>206.87690000000001</v>
      </c>
      <c r="M15" s="36">
        <v>2548.5654</v>
      </c>
      <c r="N15" s="36">
        <v>25704.339599999999</v>
      </c>
      <c r="O15" s="36">
        <v>3760.3739999999998</v>
      </c>
      <c r="P15" s="36">
        <v>2280.6057999999998</v>
      </c>
      <c r="Q15" s="36">
        <v>1635.5499</v>
      </c>
      <c r="R15" s="36">
        <v>719.38919999999996</v>
      </c>
      <c r="S15" s="36">
        <v>5293.0698000000002</v>
      </c>
      <c r="T15" s="36">
        <v>226.0806</v>
      </c>
      <c r="U15" s="36">
        <v>362.64370000000002</v>
      </c>
      <c r="V15" s="36">
        <v>178.9246</v>
      </c>
      <c r="W15" s="36">
        <v>139.6902</v>
      </c>
      <c r="X15" s="36">
        <v>58202.374400000001</v>
      </c>
      <c r="Y15" s="36"/>
      <c r="Z15" s="36">
        <v>23323.648799999999</v>
      </c>
      <c r="AA15" s="36">
        <v>583.45889999999997</v>
      </c>
      <c r="AB15" s="36">
        <v>841.53570000000002</v>
      </c>
      <c r="AC15" s="36">
        <v>0</v>
      </c>
      <c r="AD15" s="36">
        <v>70480.244999999995</v>
      </c>
      <c r="AE15" s="36">
        <v>95228.888399999996</v>
      </c>
      <c r="AF15" s="36">
        <v>153431.26199999999</v>
      </c>
      <c r="AH15" s="5"/>
      <c r="AI15" s="5"/>
    </row>
    <row r="16" spans="1:35" x14ac:dyDescent="0.15">
      <c r="A16" s="4">
        <v>12</v>
      </c>
      <c r="B16" s="11" t="s">
        <v>61</v>
      </c>
      <c r="C16" s="11" t="s">
        <v>16</v>
      </c>
      <c r="D16" s="34">
        <v>0.98350000000000004</v>
      </c>
      <c r="E16" s="34">
        <v>1067.7103999999999</v>
      </c>
      <c r="F16" s="34">
        <v>171.18440000000001</v>
      </c>
      <c r="G16" s="34">
        <v>251.0616</v>
      </c>
      <c r="H16" s="34">
        <v>3880.9663</v>
      </c>
      <c r="I16" s="34">
        <v>2466.3353999999999</v>
      </c>
      <c r="J16" s="34">
        <v>1205.8458000000001</v>
      </c>
      <c r="K16" s="34">
        <v>251.45349999999999</v>
      </c>
      <c r="L16" s="34">
        <v>1157.8298</v>
      </c>
      <c r="M16" s="34">
        <v>1832.0038</v>
      </c>
      <c r="N16" s="34">
        <v>2063.9159</v>
      </c>
      <c r="O16" s="34">
        <v>2042.6170999999999</v>
      </c>
      <c r="P16" s="34">
        <v>5.6398000000000001</v>
      </c>
      <c r="Q16" s="34">
        <v>1504.6506999999999</v>
      </c>
      <c r="R16" s="34">
        <v>525.37130000000002</v>
      </c>
      <c r="S16" s="34">
        <v>690.32899999999995</v>
      </c>
      <c r="T16" s="34">
        <v>431.7099</v>
      </c>
      <c r="U16" s="34">
        <v>751.79930000000002</v>
      </c>
      <c r="V16" s="34">
        <v>413.55700000000002</v>
      </c>
      <c r="W16" s="34">
        <v>480.6028</v>
      </c>
      <c r="X16" s="34">
        <v>21195.5674</v>
      </c>
      <c r="Y16" s="34"/>
      <c r="Z16" s="34">
        <v>2495.3737999999998</v>
      </c>
      <c r="AA16" s="34">
        <v>47.783000000000001</v>
      </c>
      <c r="AB16" s="34">
        <v>8796.7464999999993</v>
      </c>
      <c r="AC16" s="34">
        <v>-1E-4</v>
      </c>
      <c r="AD16" s="34">
        <v>902.88499999999999</v>
      </c>
      <c r="AE16" s="34">
        <v>12242.7883</v>
      </c>
      <c r="AF16" s="34">
        <v>33438.355300000003</v>
      </c>
      <c r="AH16" s="5"/>
      <c r="AI16" s="5"/>
    </row>
    <row r="17" spans="1:35" x14ac:dyDescent="0.15">
      <c r="A17" s="4">
        <v>13</v>
      </c>
      <c r="B17" s="11" t="s">
        <v>61</v>
      </c>
      <c r="C17" s="11" t="s">
        <v>50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/>
      <c r="Z17" s="34">
        <v>22774.171999999999</v>
      </c>
      <c r="AA17" s="34">
        <v>0</v>
      </c>
      <c r="AB17" s="34">
        <v>0</v>
      </c>
      <c r="AC17" s="34">
        <v>0</v>
      </c>
      <c r="AD17" s="34">
        <v>443.32799999999997</v>
      </c>
      <c r="AE17" s="34">
        <v>23217.5</v>
      </c>
      <c r="AF17" s="34">
        <v>23217.5</v>
      </c>
      <c r="AH17" s="5"/>
      <c r="AI17" s="5"/>
    </row>
    <row r="18" spans="1:35" x14ac:dyDescent="0.15">
      <c r="A18" s="4">
        <v>14</v>
      </c>
      <c r="B18" s="11" t="s">
        <v>51</v>
      </c>
      <c r="C18" s="11" t="s">
        <v>51</v>
      </c>
      <c r="D18" s="34">
        <v>6.4008000000000003</v>
      </c>
      <c r="E18" s="34">
        <v>3742.5034000000001</v>
      </c>
      <c r="F18" s="34">
        <v>222.9452</v>
      </c>
      <c r="G18" s="34">
        <v>1452.3529000000001</v>
      </c>
      <c r="H18" s="34">
        <v>6344.8468999999996</v>
      </c>
      <c r="I18" s="34">
        <v>564.11210000000005</v>
      </c>
      <c r="J18" s="34">
        <v>2365.0165000000002</v>
      </c>
      <c r="K18" s="34">
        <v>247.72909999999999</v>
      </c>
      <c r="L18" s="34">
        <v>274.15539999999999</v>
      </c>
      <c r="M18" s="34">
        <v>4789.7889999999998</v>
      </c>
      <c r="N18" s="34">
        <v>3508.3501000000001</v>
      </c>
      <c r="O18" s="34">
        <v>2610.5198</v>
      </c>
      <c r="P18" s="34">
        <v>217.29679999999999</v>
      </c>
      <c r="Q18" s="34">
        <v>3834.4218000000001</v>
      </c>
      <c r="R18" s="34">
        <v>848.79520000000002</v>
      </c>
      <c r="S18" s="34">
        <v>1624.3716999999999</v>
      </c>
      <c r="T18" s="34">
        <v>467.21019999999999</v>
      </c>
      <c r="U18" s="34">
        <v>469.26830000000001</v>
      </c>
      <c r="V18" s="34">
        <v>265.2473</v>
      </c>
      <c r="W18" s="34">
        <v>227.58760000000001</v>
      </c>
      <c r="X18" s="34">
        <v>34082.92</v>
      </c>
      <c r="Y18" s="34"/>
      <c r="Z18" s="34">
        <v>892.20270000000005</v>
      </c>
      <c r="AA18" s="34">
        <v>1281.8681999999999</v>
      </c>
      <c r="AB18" s="34">
        <v>7166.0011000000004</v>
      </c>
      <c r="AC18" s="34">
        <v>-1.8561000000000001</v>
      </c>
      <c r="AD18" s="34">
        <v>22649.742600000001</v>
      </c>
      <c r="AE18" s="34">
        <v>31987.958500000001</v>
      </c>
      <c r="AF18" s="34">
        <v>66070.878599999996</v>
      </c>
      <c r="AH18" s="5"/>
      <c r="AI18" s="5"/>
    </row>
    <row r="19" spans="1:35" x14ac:dyDescent="0.15">
      <c r="A19" s="4">
        <v>15</v>
      </c>
      <c r="B19" s="11" t="s">
        <v>52</v>
      </c>
      <c r="C19" s="11" t="s">
        <v>52</v>
      </c>
      <c r="D19" s="34">
        <v>1.0861000000000001</v>
      </c>
      <c r="E19" s="34">
        <v>1269.5544</v>
      </c>
      <c r="F19" s="34">
        <v>218.5214</v>
      </c>
      <c r="G19" s="34">
        <v>362.93329999999997</v>
      </c>
      <c r="H19" s="34">
        <v>3301.7561999999998</v>
      </c>
      <c r="I19" s="34">
        <v>235.5377</v>
      </c>
      <c r="J19" s="34">
        <v>3592.5857000000001</v>
      </c>
      <c r="K19" s="34">
        <v>58.556100000000001</v>
      </c>
      <c r="L19" s="34">
        <v>113.36199999999999</v>
      </c>
      <c r="M19" s="34">
        <v>1966.4557</v>
      </c>
      <c r="N19" s="34">
        <v>1151.2433000000001</v>
      </c>
      <c r="O19" s="34">
        <v>1477.0219</v>
      </c>
      <c r="P19" s="34">
        <v>187.23240000000001</v>
      </c>
      <c r="Q19" s="34">
        <v>654.14020000000005</v>
      </c>
      <c r="R19" s="34">
        <v>1638.9088999999999</v>
      </c>
      <c r="S19" s="34">
        <v>876.14350000000002</v>
      </c>
      <c r="T19" s="34">
        <v>232.67189999999999</v>
      </c>
      <c r="U19" s="34">
        <v>538.41849999999999</v>
      </c>
      <c r="V19" s="34">
        <v>176.99930000000001</v>
      </c>
      <c r="W19" s="34">
        <v>90.586200000000005</v>
      </c>
      <c r="X19" s="34">
        <v>18143.714800000002</v>
      </c>
      <c r="Y19" s="34"/>
      <c r="Z19" s="34">
        <v>709.72069999999997</v>
      </c>
      <c r="AA19" s="34">
        <v>39.370600000000003</v>
      </c>
      <c r="AB19" s="34">
        <v>140.25470000000001</v>
      </c>
      <c r="AC19" s="34">
        <v>-5.6899999999999999E-2</v>
      </c>
      <c r="AD19" s="34">
        <v>7632.3720999999996</v>
      </c>
      <c r="AE19" s="34">
        <v>8521.6610999999994</v>
      </c>
      <c r="AF19" s="34">
        <v>26665.3753</v>
      </c>
      <c r="AH19" s="5"/>
      <c r="AI19" s="5"/>
    </row>
    <row r="20" spans="1:35" x14ac:dyDescent="0.15">
      <c r="A20" s="4">
        <v>16</v>
      </c>
      <c r="B20" s="11" t="s">
        <v>62</v>
      </c>
      <c r="C20" s="11" t="s">
        <v>53</v>
      </c>
      <c r="D20" s="34">
        <v>0.82569999999999999</v>
      </c>
      <c r="E20" s="34">
        <v>110.6557</v>
      </c>
      <c r="F20" s="34">
        <v>57.859000000000002</v>
      </c>
      <c r="G20" s="34">
        <v>169.90700000000001</v>
      </c>
      <c r="H20" s="34">
        <v>920.39390000000003</v>
      </c>
      <c r="I20" s="34">
        <v>176.53059999999999</v>
      </c>
      <c r="J20" s="34">
        <v>418.49180000000001</v>
      </c>
      <c r="K20" s="34">
        <v>22.837700000000002</v>
      </c>
      <c r="L20" s="34">
        <v>60.313200000000002</v>
      </c>
      <c r="M20" s="34">
        <v>555.22450000000003</v>
      </c>
      <c r="N20" s="34">
        <v>396.20800000000003</v>
      </c>
      <c r="O20" s="34">
        <v>530.90480000000002</v>
      </c>
      <c r="P20" s="34">
        <v>2.9649000000000001</v>
      </c>
      <c r="Q20" s="34">
        <v>333.65899999999999</v>
      </c>
      <c r="R20" s="34">
        <v>43.694600000000001</v>
      </c>
      <c r="S20" s="34">
        <v>428.0677</v>
      </c>
      <c r="T20" s="34">
        <v>31.4541</v>
      </c>
      <c r="U20" s="34">
        <v>61.4422</v>
      </c>
      <c r="V20" s="34">
        <v>76.1173</v>
      </c>
      <c r="W20" s="34">
        <v>33.739600000000003</v>
      </c>
      <c r="X20" s="34">
        <v>4431.2914000000001</v>
      </c>
      <c r="Y20" s="34"/>
      <c r="Z20" s="34">
        <v>566.19470000000001</v>
      </c>
      <c r="AA20" s="34">
        <v>38156.874000000003</v>
      </c>
      <c r="AB20" s="34">
        <v>389.3657</v>
      </c>
      <c r="AC20" s="34">
        <v>-1.0169999999999999</v>
      </c>
      <c r="AD20" s="34">
        <v>866.35910000000001</v>
      </c>
      <c r="AE20" s="34">
        <v>39977.776400000002</v>
      </c>
      <c r="AF20" s="34">
        <v>44409.0677</v>
      </c>
      <c r="AH20" s="5"/>
      <c r="AI20" s="5"/>
    </row>
    <row r="21" spans="1:35" x14ac:dyDescent="0.15">
      <c r="A21" s="4">
        <v>17</v>
      </c>
      <c r="B21" s="11" t="s">
        <v>62</v>
      </c>
      <c r="C21" s="11" t="s">
        <v>17</v>
      </c>
      <c r="D21" s="34">
        <v>0.1835</v>
      </c>
      <c r="E21" s="34">
        <v>127.4708</v>
      </c>
      <c r="F21" s="34">
        <v>11.997999999999999</v>
      </c>
      <c r="G21" s="34">
        <v>21.616700000000002</v>
      </c>
      <c r="H21" s="34">
        <v>289.7516</v>
      </c>
      <c r="I21" s="34">
        <v>36.5672</v>
      </c>
      <c r="J21" s="34">
        <v>126.1707</v>
      </c>
      <c r="K21" s="34">
        <v>18.322199999999999</v>
      </c>
      <c r="L21" s="34">
        <v>24.9725</v>
      </c>
      <c r="M21" s="34">
        <v>277.0068</v>
      </c>
      <c r="N21" s="34">
        <v>162.05969999999999</v>
      </c>
      <c r="O21" s="34">
        <v>89.647800000000004</v>
      </c>
      <c r="P21" s="34">
        <v>4.1836000000000002</v>
      </c>
      <c r="Q21" s="34">
        <v>164.11420000000001</v>
      </c>
      <c r="R21" s="34">
        <v>57.444200000000002</v>
      </c>
      <c r="S21" s="34">
        <v>419.55720000000002</v>
      </c>
      <c r="T21" s="34">
        <v>478.97480000000002</v>
      </c>
      <c r="U21" s="34">
        <v>45.827300000000001</v>
      </c>
      <c r="V21" s="34">
        <v>17.141999999999999</v>
      </c>
      <c r="W21" s="34">
        <v>18.139700000000001</v>
      </c>
      <c r="X21" s="34">
        <v>2391.1505999999999</v>
      </c>
      <c r="Y21" s="34"/>
      <c r="Z21" s="34">
        <v>6635.6818000000003</v>
      </c>
      <c r="AA21" s="34">
        <v>8960.5393000000004</v>
      </c>
      <c r="AB21" s="34">
        <v>193.73689999999999</v>
      </c>
      <c r="AC21" s="34">
        <v>-1E-4</v>
      </c>
      <c r="AD21" s="34">
        <v>2735.7139000000002</v>
      </c>
      <c r="AE21" s="34">
        <v>18525.671699999999</v>
      </c>
      <c r="AF21" s="34">
        <v>20916.822700000001</v>
      </c>
      <c r="AH21" s="5"/>
      <c r="AI21" s="5"/>
    </row>
    <row r="22" spans="1:35" x14ac:dyDescent="0.15">
      <c r="A22" s="4">
        <v>18</v>
      </c>
      <c r="B22" s="11" t="s">
        <v>54</v>
      </c>
      <c r="C22" s="11" t="s">
        <v>54</v>
      </c>
      <c r="D22" s="34">
        <v>7.1199999999999999E-2</v>
      </c>
      <c r="E22" s="34">
        <v>25.654499999999999</v>
      </c>
      <c r="F22" s="34">
        <v>4.7248000000000001</v>
      </c>
      <c r="G22" s="34">
        <v>8.4364000000000008</v>
      </c>
      <c r="H22" s="34">
        <v>81.531099999999995</v>
      </c>
      <c r="I22" s="34">
        <v>19.9254</v>
      </c>
      <c r="J22" s="34">
        <v>68.267300000000006</v>
      </c>
      <c r="K22" s="34">
        <v>3.6395</v>
      </c>
      <c r="L22" s="34">
        <v>10.129300000000001</v>
      </c>
      <c r="M22" s="34">
        <v>60.629399999999997</v>
      </c>
      <c r="N22" s="34">
        <v>56.203499999999998</v>
      </c>
      <c r="O22" s="34">
        <v>32.284700000000001</v>
      </c>
      <c r="P22" s="34">
        <v>1.1682999999999999</v>
      </c>
      <c r="Q22" s="34">
        <v>670.06809999999996</v>
      </c>
      <c r="R22" s="34">
        <v>104.1071</v>
      </c>
      <c r="S22" s="34">
        <v>226.66489999999999</v>
      </c>
      <c r="T22" s="34">
        <v>15.062900000000001</v>
      </c>
      <c r="U22" s="34">
        <v>1899.9866</v>
      </c>
      <c r="V22" s="34">
        <v>91.080500000000001</v>
      </c>
      <c r="W22" s="34">
        <v>34.0184</v>
      </c>
      <c r="X22" s="34">
        <v>3413.6538999999998</v>
      </c>
      <c r="Y22" s="34"/>
      <c r="Z22" s="34">
        <v>11771.4684</v>
      </c>
      <c r="AA22" s="34">
        <v>9686.06</v>
      </c>
      <c r="AB22" s="34">
        <v>83.842100000000002</v>
      </c>
      <c r="AC22" s="34">
        <v>0</v>
      </c>
      <c r="AD22" s="34">
        <v>482.46289999999999</v>
      </c>
      <c r="AE22" s="34">
        <v>22023.833500000001</v>
      </c>
      <c r="AF22" s="34">
        <v>25437.4872</v>
      </c>
      <c r="AH22" s="5"/>
      <c r="AI22" s="5"/>
    </row>
    <row r="23" spans="1:35" x14ac:dyDescent="0.15">
      <c r="A23" s="4">
        <v>19</v>
      </c>
      <c r="B23" s="11" t="s">
        <v>55</v>
      </c>
      <c r="C23" s="11" t="s">
        <v>55</v>
      </c>
      <c r="D23" s="34">
        <v>4.6800000000000001E-2</v>
      </c>
      <c r="E23" s="34">
        <v>25.006799999999998</v>
      </c>
      <c r="F23" s="34">
        <v>2.9958999999999998</v>
      </c>
      <c r="G23" s="34">
        <v>63.986199999999997</v>
      </c>
      <c r="H23" s="34">
        <v>92.385199999999998</v>
      </c>
      <c r="I23" s="34">
        <v>57.1325</v>
      </c>
      <c r="J23" s="34">
        <v>80.761799999999994</v>
      </c>
      <c r="K23" s="34">
        <v>6.7850000000000001</v>
      </c>
      <c r="L23" s="34">
        <v>11.787599999999999</v>
      </c>
      <c r="M23" s="34">
        <v>187.66800000000001</v>
      </c>
      <c r="N23" s="34">
        <v>258.3639</v>
      </c>
      <c r="O23" s="34">
        <v>23.069900000000001</v>
      </c>
      <c r="P23" s="34">
        <v>0.46810000000000002</v>
      </c>
      <c r="Q23" s="34">
        <v>120.6678</v>
      </c>
      <c r="R23" s="34">
        <v>59.319699999999997</v>
      </c>
      <c r="S23" s="34">
        <v>21.377400000000002</v>
      </c>
      <c r="T23" s="34">
        <v>186.27670000000001</v>
      </c>
      <c r="U23" s="34">
        <v>32.275199999999998</v>
      </c>
      <c r="V23" s="34">
        <v>519.11530000000005</v>
      </c>
      <c r="W23" s="34">
        <v>28.212599999999998</v>
      </c>
      <c r="X23" s="34">
        <v>1777.7023999999999</v>
      </c>
      <c r="Y23" s="34"/>
      <c r="Z23" s="34">
        <v>3682.5592000000001</v>
      </c>
      <c r="AA23" s="34">
        <v>1082.9429</v>
      </c>
      <c r="AB23" s="34">
        <v>54.855699999999999</v>
      </c>
      <c r="AC23" s="34">
        <v>0</v>
      </c>
      <c r="AD23" s="34">
        <v>363.6309</v>
      </c>
      <c r="AE23" s="34">
        <v>5183.9886999999999</v>
      </c>
      <c r="AF23" s="34">
        <v>6961.6914999999999</v>
      </c>
      <c r="AH23" s="5"/>
      <c r="AI23" s="5"/>
    </row>
    <row r="24" spans="1:35" x14ac:dyDescent="0.15">
      <c r="A24" s="6">
        <v>20</v>
      </c>
      <c r="B24" s="12" t="s">
        <v>63</v>
      </c>
      <c r="C24" s="12" t="s">
        <v>56</v>
      </c>
      <c r="D24" s="35">
        <v>0.99780000000000002</v>
      </c>
      <c r="E24" s="35">
        <v>92.488299999999995</v>
      </c>
      <c r="F24" s="35">
        <v>31.322099999999999</v>
      </c>
      <c r="G24" s="35">
        <v>70.182199999999995</v>
      </c>
      <c r="H24" s="35">
        <v>177.58840000000001</v>
      </c>
      <c r="I24" s="35">
        <v>63.081899999999997</v>
      </c>
      <c r="J24" s="35">
        <v>370.15750000000003</v>
      </c>
      <c r="K24" s="35">
        <v>32.671900000000001</v>
      </c>
      <c r="L24" s="35">
        <v>16.0899</v>
      </c>
      <c r="M24" s="35">
        <v>273.94970000000001</v>
      </c>
      <c r="N24" s="35">
        <v>185.13800000000001</v>
      </c>
      <c r="O24" s="35">
        <v>57.3611</v>
      </c>
      <c r="P24" s="35">
        <v>53.559899999999999</v>
      </c>
      <c r="Q24" s="35">
        <v>132.506</v>
      </c>
      <c r="R24" s="35">
        <v>71.200299999999999</v>
      </c>
      <c r="S24" s="35">
        <v>527.06910000000005</v>
      </c>
      <c r="T24" s="35">
        <v>121.9666</v>
      </c>
      <c r="U24" s="35">
        <v>131.37450000000001</v>
      </c>
      <c r="V24" s="35">
        <v>89.010400000000004</v>
      </c>
      <c r="W24" s="35">
        <v>94.530100000000004</v>
      </c>
      <c r="X24" s="35">
        <v>2592.2458000000001</v>
      </c>
      <c r="Y24" s="35"/>
      <c r="Z24" s="35">
        <v>6072.0865000000003</v>
      </c>
      <c r="AA24" s="35">
        <v>63.592300000000002</v>
      </c>
      <c r="AB24" s="35">
        <v>50.378300000000003</v>
      </c>
      <c r="AC24" s="35">
        <v>0</v>
      </c>
      <c r="AD24" s="35">
        <v>282.82619999999997</v>
      </c>
      <c r="AE24" s="35">
        <v>6468.8833000000004</v>
      </c>
      <c r="AF24" s="35">
        <v>9061.1291999999994</v>
      </c>
      <c r="AH24" s="5"/>
      <c r="AI24" s="5"/>
    </row>
    <row r="25" spans="1:35" x14ac:dyDescent="0.15">
      <c r="A25" s="8" t="s">
        <v>29</v>
      </c>
      <c r="B25" s="14"/>
      <c r="C25" s="14" t="s">
        <v>30</v>
      </c>
      <c r="D25" s="37">
        <v>304.84019999999998</v>
      </c>
      <c r="E25" s="37">
        <v>100750.60890000001</v>
      </c>
      <c r="F25" s="37">
        <v>5626.8190999999997</v>
      </c>
      <c r="G25" s="37">
        <v>32640.584800000001</v>
      </c>
      <c r="H25" s="37">
        <v>65840.336200000005</v>
      </c>
      <c r="I25" s="37">
        <v>6981.8558999999996</v>
      </c>
      <c r="J25" s="37">
        <v>112927.47870000001</v>
      </c>
      <c r="K25" s="37">
        <v>1619.8525</v>
      </c>
      <c r="L25" s="37">
        <v>5335.6553000000004</v>
      </c>
      <c r="M25" s="37">
        <v>62000.298499999997</v>
      </c>
      <c r="N25" s="37">
        <v>43291.120600000002</v>
      </c>
      <c r="O25" s="37">
        <v>15572.4882</v>
      </c>
      <c r="P25" s="37">
        <v>4304.5999000000002</v>
      </c>
      <c r="Q25" s="37">
        <v>19554.1459</v>
      </c>
      <c r="R25" s="37">
        <v>7275.7743</v>
      </c>
      <c r="S25" s="37">
        <v>21138.181</v>
      </c>
      <c r="T25" s="37">
        <v>4220.2223999999997</v>
      </c>
      <c r="U25" s="37">
        <v>8546.9339999999993</v>
      </c>
      <c r="V25" s="37">
        <v>2921.3620000000001</v>
      </c>
      <c r="W25" s="37">
        <v>2266.3087</v>
      </c>
      <c r="X25" s="37">
        <v>523119.46549999999</v>
      </c>
      <c r="Y25" s="37"/>
      <c r="Z25" s="37">
        <v>128734.69680000001</v>
      </c>
      <c r="AA25" s="37">
        <v>61847.752999999997</v>
      </c>
      <c r="AB25" s="37">
        <v>72920.073900000003</v>
      </c>
      <c r="AC25" s="37">
        <v>-388.31310000000002</v>
      </c>
      <c r="AD25" s="37">
        <v>820978.1642</v>
      </c>
      <c r="AE25" s="37">
        <v>1084092.3748000001</v>
      </c>
      <c r="AF25" s="37">
        <v>1607211.8403</v>
      </c>
      <c r="AH25" s="5"/>
      <c r="AI25" s="5"/>
    </row>
    <row r="26" spans="1:35" x14ac:dyDescent="0.15">
      <c r="A26" s="4">
        <v>21</v>
      </c>
      <c r="B26" s="11"/>
      <c r="C26" s="11" t="s">
        <v>31</v>
      </c>
      <c r="D26" s="34">
        <v>301.36259999999999</v>
      </c>
      <c r="E26" s="34">
        <v>198664.11139999999</v>
      </c>
      <c r="F26" s="34">
        <v>6289.7383</v>
      </c>
      <c r="G26" s="34">
        <v>11438.8244</v>
      </c>
      <c r="H26" s="34">
        <v>76984.555300000007</v>
      </c>
      <c r="I26" s="34">
        <v>1094.2933</v>
      </c>
      <c r="J26" s="34">
        <v>93938.285399999993</v>
      </c>
      <c r="K26" s="34">
        <v>496.96800000000002</v>
      </c>
      <c r="L26" s="34">
        <v>2840.2682</v>
      </c>
      <c r="M26" s="34">
        <v>64506.329700000002</v>
      </c>
      <c r="N26" s="34">
        <v>34345.268799999998</v>
      </c>
      <c r="O26" s="34">
        <v>964.09500000000003</v>
      </c>
      <c r="P26" s="34">
        <v>0</v>
      </c>
      <c r="Q26" s="34">
        <v>16716.891500000002</v>
      </c>
      <c r="R26" s="34">
        <v>2859.1561000000002</v>
      </c>
      <c r="S26" s="34">
        <v>8726.8973999999998</v>
      </c>
      <c r="T26" s="34">
        <v>1427.9777999999999</v>
      </c>
      <c r="U26" s="34">
        <v>2813.5142999999998</v>
      </c>
      <c r="V26" s="34">
        <v>487.12240000000003</v>
      </c>
      <c r="W26" s="34">
        <v>983.47900000000004</v>
      </c>
      <c r="X26" s="34">
        <v>525879.13910000003</v>
      </c>
      <c r="Y26" s="34"/>
      <c r="Z26" s="34">
        <v>25176.5573</v>
      </c>
      <c r="AA26" s="34">
        <v>0</v>
      </c>
      <c r="AB26" s="34">
        <v>47210.108899999999</v>
      </c>
      <c r="AC26" s="34">
        <v>10427.5131</v>
      </c>
      <c r="AD26" s="34">
        <v>263073.08809999999</v>
      </c>
      <c r="AE26" s="34">
        <v>345887.26750000002</v>
      </c>
      <c r="AF26" s="34">
        <v>871766.40659999999</v>
      </c>
      <c r="AH26" s="5"/>
    </row>
    <row r="27" spans="1:35" x14ac:dyDescent="0.15">
      <c r="A27" s="6">
        <v>22</v>
      </c>
      <c r="B27" s="12"/>
      <c r="C27" s="12" t="s">
        <v>32</v>
      </c>
      <c r="D27" s="35">
        <v>1.2853000000000001</v>
      </c>
      <c r="E27" s="35">
        <v>197.62190000000001</v>
      </c>
      <c r="F27" s="35">
        <v>219.09370000000001</v>
      </c>
      <c r="G27" s="35">
        <v>40.173699999999997</v>
      </c>
      <c r="H27" s="35">
        <v>118.31310000000001</v>
      </c>
      <c r="I27" s="35">
        <v>29.0578</v>
      </c>
      <c r="J27" s="35">
        <v>592.9452</v>
      </c>
      <c r="K27" s="35">
        <v>29.699200000000001</v>
      </c>
      <c r="L27" s="35">
        <v>361.58359999999999</v>
      </c>
      <c r="M27" s="35">
        <v>733.80539999999996</v>
      </c>
      <c r="N27" s="35">
        <v>1924.5074999999999</v>
      </c>
      <c r="O27" s="35">
        <v>444.53890000000001</v>
      </c>
      <c r="P27" s="35">
        <v>0</v>
      </c>
      <c r="Q27" s="35">
        <v>128.57919999999999</v>
      </c>
      <c r="R27" s="35">
        <v>43.697699999999998</v>
      </c>
      <c r="S27" s="35">
        <v>206.9068</v>
      </c>
      <c r="T27" s="35">
        <v>46.687899999999999</v>
      </c>
      <c r="U27" s="35">
        <v>227.19450000000001</v>
      </c>
      <c r="V27" s="35">
        <v>48.623399999999997</v>
      </c>
      <c r="W27" s="35">
        <v>13.4354</v>
      </c>
      <c r="X27" s="35">
        <v>5407.7501000000002</v>
      </c>
      <c r="Y27" s="35"/>
      <c r="Z27" s="35">
        <v>16296.6247</v>
      </c>
      <c r="AA27" s="35">
        <v>0</v>
      </c>
      <c r="AB27" s="35">
        <v>8711.6252000000004</v>
      </c>
      <c r="AC27" s="35">
        <v>0</v>
      </c>
      <c r="AD27" s="35">
        <v>0</v>
      </c>
      <c r="AE27" s="35">
        <v>25008.249899999999</v>
      </c>
      <c r="AF27" s="35">
        <v>30416</v>
      </c>
      <c r="AH27" s="5"/>
    </row>
    <row r="28" spans="1:35" x14ac:dyDescent="0.15">
      <c r="A28" s="8" t="s">
        <v>33</v>
      </c>
      <c r="B28" s="14"/>
      <c r="C28" s="14" t="s">
        <v>34</v>
      </c>
      <c r="D28" s="37">
        <v>607.48789999999997</v>
      </c>
      <c r="E28" s="37">
        <v>299612.34370000003</v>
      </c>
      <c r="F28" s="37">
        <v>12135.651900000001</v>
      </c>
      <c r="G28" s="37">
        <v>44119.582600000002</v>
      </c>
      <c r="H28" s="37">
        <v>142943.20480000001</v>
      </c>
      <c r="I28" s="37">
        <v>8105.2075999999997</v>
      </c>
      <c r="J28" s="37">
        <v>207458.70699999999</v>
      </c>
      <c r="K28" s="37">
        <v>2146.5196000000001</v>
      </c>
      <c r="L28" s="37">
        <v>8537.5069999999996</v>
      </c>
      <c r="M28" s="37">
        <v>127240.4344</v>
      </c>
      <c r="N28" s="37">
        <v>79560.896500000003</v>
      </c>
      <c r="O28" s="37">
        <v>16981.120999999999</v>
      </c>
      <c r="P28" s="37">
        <v>4304.5999000000002</v>
      </c>
      <c r="Q28" s="37">
        <v>36399.6181</v>
      </c>
      <c r="R28" s="37">
        <v>10178.6265</v>
      </c>
      <c r="S28" s="37">
        <v>30071.984899999999</v>
      </c>
      <c r="T28" s="37">
        <v>5694.8877000000002</v>
      </c>
      <c r="U28" s="37">
        <v>11587.6432</v>
      </c>
      <c r="V28" s="37">
        <v>3457.1079</v>
      </c>
      <c r="W28" s="37">
        <v>3263.2244999999998</v>
      </c>
      <c r="X28" s="37">
        <v>1054406.3547</v>
      </c>
      <c r="Y28" s="37"/>
      <c r="Z28" s="37">
        <v>170207.87880000001</v>
      </c>
      <c r="AA28" s="37">
        <v>61847.752999999997</v>
      </c>
      <c r="AB28" s="37">
        <v>128841.808</v>
      </c>
      <c r="AC28" s="37">
        <v>10039.200000000001</v>
      </c>
      <c r="AD28" s="37">
        <v>1084051.2523000001</v>
      </c>
      <c r="AE28" s="37">
        <v>1454987.8921999999</v>
      </c>
      <c r="AF28" s="37">
        <v>2509394.2469000001</v>
      </c>
      <c r="AH28" s="5"/>
    </row>
    <row r="29" spans="1:35" x14ac:dyDescent="0.15">
      <c r="A29" s="4">
        <v>23</v>
      </c>
      <c r="B29" s="11"/>
      <c r="C29" s="11" t="s">
        <v>35</v>
      </c>
      <c r="D29" s="34">
        <v>84.1</v>
      </c>
      <c r="E29" s="34">
        <v>26753.2183</v>
      </c>
      <c r="F29" s="34">
        <v>1753.2</v>
      </c>
      <c r="G29" s="34">
        <v>12351.518899999999</v>
      </c>
      <c r="H29" s="34">
        <v>24528.2</v>
      </c>
      <c r="I29" s="34">
        <v>4734.2447000000002</v>
      </c>
      <c r="J29" s="34">
        <v>13382.6919</v>
      </c>
      <c r="K29" s="34">
        <v>1414.8438000000001</v>
      </c>
      <c r="L29" s="34">
        <v>3771.5428000000002</v>
      </c>
      <c r="M29" s="34">
        <v>19208.100600000002</v>
      </c>
      <c r="N29" s="34">
        <v>30821.251499999998</v>
      </c>
      <c r="O29" s="34">
        <v>3145.4212000000002</v>
      </c>
      <c r="P29" s="34">
        <v>0</v>
      </c>
      <c r="Q29" s="34">
        <v>21996.5285</v>
      </c>
      <c r="R29" s="34">
        <v>8638.5684000000001</v>
      </c>
      <c r="S29" s="34">
        <v>13760.316800000001</v>
      </c>
      <c r="T29" s="34">
        <v>12374.2</v>
      </c>
      <c r="U29" s="34">
        <v>12784.1229</v>
      </c>
      <c r="V29" s="34">
        <v>2071.0971</v>
      </c>
      <c r="W29" s="34">
        <v>5336.3739999999998</v>
      </c>
      <c r="X29" s="34">
        <v>218909.54130000001</v>
      </c>
      <c r="Y29" s="34"/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218909.54130000001</v>
      </c>
      <c r="AH29" s="5"/>
    </row>
    <row r="30" spans="1:35" x14ac:dyDescent="0.15">
      <c r="A30" s="4">
        <v>24</v>
      </c>
      <c r="B30" s="11"/>
      <c r="C30" s="11" t="s">
        <v>36</v>
      </c>
      <c r="D30" s="34">
        <v>1.3998999999999999</v>
      </c>
      <c r="E30" s="34">
        <v>-327.80020000000002</v>
      </c>
      <c r="F30" s="34">
        <v>283.2</v>
      </c>
      <c r="G30" s="34">
        <v>307.89999999999998</v>
      </c>
      <c r="H30" s="34">
        <v>-642.4</v>
      </c>
      <c r="I30" s="34">
        <v>-690.3</v>
      </c>
      <c r="J30" s="34">
        <v>-645.40009999999995</v>
      </c>
      <c r="K30" s="34">
        <v>-192.3</v>
      </c>
      <c r="L30" s="34">
        <v>-1249.9000000000001</v>
      </c>
      <c r="M30" s="34">
        <v>-206.7</v>
      </c>
      <c r="N30" s="34">
        <v>-321.99990000000003</v>
      </c>
      <c r="O30" s="34">
        <v>1339</v>
      </c>
      <c r="P30" s="34">
        <v>992.5</v>
      </c>
      <c r="Q30" s="34">
        <v>-815.59990000000005</v>
      </c>
      <c r="R30" s="34">
        <v>-545.29989999999998</v>
      </c>
      <c r="S30" s="34">
        <v>39.1</v>
      </c>
      <c r="T30" s="34">
        <v>-358.9</v>
      </c>
      <c r="U30" s="34">
        <v>-514.9</v>
      </c>
      <c r="V30" s="34">
        <v>-178.2</v>
      </c>
      <c r="W30" s="34">
        <v>155.80000000000001</v>
      </c>
      <c r="X30" s="34">
        <v>-3570.8</v>
      </c>
      <c r="Y30" s="34"/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-3570.8</v>
      </c>
      <c r="AH30" s="5"/>
    </row>
    <row r="31" spans="1:35" x14ac:dyDescent="0.15">
      <c r="A31" s="6">
        <v>25</v>
      </c>
      <c r="B31" s="12"/>
      <c r="C31" s="12" t="s">
        <v>37</v>
      </c>
      <c r="D31" s="35">
        <v>92.5</v>
      </c>
      <c r="E31" s="35">
        <v>91923.236999999994</v>
      </c>
      <c r="F31" s="35">
        <v>4311.8424000000005</v>
      </c>
      <c r="G31" s="35">
        <v>4328.1949000000004</v>
      </c>
      <c r="H31" s="35">
        <v>82729.271200000003</v>
      </c>
      <c r="I31" s="35">
        <v>3115.1559999999999</v>
      </c>
      <c r="J31" s="35">
        <v>39871.082999999999</v>
      </c>
      <c r="K31" s="35">
        <v>966.95339999999999</v>
      </c>
      <c r="L31" s="35">
        <v>1718.0672</v>
      </c>
      <c r="M31" s="35">
        <v>11019.9601</v>
      </c>
      <c r="N31" s="35">
        <v>43371.113299999997</v>
      </c>
      <c r="O31" s="35">
        <v>11972.8127</v>
      </c>
      <c r="P31" s="35">
        <v>17920.400000000001</v>
      </c>
      <c r="Q31" s="35">
        <v>8490.3331999999991</v>
      </c>
      <c r="R31" s="35">
        <v>8393.48</v>
      </c>
      <c r="S31" s="35">
        <v>537.66589999999997</v>
      </c>
      <c r="T31" s="35">
        <v>3206.6352999999999</v>
      </c>
      <c r="U31" s="35">
        <v>1580.6207999999999</v>
      </c>
      <c r="V31" s="35">
        <v>1611.6868999999999</v>
      </c>
      <c r="W31" s="35">
        <v>305.73129999999998</v>
      </c>
      <c r="X31" s="35">
        <v>337466.74430000002</v>
      </c>
      <c r="Y31" s="35"/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337466.74430000002</v>
      </c>
      <c r="AH31" s="5"/>
    </row>
    <row r="32" spans="1:35" x14ac:dyDescent="0.15">
      <c r="A32" s="8" t="s">
        <v>38</v>
      </c>
      <c r="B32" s="14"/>
      <c r="C32" s="14" t="s">
        <v>39</v>
      </c>
      <c r="D32" s="37">
        <v>177.9999</v>
      </c>
      <c r="E32" s="37">
        <v>118348.6551</v>
      </c>
      <c r="F32" s="37">
        <v>6348.2424000000001</v>
      </c>
      <c r="G32" s="37">
        <v>16987.613799999999</v>
      </c>
      <c r="H32" s="37">
        <v>106615.07120000001</v>
      </c>
      <c r="I32" s="37">
        <v>7159.1007</v>
      </c>
      <c r="J32" s="37">
        <v>52608.374799999998</v>
      </c>
      <c r="K32" s="37">
        <v>2189.4971999999998</v>
      </c>
      <c r="L32" s="37">
        <v>4239.71</v>
      </c>
      <c r="M32" s="37">
        <v>30021.360700000001</v>
      </c>
      <c r="N32" s="37">
        <v>73870.3649</v>
      </c>
      <c r="O32" s="37">
        <v>16457.233899999999</v>
      </c>
      <c r="P32" s="37">
        <v>18912.900000000001</v>
      </c>
      <c r="Q32" s="37">
        <v>29671.2618</v>
      </c>
      <c r="R32" s="37">
        <v>16486.748500000002</v>
      </c>
      <c r="S32" s="37">
        <v>14337.082700000001</v>
      </c>
      <c r="T32" s="37">
        <v>15221.935299999999</v>
      </c>
      <c r="U32" s="37">
        <v>13849.843699999999</v>
      </c>
      <c r="V32" s="37">
        <v>3504.5839999999998</v>
      </c>
      <c r="W32" s="37">
        <v>5797.9053000000004</v>
      </c>
      <c r="X32" s="37">
        <v>552805.48560000001</v>
      </c>
      <c r="Y32" s="37"/>
      <c r="Z32" s="37"/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552805.48560000001</v>
      </c>
      <c r="AH32" s="5"/>
    </row>
    <row r="33" spans="1:34" ht="13" thickBot="1" x14ac:dyDescent="0.2">
      <c r="A33" s="9" t="s">
        <v>40</v>
      </c>
      <c r="B33" s="15"/>
      <c r="C33" s="15" t="s">
        <v>41</v>
      </c>
      <c r="D33" s="38">
        <v>785.48749999999995</v>
      </c>
      <c r="E33" s="38">
        <v>417960.99829999998</v>
      </c>
      <c r="F33" s="38">
        <v>18483.894</v>
      </c>
      <c r="G33" s="38">
        <v>61107.195899999999</v>
      </c>
      <c r="H33" s="38">
        <v>249558.2763</v>
      </c>
      <c r="I33" s="38">
        <v>15264.307699999999</v>
      </c>
      <c r="J33" s="38">
        <v>260067.08350000001</v>
      </c>
      <c r="K33" s="38">
        <v>4336.0164999999997</v>
      </c>
      <c r="L33" s="38">
        <v>12777.2168</v>
      </c>
      <c r="M33" s="38">
        <v>157261.79500000001</v>
      </c>
      <c r="N33" s="38">
        <v>153431.26199999999</v>
      </c>
      <c r="O33" s="38">
        <v>33438.355300000003</v>
      </c>
      <c r="P33" s="38">
        <v>23217.5</v>
      </c>
      <c r="Q33" s="38">
        <v>66070.878599999996</v>
      </c>
      <c r="R33" s="38">
        <v>26665.3753</v>
      </c>
      <c r="S33" s="38">
        <v>44409.0677</v>
      </c>
      <c r="T33" s="38">
        <v>20916.822700000001</v>
      </c>
      <c r="U33" s="38">
        <v>25437.4872</v>
      </c>
      <c r="V33" s="38">
        <v>6961.6914999999999</v>
      </c>
      <c r="W33" s="38">
        <v>9061.1291999999994</v>
      </c>
      <c r="X33" s="38">
        <v>1607211.8403</v>
      </c>
      <c r="Y33" s="38"/>
      <c r="Z33" s="38">
        <v>170207.87880000001</v>
      </c>
      <c r="AA33" s="38">
        <v>61847.752999999997</v>
      </c>
      <c r="AB33" s="38">
        <v>128841.808</v>
      </c>
      <c r="AC33" s="38">
        <v>10039.200000000001</v>
      </c>
      <c r="AD33" s="38">
        <v>1084051.2523000001</v>
      </c>
      <c r="AE33" s="38">
        <v>1454987.8921999999</v>
      </c>
      <c r="AF33" s="38">
        <v>3062199.7324999999</v>
      </c>
      <c r="AH3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2025-01-27T04:00:00+00:00</iMAS_PublishDateTime>
    <_dlc_DocId xmlns="e5775c44-5034-46ee-b1b0-8650967f43ea">4XQ4D5TRQRHF-1623496119-2294</_dlc_DocId>
    <_dlc_DocIdUrl xmlns="e5775c44-5034-46ee-b1b0-8650967f43ea">
      <Url>http://stats.mom.gov.sg/_layouts/15/DocIdRedir.aspx?ID=4XQ4D5TRQRHF-1623496119-2294</Url>
      <Description>4XQ4D5TRQRHF-1623496119-2294</Description>
    </_dlc_DocIdUrl>
    <_dlc_DocIdPersistId xmlns="e5775c44-5034-46ee-b1b0-8650967f43ea">false</_dlc_DocIdPersist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325F928-625F-4966-A80B-9538946102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40ADA-BE72-44E8-A17B-9E85CF2F0053}">
  <ds:schemaRefs>
    <ds:schemaRef ds:uri="http://schemas.microsoft.com/office/2006/metadata/properties"/>
    <ds:schemaRef ds:uri="http://schemas.microsoft.com/office/infopath/2007/PartnerControls"/>
    <ds:schemaRef ds:uri="34e1e7f4-1fc7-4644-a9e8-08ea5cae6a7f"/>
    <ds:schemaRef ds:uri="e5775c44-5034-46ee-b1b0-8650967f43ea"/>
  </ds:schemaRefs>
</ds:datastoreItem>
</file>

<file path=customXml/itemProps3.xml><?xml version="1.0" encoding="utf-8"?>
<ds:datastoreItem xmlns:ds="http://schemas.openxmlformats.org/officeDocument/2006/customXml" ds:itemID="{5B452299-0958-4538-8BE4-7865E777E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75c44-5034-46ee-b1b0-8650967f43ea"/>
    <ds:schemaRef ds:uri="34e1e7f4-1fc7-4644-a9e8-08ea5cae6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274B14-B804-42B6-A5C5-1354D994904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sector_no</vt:lpstr>
      <vt:lpstr>sector_mapping</vt:lpstr>
      <vt:lpstr>2020 resident unemployment rate</vt:lpstr>
      <vt:lpstr>lapi div sector output</vt:lpstr>
      <vt:lpstr>sector inoperability</vt:lpstr>
      <vt:lpstr>sector mapping</vt:lpstr>
      <vt:lpstr>c_star</vt:lpstr>
      <vt:lpstr>A</vt:lpstr>
      <vt:lpstr>2019IOTable</vt:lpstr>
      <vt:lpstr>updated 2019 IO table</vt:lpstr>
      <vt:lpstr>updated 2021 IO table</vt:lpstr>
      <vt:lpstr>updated 2021 IO table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2025-01-27T04:02:08Z</dcterms:created>
  <dcterms:modified xsi:type="dcterms:W3CDTF">2026-01-24T07:10:47Z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2025-01-27T04:02:16Z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d15ab728-0dad-4e46-9015-cd75a2e74927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iMAS_Searchable">
    <vt:bool>false</vt:bool>
  </property>
  <property fmtid="{D5CDD505-2E9C-101B-9397-08002B2CF9AE}" pid="11" name="_dlc_DocIdItemGuid">
    <vt:lpwstr>f914e648-1c22-4195-8f82-6e4600e253a7</vt:lpwstr>
  </property>
  <property fmtid="{D5CDD505-2E9C-101B-9397-08002B2CF9AE}" pid="12" name="ReportMaster">
    <vt:lpwstr/>
  </property>
  <property fmtid="{D5CDD505-2E9C-101B-9397-08002B2CF9AE}" pid="13" name="Order">
    <vt:r8>229400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